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xr:revisionPtr revIDLastSave="1" documentId="11_8015DDA2C7DAB935C1ADCF2B236D6B28911E6AA2" xr6:coauthVersionLast="47" xr6:coauthVersionMax="47" xr10:uidLastSave="{E2B259E7-CB6C-4402-BE36-948FA12028C8}"/>
  <bookViews>
    <workbookView xWindow="0" yWindow="0" windowWidth="0" windowHeight="0" activeTab="133" xr2:uid="{00000000-000D-0000-FFFF-FFFF00000000}"/>
  </bookViews>
  <sheets>
    <sheet name="Content" sheetId="1" r:id="rId1"/>
    <sheet name="B" sheetId="2" r:id="rId2"/>
    <sheet name="QA1" sheetId="3" r:id="rId3"/>
    <sheet name="QA2" sheetId="4" r:id="rId4"/>
    <sheet name="D78" sheetId="5" r:id="rId5"/>
    <sheet name="QA3" sheetId="6" r:id="rId6"/>
    <sheet name="QA4a" sheetId="7" r:id="rId7"/>
    <sheet name="QA4b" sheetId="8" r:id="rId8"/>
    <sheet name="QA4ab" sheetId="9" r:id="rId9"/>
    <sheet name="QA5a" sheetId="10" r:id="rId10"/>
    <sheet name="QA5b" sheetId="11" r:id="rId11"/>
    <sheet name="QA5ab" sheetId="12" r:id="rId12"/>
    <sheet name="QA6" sheetId="13" r:id="rId13"/>
    <sheet name="QA7_1" sheetId="14" r:id="rId14"/>
    <sheet name="QA7_2" sheetId="15" r:id="rId15"/>
    <sheet name="QA7_3" sheetId="16" r:id="rId16"/>
    <sheet name="QA8a" sheetId="17" r:id="rId17"/>
    <sheet name="QA8b" sheetId="18" r:id="rId18"/>
    <sheet name="QA8ab" sheetId="19" r:id="rId19"/>
    <sheet name="QA9_1" sheetId="20" r:id="rId20"/>
    <sheet name="QA9_2" sheetId="21" r:id="rId21"/>
    <sheet name="QA9_3" sheetId="22" r:id="rId22"/>
    <sheet name="QA9_4" sheetId="23" r:id="rId23"/>
    <sheet name="QA10" sheetId="24" r:id="rId24"/>
    <sheet name="QA11_1" sheetId="25" r:id="rId25"/>
    <sheet name="QA11_2" sheetId="26" r:id="rId26"/>
    <sheet name="QA11_3" sheetId="27" r:id="rId27"/>
    <sheet name="QA11_4" sheetId="28" r:id="rId28"/>
    <sheet name="QA11_5" sheetId="29" r:id="rId29"/>
    <sheet name="QA11_6" sheetId="30" r:id="rId30"/>
    <sheet name="QA11_7" sheetId="31" r:id="rId31"/>
    <sheet name="QA11_8" sheetId="32" r:id="rId32"/>
    <sheet name="QA11_9" sheetId="33" r:id="rId33"/>
    <sheet name="QA12_1" sheetId="34" r:id="rId34"/>
    <sheet name="QA12_2" sheetId="35" r:id="rId35"/>
    <sheet name="QA12_3" sheetId="36" r:id="rId36"/>
    <sheet name="QA12_4" sheetId="37" r:id="rId37"/>
    <sheet name="QA12_5" sheetId="38" r:id="rId38"/>
    <sheet name="QA12_6" sheetId="39" r:id="rId39"/>
    <sheet name="QA12_7" sheetId="40" r:id="rId40"/>
    <sheet name="QA12_8" sheetId="41" r:id="rId41"/>
    <sheet name="QA12_9" sheetId="42" r:id="rId42"/>
    <sheet name="SD27" sheetId="43" r:id="rId43"/>
    <sheet name="QB1" sheetId="44" r:id="rId44"/>
    <sheet name="QB2" sheetId="45" r:id="rId45"/>
    <sheet name="QB3" sheetId="46" r:id="rId46"/>
    <sheet name="QB4" sheetId="47" r:id="rId47"/>
    <sheet name="QB5" sheetId="48" r:id="rId48"/>
    <sheet name="QB6" sheetId="49" r:id="rId49"/>
    <sheet name="QB7_1" sheetId="50" r:id="rId50"/>
    <sheet name="QB7_2" sheetId="51" r:id="rId51"/>
    <sheet name="QB7_3" sheetId="52" r:id="rId52"/>
    <sheet name="QB7_4" sheetId="53" r:id="rId53"/>
    <sheet name="QB7_5" sheetId="54" r:id="rId54"/>
    <sheet name="QB7_6" sheetId="55" r:id="rId55"/>
    <sheet name="QB7_7" sheetId="56" r:id="rId56"/>
    <sheet name="QB7_8" sheetId="57" r:id="rId57"/>
    <sheet name="QB8_1" sheetId="58" r:id="rId58"/>
    <sheet name="QB8_2" sheetId="59" r:id="rId59"/>
    <sheet name="QB8_3" sheetId="60" r:id="rId60"/>
    <sheet name="QB8_4" sheetId="61" r:id="rId61"/>
    <sheet name="QB8_5" sheetId="62" r:id="rId62"/>
    <sheet name="QB9_1" sheetId="63" r:id="rId63"/>
    <sheet name="QB9_2" sheetId="64" r:id="rId64"/>
    <sheet name="QB9_3" sheetId="65" r:id="rId65"/>
    <sheet name="QB9_4" sheetId="66" r:id="rId66"/>
    <sheet name="QB10_1" sheetId="67" r:id="rId67"/>
    <sheet name="QB10_2" sheetId="68" r:id="rId68"/>
    <sheet name="QB11_1" sheetId="69" r:id="rId69"/>
    <sheet name="QB11_2" sheetId="70" r:id="rId70"/>
    <sheet name="QB11_3" sheetId="71" r:id="rId71"/>
    <sheet name="QB11_4" sheetId="72" r:id="rId72"/>
    <sheet name="QB11_5" sheetId="73" r:id="rId73"/>
    <sheet name="SOC" sheetId="74" r:id="rId74"/>
    <sheet name="FRD1" sheetId="75" r:id="rId75"/>
    <sheet name="FRD2" sheetId="76" r:id="rId76"/>
    <sheet name="FRD3" sheetId="77" r:id="rId77"/>
    <sheet name="FRD4" sheetId="78" r:id="rId78"/>
    <sheet name="ECY1_1" sheetId="79" r:id="rId79"/>
    <sheet name="ECY1_2" sheetId="80" r:id="rId80"/>
    <sheet name="ECY1_3" sheetId="81" r:id="rId81"/>
    <sheet name="ECY1_4" sheetId="82" r:id="rId82"/>
    <sheet name="ECY1_5" sheetId="83" r:id="rId83"/>
    <sheet name="ECY1_6" sheetId="84" r:id="rId84"/>
    <sheet name="ECY2" sheetId="85" r:id="rId85"/>
    <sheet name="AVE1" sheetId="86" r:id="rId86"/>
    <sheet name="AVE2_1" sheetId="87" r:id="rId87"/>
    <sheet name="AVE2_2" sheetId="88" r:id="rId88"/>
    <sheet name="AVE2_3" sheetId="89" r:id="rId89"/>
    <sheet name="AVE2_4" sheetId="90" r:id="rId90"/>
    <sheet name="AVE2_5" sheetId="91" r:id="rId91"/>
    <sheet name="AVE2_6" sheetId="92" r:id="rId92"/>
    <sheet name="AVE2_7" sheetId="93" r:id="rId93"/>
    <sheet name="AVE2_8" sheetId="94" r:id="rId94"/>
    <sheet name="TNC1" sheetId="95" r:id="rId95"/>
    <sheet name="TNC2" sheetId="96" r:id="rId96"/>
    <sheet name="OFC1" sheetId="97" r:id="rId97"/>
    <sheet name="OFC2" sheetId="98" r:id="rId98"/>
    <sheet name="OFC3" sheetId="99" r:id="rId99"/>
    <sheet name="OFC4" sheetId="100" r:id="rId100"/>
    <sheet name="OFC5" sheetId="101" r:id="rId101"/>
    <sheet name="OFC6" sheetId="102" r:id="rId102"/>
    <sheet name="OFC7" sheetId="103" r:id="rId103"/>
    <sheet name="QD1_1" sheetId="104" r:id="rId104"/>
    <sheet name="QD1_2" sheetId="105" r:id="rId105"/>
    <sheet name="QD1_3" sheetId="106" r:id="rId106"/>
    <sheet name="QD1_4" sheetId="107" r:id="rId107"/>
    <sheet name="QD2" sheetId="108" r:id="rId108"/>
    <sheet name="QDSD1" sheetId="109" r:id="rId109"/>
    <sheet name="QDSD1R" sheetId="110" r:id="rId110"/>
    <sheet name="QD3" sheetId="111" r:id="rId111"/>
    <sheet name="QD4" sheetId="112" r:id="rId112"/>
    <sheet name="QD5_1" sheetId="113" r:id="rId113"/>
    <sheet name="QD5_2" sheetId="114" r:id="rId114"/>
    <sheet name="QD5_3" sheetId="115" r:id="rId115"/>
    <sheet name="QD5_4" sheetId="116" r:id="rId116"/>
    <sheet name="QD5_5" sheetId="117" r:id="rId117"/>
    <sheet name="QD5_6" sheetId="118" r:id="rId118"/>
    <sheet name="QD5_7" sheetId="119" r:id="rId119"/>
    <sheet name="QD5_8" sheetId="120" r:id="rId120"/>
    <sheet name="QD5_9" sheetId="121" r:id="rId121"/>
    <sheet name="QD5T" sheetId="122" r:id="rId122"/>
    <sheet name="QD6" sheetId="123" r:id="rId123"/>
    <sheet name="QD7" sheetId="124" r:id="rId124"/>
    <sheet name="QD8_1" sheetId="125" r:id="rId125"/>
    <sheet name="QD8_2" sheetId="126" r:id="rId126"/>
    <sheet name="QD9" sheetId="127" r:id="rId127"/>
    <sheet name="D11" sheetId="128" r:id="rId128"/>
    <sheet name="D11R" sheetId="129" r:id="rId129"/>
    <sheet name="D11bis" sheetId="130" r:id="rId130"/>
    <sheet name="D11G" sheetId="131" r:id="rId131"/>
    <sheet name="D8" sheetId="132" r:id="rId132"/>
    <sheet name="D8c" sheetId="133" r:id="rId133"/>
    <sheet name="D8cR2" sheetId="134" r:id="rId134"/>
    <sheet name="D10" sheetId="135" r:id="rId135"/>
    <sheet name="D15a" sheetId="136" r:id="rId136"/>
    <sheet name="D15a2" sheetId="137" r:id="rId137"/>
    <sheet name="C14" sheetId="138" r:id="rId138"/>
    <sheet name="D15b" sheetId="139" r:id="rId139"/>
    <sheet name="D15b2" sheetId="140" r:id="rId140"/>
    <sheet name="D25" sheetId="141" r:id="rId141"/>
    <sheet name="D60" sheetId="142" r:id="rId142"/>
    <sheet name="D70" sheetId="143" r:id="rId143"/>
    <sheet name="D70a" sheetId="144" r:id="rId144"/>
    <sheet name="D62_1" sheetId="145" r:id="rId145"/>
    <sheet name="D62_2" sheetId="146" r:id="rId146"/>
    <sheet name="D62_3" sheetId="147" r:id="rId147"/>
    <sheet name="D62_4" sheetId="148" r:id="rId148"/>
    <sheet name="D62R" sheetId="149" r:id="rId149"/>
    <sheet name="D63" sheetId="150" r:id="rId150"/>
    <sheet name="D73_1" sheetId="151" r:id="rId151"/>
    <sheet name="D73_2" sheetId="152" r:id="rId152"/>
    <sheet name="D73_3" sheetId="153" r:id="rId153"/>
    <sheet name="D73_4" sheetId="154" r:id="rId154"/>
    <sheet name="D71_1" sheetId="155" r:id="rId155"/>
    <sheet name="D71_2" sheetId="156" r:id="rId156"/>
    <sheet name="D71_3" sheetId="157" r:id="rId157"/>
    <sheet name="C2" sheetId="158" r:id="rId158"/>
    <sheet name="SD18a" sheetId="159" r:id="rId159"/>
    <sheet name="SD18b" sheetId="160" r:id="rId160"/>
    <sheet name="SD19a_1" sheetId="161" r:id="rId161"/>
    <sheet name="SD19a_2" sheetId="162" r:id="rId162"/>
    <sheet name="SD19a_3" sheetId="163" r:id="rId163"/>
    <sheet name="D1" sheetId="164" r:id="rId164"/>
    <sheet name="D1R1" sheetId="165" r:id="rId165"/>
    <sheet name="D1R2" sheetId="166" r:id="rId16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66" l="1"/>
  <c r="A9" i="165"/>
  <c r="A9" i="164"/>
  <c r="A9" i="163"/>
  <c r="A9" i="162"/>
  <c r="A9" i="161"/>
  <c r="A9" i="160"/>
  <c r="A9" i="159"/>
  <c r="A9" i="158"/>
  <c r="A9" i="157"/>
  <c r="A9" i="156"/>
  <c r="A9" i="155"/>
  <c r="A9" i="154"/>
  <c r="A9" i="153"/>
  <c r="A9" i="152"/>
  <c r="A9" i="151"/>
  <c r="A9" i="150"/>
  <c r="A9" i="149"/>
  <c r="A9" i="148"/>
  <c r="A9" i="147"/>
  <c r="A9" i="146"/>
  <c r="A9" i="145"/>
  <c r="A9" i="144"/>
  <c r="A9" i="143"/>
  <c r="A9" i="142"/>
  <c r="A9" i="141"/>
  <c r="A9" i="140"/>
  <c r="A9" i="139"/>
  <c r="A9" i="138"/>
  <c r="A9" i="137"/>
  <c r="A9" i="136"/>
  <c r="A9" i="135"/>
  <c r="A9" i="134"/>
  <c r="A9" i="133"/>
  <c r="A9" i="132"/>
  <c r="A9" i="131"/>
  <c r="A9" i="130"/>
  <c r="A9" i="129"/>
  <c r="A9" i="128"/>
  <c r="A9" i="127"/>
  <c r="A9" i="126"/>
  <c r="A9" i="125"/>
  <c r="A9" i="124"/>
  <c r="A9" i="123"/>
  <c r="A9" i="122"/>
  <c r="A9" i="121"/>
  <c r="A9" i="120"/>
  <c r="A9" i="119"/>
  <c r="A9" i="118"/>
  <c r="A9" i="117"/>
  <c r="A9" i="116"/>
  <c r="A9" i="115"/>
  <c r="A9" i="114"/>
  <c r="A9" i="113"/>
  <c r="A9" i="112"/>
  <c r="A9" i="111"/>
  <c r="A9" i="110"/>
  <c r="A9" i="109"/>
  <c r="A9" i="108"/>
  <c r="A9" i="107"/>
  <c r="A9" i="106"/>
  <c r="A9" i="105"/>
  <c r="A9" i="104"/>
  <c r="A9" i="103"/>
  <c r="A9" i="102"/>
  <c r="A9" i="101"/>
  <c r="A9" i="100"/>
  <c r="A9" i="99"/>
  <c r="A9" i="98"/>
  <c r="A9" i="97"/>
  <c r="A9" i="96"/>
  <c r="A9" i="95"/>
  <c r="A9" i="94"/>
  <c r="A9" i="93"/>
  <c r="A9" i="92"/>
  <c r="A9" i="91"/>
  <c r="A9" i="90"/>
  <c r="A9" i="89"/>
  <c r="A9" i="88"/>
  <c r="A9" i="87"/>
  <c r="A9" i="86"/>
  <c r="A9" i="85"/>
  <c r="A9" i="84"/>
  <c r="A9" i="83"/>
  <c r="A9" i="82"/>
  <c r="A9" i="81"/>
  <c r="A9" i="80"/>
  <c r="A9" i="79"/>
  <c r="A9" i="78"/>
  <c r="A9" i="77"/>
  <c r="A9" i="76"/>
  <c r="A9" i="75"/>
  <c r="A9" i="74"/>
  <c r="A9" i="73"/>
  <c r="A9" i="72"/>
  <c r="A9" i="71"/>
  <c r="A9" i="70"/>
  <c r="A9" i="69"/>
  <c r="A9" i="68"/>
  <c r="A9" i="67"/>
  <c r="A9" i="66"/>
  <c r="A9" i="65"/>
  <c r="A9" i="64"/>
  <c r="A9" i="63"/>
  <c r="A9" i="62"/>
  <c r="A9" i="61"/>
  <c r="A9" i="60"/>
  <c r="A9" i="59"/>
  <c r="A9" i="58"/>
  <c r="A9" i="57"/>
  <c r="A9" i="56"/>
  <c r="A9" i="55"/>
  <c r="A9" i="54"/>
  <c r="A9" i="53"/>
  <c r="A9" i="52"/>
  <c r="A9" i="51"/>
  <c r="A9" i="50"/>
  <c r="A9" i="49"/>
  <c r="A9" i="48"/>
  <c r="A9" i="47"/>
  <c r="A9" i="46"/>
  <c r="A9" i="45"/>
  <c r="A9" i="44"/>
  <c r="A9" i="43"/>
  <c r="A9" i="42"/>
  <c r="A9" i="41"/>
  <c r="A9" i="40"/>
  <c r="A9" i="39"/>
  <c r="A9" i="38"/>
  <c r="A9" i="37"/>
  <c r="A9" i="36"/>
  <c r="A9" i="35"/>
  <c r="A9" i="34"/>
  <c r="A9" i="33"/>
  <c r="A9" i="32"/>
  <c r="A9" i="31"/>
  <c r="A9" i="30"/>
  <c r="A9" i="29"/>
  <c r="A9" i="28"/>
  <c r="A9" i="27"/>
  <c r="A9" i="26"/>
  <c r="A9" i="25"/>
  <c r="A9" i="24"/>
  <c r="A9" i="23"/>
  <c r="A9" i="22"/>
  <c r="A9" i="21"/>
  <c r="A9" i="20"/>
  <c r="A9" i="19"/>
  <c r="A9" i="18"/>
  <c r="A9" i="17"/>
  <c r="A9" i="16"/>
  <c r="A9" i="15"/>
  <c r="A9" i="14"/>
  <c r="A9" i="13"/>
  <c r="A9" i="12"/>
  <c r="A9" i="11"/>
  <c r="A9" i="10"/>
  <c r="A9" i="9"/>
  <c r="A9" i="8"/>
  <c r="A9" i="7"/>
  <c r="A9" i="6"/>
  <c r="A9" i="5"/>
  <c r="A9" i="4"/>
  <c r="A9" i="3"/>
  <c r="A9" i="2"/>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alcChain>
</file>

<file path=xl/sharedStrings.xml><?xml version="1.0" encoding="utf-8"?>
<sst xmlns="http://schemas.openxmlformats.org/spreadsheetml/2006/main" count="13925" uniqueCount="1525">
  <si>
    <t>Project:</t>
  </si>
  <si>
    <t>Eurobarometer</t>
  </si>
  <si>
    <t>Wave:</t>
  </si>
  <si>
    <t>104.2</t>
  </si>
  <si>
    <t>Fieldwork:</t>
  </si>
  <si>
    <t>6/11 - 30/11/2025</t>
  </si>
  <si>
    <t>Sheet</t>
  </si>
  <si>
    <t>Question French</t>
  </si>
  <si>
    <t>Question English</t>
  </si>
  <si>
    <t>B. Pays de terrain</t>
  </si>
  <si>
    <t>B. Fieldwork country</t>
  </si>
  <si>
    <t>QA1. En général, diriez-vous que vous avez une image très positive, plutôt positive, neutre, plutôt négative ou très négative du Parlement européen ?</t>
  </si>
  <si>
    <t>QA1. In general, do you have a very positive, fairly positive, neutral, fairly negative or very negative image of the European Parliament?</t>
  </si>
  <si>
    <t>QA2. Vous-même, souhaiteriez-vous voir le Parlement européen jouer un rôle plus important ou moins important ?</t>
  </si>
  <si>
    <t>QA2. Would you personally like to see the European Parliament play a more important or less important role?</t>
  </si>
  <si>
    <t>D78. En général, l’Union européenne évoque-t-elle pour vous une image très positive, assez positive, neutre, assez négative ou très négative ?</t>
  </si>
  <si>
    <t>D78. In general, does the EU conjure up for you a very positive, fairly positive, neutral, fairly negative or very negative image?</t>
  </si>
  <si>
    <t>QA3. D'une façon générale, pensez-vous que, pour (NOTRE PAYS), le fait de faire partie de l'Union européenne est … ?</t>
  </si>
  <si>
    <t>QA3. Generally speaking, do you think that (OUR COUNTRY)'s membership of the EU is...?</t>
  </si>
  <si>
    <t>QA4a. Parmi les sujets suivants, lesquels souhaiteriez-vous que le Parlement européen traite en priorité ? En premier ?</t>
  </si>
  <si>
    <t>QA4a. Which of the following topics would you like to see addressed in priority by the European Parliament? Firstly?</t>
  </si>
  <si>
    <t>QA4b. Et ensuite ?</t>
  </si>
  <si>
    <t>QA4b. And then?</t>
  </si>
  <si>
    <t>QA4ab. Parmi les sujets suivants, lesquels souhaiteriez-vous que le Parlement européen traite en priorité ? En premier ? Et ensuite ? (4 RÉPONSES MAXIMUM)</t>
  </si>
  <si>
    <t>QA4ab. Which of the following topics would you like to see addressed in priority by the European Parliament? Firstly? And then? (MAX. 4 ANSWERS)</t>
  </si>
  <si>
    <t>QA5a. Parmi les propositions suivantes, quelles sont selon vous les valeurs que le Parlement européen devrait défendre en priorité ? En premier ?</t>
  </si>
  <si>
    <t>QA5a. In your opinion, which of the following values should the European Parliament defend as a matter of priority? Firstly?</t>
  </si>
  <si>
    <t>QA5b. Et ensuite ?</t>
  </si>
  <si>
    <t>QA5b. And then?</t>
  </si>
  <si>
    <t>QA5ab. Parmi les propositions suivantes, quelles sont selon vous les valeurs que le Parlement européen devrait défendre en priorité ? En premier ? Et ensuite ? (3 RÉPONSES MAXIMUM)</t>
  </si>
  <si>
    <t>QA5ab. In your opinion, which of the following values should the European Parliament defend as a matter of priority? Firstly? And then? (MAX. 3 ANSWERS)</t>
  </si>
  <si>
    <t>QA6. Diriez-vous que ::-À l’avenir, le rôle de l’Union européenne en matière de protection des citoyens européens contre les crises mondiales et les risques de sécurité devrait ...</t>
  </si>
  <si>
    <t>QA6. Would you say that::-In the future, the role of the European Union to protect European citizens against global crises and security risks should …</t>
  </si>
  <si>
    <t>QA7.1. Dans quelle mesure êtes-vous d’accord ou pas d’accord avec chacune des affirmations suivantes ?:-Les États membres de l’UE devraient être plus unis pour faire face aux défis mondiaux actuels</t>
  </si>
  <si>
    <t>QA7.1. To what extent do you agree or disagree with each of the following statements?:-EU Member States should be more united to face current global challenges</t>
  </si>
  <si>
    <t>QA7.2. Dans quelle mesure êtes-vous d’accord ou pas d’accord avec chacune des affirmations suivantes ?:-L’Union européenne a besoin de plus de moyens pour faire face aux défis mondiaux actuels</t>
  </si>
  <si>
    <t>QA7.2. To what extent do you agree or disagree with each of the following statements?:-The European Union needs more means to face current global challenges</t>
  </si>
  <si>
    <t>QA7.3. Dans quelle mesure êtes-vous d’accord ou pas d’accord avec chacune des affirmations suivantes ?:-L’Union européenne devrait avoir une voix plus forte au niveau international</t>
  </si>
  <si>
    <t>QA7.3. To what extent do you agree or disagree with each of the following statements?:-The European Union should have a stronger voice at the international level</t>
  </si>
  <si>
    <t>QA8a. En pensant à l’avenir, à quel aspect parmi les suivants l’UE devrait-elle accorder la priorité pour renforcer sa position dans le monde ? En premier ?</t>
  </si>
  <si>
    <t>QA8a. Thinking about the future, which of the following aspects should the EU focus on in order to strengthen its position in the world? Firstly?</t>
  </si>
  <si>
    <t>QA8b. Et ensuite ?</t>
  </si>
  <si>
    <t>QA8b. And then?</t>
  </si>
  <si>
    <t>QA8ab. En pensant à l'avenir, à quel aspect parmi les suivants l'UE devrait-elle accorder la priorité pour renforcer sa position dans le monde ? En premier ? Et ensuite ? (3 RÉPONSES MAXIMUM)</t>
  </si>
  <si>
    <t>QA8ab. Thinking about the future, which of the following aspects should the EU focus on in order to strengthen its position in the world? Firstly? And then? (MAX. 3 ANSWERS)</t>
  </si>
  <si>
    <t>QA9.1. Diriez-vous que vous êtes très optimiste, plutôt optimiste, plutôt pessimiste ou très pessimiste concernant le futur de/du… ?:-Votre famille et vous-même</t>
  </si>
  <si>
    <t>QA9.1. Would you say that you are very optimistic, fairly optimistic, fairly pessimistic or very pessimistic about the future of ...?:-Your family and yourself</t>
  </si>
  <si>
    <t>QA9.2. Diriez-vous que vous êtes très optimiste, plutôt optimiste, plutôt pessimiste ou très pessimiste concernant le futur de/du… ?:-(NOTRE PAYS)</t>
  </si>
  <si>
    <t>QA9.2. Would you say that you are very optimistic, fairly optimistic, fairly pessimistic or very pessimistic about the future of ...?:-(OUR COUNTRY)</t>
  </si>
  <si>
    <t>QA9.3. Diriez-vous que vous êtes très optimiste, plutôt optimiste, plutôt pessimiste ou très pessimiste concernant le futur de/du… ?:-L’UE</t>
  </si>
  <si>
    <t>QA9.3. Would you say that you are very optimistic, fairly optimistic, fairly pessimistic or very pessimistic about the future of ...?:-The EU</t>
  </si>
  <si>
    <t>QA9.4. Diriez-vous que vous êtes très optimiste, plutôt optimiste, plutôt pessimiste ou très pessimiste concernant le futur de/du… ?:-Monde</t>
  </si>
  <si>
    <t>QA9.4. Would you say that you are very optimistic, fairly optimistic, fairly pessimistic or very pessimistic about the future of ...?:-The world</t>
  </si>
  <si>
    <t>QA10. Si (NOTRE PAYS) n’était pas membre de l’UE, seriez-vous plus inquiet(ète), plus confiant(e) ou ni l’un ni l’autre face aux défis mondiaux actuels ?</t>
  </si>
  <si>
    <t>QA10. If (OUR COUNTRY) was not a member of the EU, would you feel more worried, more confident, or neither when it comes to facing current global challenges?</t>
  </si>
  <si>
    <t>QA11.1. Dans quelle mesure êtes-vous inquiet(ète) ou non à propos de chacun des problèmes suivants liés à la sécurité ou à la sûreté ? Veuillez utiliser une échelle de 1 à 10, où 1 signifie que vous n’êtes pas du tout inquiet(ète) et 10 que vous êtes extrêmement inquiet(ète).:-Les guerres et conflits actuels à proximité de l’Union européenne</t>
  </si>
  <si>
    <t>QA11.1. How worried or not are you about each of the following security or safety-related issues? Please use a scale from 1 to 10, where 1 means that you are not at all worried, and 10 that you are extremely worried.:-Active conflicts and wars near the European Union</t>
  </si>
  <si>
    <t>QA11.2. Dans quelle mesure êtes-vous inquiet(ète) ou non à propos de chacun des problèmes suivants liés à la sécurité ou à la sûreté ? Veuillez utiliser une échelle de 1 à 10, où 1 signifie que vous n’êtes pas du tout inquiet(ète) et 10 que vous êtes extrêmement inquiet(ète).:-Les cyberattaques en provenance de pays non membres de l’UE</t>
  </si>
  <si>
    <t>QA11.2. How worried or not are you about each of the following security or safety-related issues? Please use a scale from 1 to 10, where 1 means that you are not at all worried, and 10 that you are extremely worried.:-Cyber-attacks from non-EU countries</t>
  </si>
  <si>
    <t>QA11.3. Dans quelle mesure êtes-vous inquiet(ète) ou non à propos de chacun des problèmes suivants liés à la sécurité ou à la sûreté ? Veuillez utiliser une échelle de 1 à 10, où 1 signifie que vous n’êtes pas du tout inquiet(ète) et 10 que vous êtes extrêmement inquiet(ète).:-Les drones provenant de pays non membres de l’UE et opérant au-dessus ou à proximité des pays de l'UE</t>
  </si>
  <si>
    <t>QA11.3. How worried or not are you about each of the following security or safety-related issues? Please use a scale from 1 to 10, where 1 means that you are not at all worried, and 10 that you are extremely worried.:-Drones from non-EU countries operating over or near EU countries</t>
  </si>
  <si>
    <t>QA11.4. Dans quelle mesure êtes-vous inquiet(ète) ou non à propos de chacun des problèmes suivants liés à la sécurité ou à la sûreté ? Veuillez utiliser une échelle de 1 à 10, où 1 signifie que vous n’êtes pas du tout inquiet(ète) et 10 que vous êtes extrêmement inquiet(ète).:-Les pays non membres de l’UE qui tentent d’influencer les élections ou la politique en (NOTRE PAYS)</t>
  </si>
  <si>
    <t>QA11.4. How worried or not are you about each of the following security or safety-related issues? Please use a scale from 1 to 10, where 1 means that you are not at all worried, and 10 that you are extremely worried.:-Non-EU countries trying to influence elections or politics in (OUR COUNTRY)</t>
  </si>
  <si>
    <t>QA11.5. Dans quelle mesure êtes-vous inquiet(ète) ou non à propos de chacun des problèmes suivants liés à la sécurité ou à la sûreté ? Veuillez utiliser une échelle de 1 à 10, où 1 signifie que vous n’êtes pas du tout inquiet(ète) et 10 que vous êtes extrêmement inquiet(ète).:-La dépendance de l’UE à l’égard de pays tiers pour son approvisionnement en énergie</t>
  </si>
  <si>
    <t>QA11.5. How worried or not are you about each of the following security or safety-related issues? Please use a scale from 1 to 10, where 1 means that you are not at all worried, and 10 that you are extremely worried.:-The EU having to rely on non-EU countries for its energy supply</t>
  </si>
  <si>
    <t>QA11.6. Dans quelle mesure êtes-vous inquiet(ète) ou non à propos de chacun des problèmes suivants liés à la sécurité ou à la sûreté ? Veuillez utiliser une échelle de 1 à 10, où 1 signifie que vous n’êtes pas du tout inquiet(ète) et 10 que vous êtes extrêmement inquiet(ète).:-La dépendance de l’UE à l’égard de pays tiers pour sa défense</t>
  </si>
  <si>
    <t>QA11.6. How worried or not are you about each of the following security or safety-related issues? Please use a scale from 1 to 10, where 1 means that you are not at all worried, and 10 that you are extremely worried.:-The EU having to rely on non-EU countries for its defence</t>
  </si>
  <si>
    <t>QA11.7. Dans quelle mesure êtes-vous inquiet(ète) ou non à propos de chacun des problèmes suivants liés à la sécurité ou à la sûreté ? Veuillez utiliser une échelle de 1 à 10, où 1 signifie que vous n’êtes pas du tout inquiet(ète) et 10 que vous êtes extrêmement inquiet(ète).:-Le terrorisme</t>
  </si>
  <si>
    <t>QA11.7. How worried or not are you about each of the following security or safety-related issues? Please use a scale from 1 to 10, where 1 means that you are not at all worried, and 10 that you are extremely worried.:-Terrorism</t>
  </si>
  <si>
    <t>QA11.8. Dans quelle mesure êtes-vous inquiet(ète) ou non à propos de chacun des problèmes suivants liés à la sécurité ou à la sûreté ? Veuillez utiliser une échelle de 1 à 10, où 1 signifie que vous n’êtes pas du tout inquiet(ète) et 10 que vous êtes extrêmement inquiet(ète).:-Les flux migratoires incontrôlés</t>
  </si>
  <si>
    <t>QA11.8. How worried or not are you about each of the following security or safety-related issues? Please use a scale from 1 to 10, where 1 means that you are not at all worried, and 10 that you are extremely worried.:-Uncontrolled migration flows</t>
  </si>
  <si>
    <t>QA11.9. Dans quelle mesure êtes-vous inquiet(ète) ou non à propos de chacun des problèmes suivants liés à la sécurité ou à la sûreté ? Veuillez utiliser une échelle de 1 à 10, où 1 signifie que vous n’êtes pas du tout inquiet(ète) et 10 que vous êtes extrêmement inquiet(ète).:-L’aggravation des catastrophes naturelles en raison du changement climatique</t>
  </si>
  <si>
    <t>QA11.9. How worried or not are you about each of the following security or safety-related issues? Please use a scale from 1 to 10, where 1 means that you are not at all worried, and 10 that you are extremely worried.:-Natural disasters made worse by climate change</t>
  </si>
  <si>
    <t>QA12.1.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inquiet(ète).:-Le manque de transparence dans la manière dont les algorithmes prennent des décisions sur internet (p. ex., le contenu ou les publicités qui vous sont montrés, et pourquoi)</t>
  </si>
  <si>
    <t>QA12.1. And how worried or not are you about each of the following communication and society-related issues? Please use a scale from 1 to 10, where 1 means that you are not at all worried, and 10 that you are extremely worried.:-Lack of transparency in the way algorithms make decisions on the internet (e.g., which content or ads you are shown, and why)</t>
  </si>
  <si>
    <t>QA12.2.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inquiet(ète).:-La désinformation (informations fausses ou trompeuses)</t>
  </si>
  <si>
    <t>QA12.2. And how worried or not are you about each of the following communication and society-related issues? Please use a scale from 1 to 10, where 1 means that you are not at all worried, and 10 that you are extremely worried.:-Disinformation (false or misleading information)</t>
  </si>
  <si>
    <t>QA12.3.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inquiet(ète).:-L’indépendance des médias en (NOTRE PAYS)</t>
  </si>
  <si>
    <t>QA12.3. And how worried or not are you about each of the following communication and society-related issues? Please use a scale from 1 to 10, where 1 means that you are not at all worried, and 10 that you are extremely worried.:-The independence of the media in (OUR COUNTRY)</t>
  </si>
  <si>
    <t>QA12.4.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inquiet(ète).:-Le discours de haine en ligne et hors ligne</t>
  </si>
  <si>
    <t>QA12.4. And how worried or not are you about each of the following communication and society-related issues? Please use a scale from 1 to 10, where 1 means that you are not at all worried, and 10 that you are extremely worried.:-Hate speech online and offline</t>
  </si>
  <si>
    <t>QA12.5.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inquiet(ète).:-La polarisation de la société (p. ex., les divisions croissantes entre les groupes de la société)</t>
  </si>
  <si>
    <t>QA12.5. And how worried or not are you about each of the following communication and society-related issues? Please use a scale from 1 to 10, where 1 means that you are not at all worried, and 10 that you are extremely worried.:-Societal polarisation (e.g. growing divisions between groups in society)</t>
  </si>
  <si>
    <t>QA12.6.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inquiet(ète).:-Les faux contenus créés par l’intelligence artificielle (IA), comme les vidéos « deepfake » ou les fausses informations</t>
  </si>
  <si>
    <t>QA12.6. And how worried or not are you about each of the following communication and society-related issues? Please use a scale from 1 to 10, where 1 means that you are not at all worried, and 10 that you are extremely worried.:-Fake content created by artificial intelligence (AI), like deepfake videos or false information</t>
  </si>
  <si>
    <t>QA12.7.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inquiet(ète).:-Le contrôle des réseaux sociaux par une poignée de grandes entreprises</t>
  </si>
  <si>
    <t>QA12.7. And how worried or not are you about each of the following communication and society-related issues? Please use a scale from 1 to 10, where 1 means that you are not at all worried, and 10 that you are extremely worried.:-The control of social media by a few big companies</t>
  </si>
  <si>
    <t>QA12.8.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inquiet(ète).:-La protection des données personnelles en ligne</t>
  </si>
  <si>
    <t>QA12.8. And how worried or not are you about each of the following communication and society-related issues? Please use a scale from 1 to 10, where 1 means that you are not at all worried, and 10 that you are extremely worried.:-The protection of personal data online</t>
  </si>
  <si>
    <t>QA12.9.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inquiet(ète).:-Les menaces à la liberté d’expression</t>
  </si>
  <si>
    <t>QA12.9. And how worried or not are you about each of the following communication and society-related issues? Please use a scale from 1 to 10, where 1 means that you are not at all worried, and 10 that you are extremely worried.:-Threats to freedom of speech</t>
  </si>
  <si>
    <t>SD27. En pensant à l'évolution de votre niveau de vie personnel ces cinq prochaines années, laquelle des affirmations suivantes décrit le mieux vos prévisions ?</t>
  </si>
  <si>
    <t>SD27. When you think about the way your personal standard of living will evolve over the next five years, which of the following statements best describes your expectations?</t>
  </si>
  <si>
    <t>QB1. Avez-vous suivi par le passé ou suivez-vous actuellement un enseignement et une formation professionnels initiaux de niveau secondaire de 2e cycle ?</t>
  </si>
  <si>
    <t>QB1. Have you ever, in the past or currently, taken initial vocational education and training at upper secondary level?</t>
  </si>
  <si>
    <t>QB2. Parmi les parcours scolaires suivants, lequel recommanderiez-vous à une jeune personne qui a actuellement un choix à faire concernant son éducation secondaire de 2e cycle ?</t>
  </si>
  <si>
    <t>QB2. Which of the following educational pathways would you recommend to a young person who is now deciding on upper secondary education?</t>
  </si>
  <si>
    <t>QB3. Parmi les parcours scolaires suivants, lequel recommanderiez-vous à une jeune personne qui arrive à la fin de l’enseignement secondaire de 2e cycle ?</t>
  </si>
  <si>
    <t>QB3. Which of the following educational pathways would you recommend to a young person who is finishing upper secondary education?</t>
  </si>
  <si>
    <t>QB4. Selon vous, quels sont les principaux facteurs qui, de nos jours, poussent les jeunes à choisir un enseignement et une formation professionnels plutôt qu’une formation générale ? (3 RÉPONSES MAX.)</t>
  </si>
  <si>
    <t>QB4. What do you think are the main factor(s) that influence young people to choose vocational education and training over general education nowadays? (MAX. 3 ANSWERS)</t>
  </si>
  <si>
    <t>QB5. Veuillez me dire dans quelle mesure vous êtes d’accord ou pas d’accord avec l’affirmation suivante : en (NOTRE PAYS), les gens qui sont sur le point de choisir leur programme d’enseignement secondaire de 2e cycle reçoivent suffisamment d’informations sur les possibilités d’EFP.</t>
  </si>
  <si>
    <t>QB5. Could you tell me to what extent you agree or disagree with the following statement: In (OUR COUNTRY), people about to choose their upper secondary education receive enough information on VET opportunities.</t>
  </si>
  <si>
    <t>QB6. Selon vous, de quelle manière l’enseignement et la formation professionnels INITIAUX sont-ils perçus en (NOTRE PAYS) ?</t>
  </si>
  <si>
    <t>QB6. How do you think INITIAL vocational education and training is viewed in (OUR COUNTRY)?</t>
  </si>
  <si>
    <t>QB7.1. Veuillez m’indiquer dans quelle mesure vous êtes d’accord ou pas d’accord avec chacune des affirmations suivantes ::-L’EFPI offrent une éducation de haute qualité</t>
  </si>
  <si>
    <t>QB7.1. Please tell me to what extent you agree or disagree with each of the following statements::-IVET offers high quality learning</t>
  </si>
  <si>
    <t>QB7.2. Veuillez m’indiquer dans quelle mesure vous êtes d’accord ou pas d’accord avec chacune des affirmations suivantes ::-L’EFPI donnent accès à des infrastructures physiques et numériques modernes (ordinateurs, machines, etc.)</t>
  </si>
  <si>
    <t>QB7.2. Please tell me to what extent you agree or disagree with each of the following statements::-IVET gives access to modern physical and digital infrastructures (computers, machines, etc.)</t>
  </si>
  <si>
    <t>QB7.3. Veuillez m’indiquer dans quelle mesure vous êtes d’accord ou pas d’accord avec chacune des affirmations suivantes ::-Les enseignants et les formateurs de l’EFPI sont compétents</t>
  </si>
  <si>
    <t>QB7.3. Please tell me to what extent you agree or disagree with each of the following statements::-Teachers and trainers in IVET are competent</t>
  </si>
  <si>
    <t>QB7.4. Veuillez m’indiquer dans quelle mesure vous êtes d’accord ou pas d’accord avec chacune des affirmations suivantes ::-Les personnes qui mènent à bien des programmes d’EFPI peuvent s’inscrire à l’université</t>
  </si>
  <si>
    <t>QB7.4. Please tell me to what extent you agree or disagree with each of the following statements::-People who complete IVET programs can enrol in university studies</t>
  </si>
  <si>
    <t>QB7.5. Veuillez m’indiquer dans quelle mesure vous êtes d’accord ou pas d’accord avec chacune des affirmations suivantes ::-Les personnes qui étudient pour obtenir une qualification d’EFPI ont la possibilité d’étudier à l’étranger dans le cadre de leur formation</t>
  </si>
  <si>
    <t>QB7.5. Please tell me to what extent you agree or disagree with each of the following statements::-People who study for an IVET qualification have the opportunities to study abroad as part of their studies</t>
  </si>
  <si>
    <t>QB7.6. Veuillez m’indiquer dans quelle mesure vous êtes d’accord ou pas d’accord avec chacune des affirmations suivantes ::-L’EFPI ne procurent pas suffisamment de compétences transversales comme la communication ou l’esprit critique</t>
  </si>
  <si>
    <t>QB7.6. Please tell me to what extent you agree or disagree with each of the following statements::-IVET does not provide enough transversal skills such as communication or critical thinking</t>
  </si>
  <si>
    <t>QB7.7. Veuillez m’indiquer dans quelle mesure vous êtes d’accord ou pas d’accord avec chacune des affirmations suivantes ::-Les programmes d’EFPI ne parviennent souvent pas à enseigner des compétences élémentaires comme l’alphabétisation ou la maîtrise des outils numériques</t>
  </si>
  <si>
    <t>QB7.7. Please tell me to what extent you agree or disagree with each of the following statements::-IVET programs often fail to teach basic skills like literacy or digital literacy</t>
  </si>
  <si>
    <t>QB7.8. Veuillez m’indiquer dans quelle mesure vous êtes d’accord ou pas d’accord avec chacune des affirmations suivantes ::-Les personnes inscrites dans des programmes d’EFPI acquièrent des compétences techniques spécialisées directement utiles pour des professions spécifiques</t>
  </si>
  <si>
    <t>QB7.8. Please tell me to what extent you agree or disagree with each of the following statements::-People in IVET programs learn specialised technical skills directly relevant to specific occupations</t>
  </si>
  <si>
    <t>QB8.1. Veuillez m’indiquer dans quelle mesure vous êtes d’accord ou pas d’accord avec chacune des affirmations suivantes ::-Les emplois liés aux qualifications de l’EFPI risquent d’être remplacés par l’automatisation</t>
  </si>
  <si>
    <t>QB8.1. Please tell me to what extent you agree or disagree with each of the following statements::-Jobs linked to IVET qualifications are at risk of being replaced by automation</t>
  </si>
  <si>
    <t>QB8.2. Veuillez m’indiquer dans quelle mesure vous êtes d’accord ou pas d’accord avec chacune des affirmations suivantes ::-Les qualifications de l’EFPI débouchent sur des emplois bien rémunérés</t>
  </si>
  <si>
    <t>QB8.2. Please tell me to what extent you agree or disagree with each of the following statements::-IVET qualifications lead to jobs which are well paid</t>
  </si>
  <si>
    <t>QB8.3. Veuillez m’indiquer dans quelle mesure vous êtes d’accord ou pas d’accord avec chacune des affirmations suivantes ::-Les qualifications de l’EFPI débouchent sur des emplois très valorisés dans la société</t>
  </si>
  <si>
    <t>QB8.3. Please tell me to what extent you agree or disagree with each of the following statements::-IVET qualifications lead to jobs that are highly regarded in society</t>
  </si>
  <si>
    <t>QB8.4. Veuillez m’indiquer dans quelle mesure vous êtes d’accord ou pas d’accord avec chacune des affirmations suivantes ::-Les qualifications de l’EFPI débouchent sur des emplois très demandés sur le marché du travail en (NOTRE PAYS)</t>
  </si>
  <si>
    <t>QB8.4. Please tell me to what extent you agree or disagree with each of the following statements::-IVET qualifications lead to jobs which are in high demand in the labour market in (OUR COUNTRY)</t>
  </si>
  <si>
    <t>QB8.5. Veuillez m’indiquer dans quelle mesure vous êtes d’accord ou pas d’accord avec chacune des affirmations suivantes ::-Les qualifications de l’EFPI débouchent sur des emplois qui contribuent à la transition écologique</t>
  </si>
  <si>
    <t>QB8.5. Please tell me to what extent you agree or disagree with each of the following statements::-IVET qualifications lead to jobs that contribute to the green transition</t>
  </si>
  <si>
    <t>QB9.1. Veuillez m’indiquer dans quelle mesure vous êtes d’accord ou pas d’accord avec chacune des affirmations suivantes ::-Il est généralement plus facile d’étudier pour une qualification de l’enseignement secondaire de 2e cycle général que pour une qualification de l’enseignement et de la formation professionnels initiaux</t>
  </si>
  <si>
    <t>QB9.1. Please tell me to what extent you agree or disagree with each of the following statements::-It is generally easier to study for a qualification in general upper secondary education than in initial vocational education and training</t>
  </si>
  <si>
    <t>QB9.2. Veuillez m’indiquer dans quelle mesure vous êtes d’accord ou pas d’accord avec chacune des affirmations suivantes ::-Au niveau secondaire de 2e cycle, les élèves ayant obtenu de bons résultats scolaires sont souvent encouragés à poursuivre dans l’enseignement général plutôt que professionnel initial</t>
  </si>
  <si>
    <t>QB9.2. Please tell me to what extent you agree or disagree with each of the following statements::-Students with higher academic performance are often encouraged, at upper secondary level, to pursue general education rather than initial vocational</t>
  </si>
  <si>
    <t>QB9.3. Veuillez m’indiquer dans quelle mesure vous êtes d’accord ou pas d’accord avec chacune des affirmations suivantes ::-En (NOTRE PAYS), l’enseignement général de niveau secondaire de 2e cycle a une image plus positive que l’enseignement professionnel initial</t>
  </si>
  <si>
    <t>QB9.3. Please tell me to what extent you agree or disagree with each of the following statements::-In (OUR COUNTRY) general education at upper secondary level has a more positive image than initial vocational education</t>
  </si>
  <si>
    <t>QB9.4. Veuillez m’indiquer dans quelle mesure vous êtes d’accord ou pas d’accord avec chacune des affirmations suivantes ::-Les programmes d’EFPI sont suffisamment inclusifs pour veiller à ce que les élèves confrontés à des obstacles dans certains types d’environnements d’apprentissage obtiennent le soutien dont ils ont besoin pour mener à bien les programmes</t>
  </si>
  <si>
    <t>QB9.4. Please tell me to what extent you agree or disagree with each of the following statements::-IVET programmes are inclusive enough to make sure that the learners that may face barriers in certain types of learning environments get the support they need to be able to complete the programmes</t>
  </si>
  <si>
    <t>QB10.1. Veuillez m’indiquer dans quelle mesure vous êtes d’accord ou pas d’accord avec chacune des affirmations suivantes ::-Les domaines liés aux STIM dans l’EFPI (p. ex. construction, automobile, fabrication industrielle, TIC) conviennent mieux aux hommes</t>
  </si>
  <si>
    <t>QB10.1. Please tell me to what extent you agree or disagree with each of the following statements::-STEM-related fields in IVET (e.g. construction, automotive, manufacturing, ICT) are more suitable for men</t>
  </si>
  <si>
    <t>QB10.2. Veuillez m’indiquer dans quelle mesure vous êtes d’accord ou pas d’accord avec chacune des affirmations suivantes ::-Les femmes intéressées par les domaines liés aux STIM dans l’EFPI peuvent parfois être moins encouragées par leurs familles et les écoles que les hommes intéressés par les domaines liés aux STIM</t>
  </si>
  <si>
    <t>QB10.2. Please tell me to what extent you agree or disagree with each of the following statements::-Women interested in STEM-related fields in IVET may receive less encouragement from families and schools than men interested in STEM-related fields</t>
  </si>
  <si>
    <t>QB11.1. Veuillez m’indiquer dans quelle mesure vous êtes d’accord ou pas d’accord avec chacune des affirmations suivantes ::-Les femmes sont souvent encouragées à suivre un enseignement général, même si elles montrent un intérêt pour les matières techniques, pratiques ou de terrain</t>
  </si>
  <si>
    <t>QB11.1. Please tell me to what extent you agree or disagree with each of the following statements::-Women are often encouraged to pursue general education, even though they express interest in technical, practical, hands-on subjects</t>
  </si>
  <si>
    <t>QB11.2. Veuillez m’indiquer dans quelle mesure vous êtes d’accord ou pas d’accord avec chacune des affirmations suivantes ::-Les hommes qui n’ont pas de très bons résultats à l’école sont plus poussés que les femmes à choisir l’EFPI plutôt que l’enseignement général</t>
  </si>
  <si>
    <t>QB11.2. Please tell me to what extent you agree or disagree with each of the following statements::-Men who are not high academic achievers face more pressure to choose IVET over general education than women</t>
  </si>
  <si>
    <t>QB11.3. Veuillez m’indiquer dans quelle mesure vous êtes d’accord ou pas d’accord avec chacune des affirmations suivantes ::-Les enseignants et les conseillers d’orientation ne traitent pas les préjugés liés au genre de manière adéquate avant que les élèves fassent leur choix entre l’enseignement général et l’enseignement professionnel</t>
  </si>
  <si>
    <t>QB11.3. Please tell me to what extent you agree or disagree with each of the following statements::-Teachers and guidance counsellors do not adequately address gender biases before students make their choice between general and vocational education</t>
  </si>
  <si>
    <t>QB11.4. Veuillez m’indiquer dans quelle mesure vous êtes d’accord ou pas d’accord avec chacune des affirmations suivantes ::-Les stéréotypes de genre concernant le choix entre l’enseignement général et l’enseignement professionnel sont souvent renforcés par les familles, les pairs et les réseaux sociaux</t>
  </si>
  <si>
    <t>QB11.4. Please tell me to what extent you agree or disagree with each of the following statements::-Gender stereotypes around choosing between general and vocational education are often reinforced by families, peers and social media</t>
  </si>
  <si>
    <t>QB11.5. Veuillez m’indiquer dans quelle mesure vous êtes d’accord ou pas d’accord avec chacune des affirmations suivantes ::-Les hommes dans les domaines de l’EFPI liés aux soins et aux services sont souvent confrontés à la stigmatisation sociale ou au jugement</t>
  </si>
  <si>
    <t>QB11.5. Please tell me to what extent you agree or disagree with each of the following statements::-Men in caregiving or service-related IVET fields often face social stigma or judgment</t>
  </si>
  <si>
    <t xml:space="preserve">SOC. Quelles plateformes en ligne avez-vous utilisées au cours des 7 derniers jours pour une quelconque raison ? (PLUSIEURS RÉPONSES POSSIBLES) </t>
  </si>
  <si>
    <t>SOC. Which online platforms have you used in the last 7 days for any purpose? (MULTIPLE ANSWERS POSSIBLE)</t>
  </si>
  <si>
    <t xml:space="preserve">FRD1. Avez-vous déjà été dupé(e), par des messages instantanés ou des e-mails, et incité(e) à transférer de l’argent, à payer quelque chose ou à communiquer vos données personnelles par des personnes appartenant à l’une ou plusieurs des catégories suivantes ? (PLUSIEURS RÉPONSES POSSIBLES) </t>
  </si>
  <si>
    <t>FRD1. Have you ever been tricked, by instant messages or emails, into transferring money, paying for something, or giving your personal data by people belonging to one or more of the following categories? (MULTIPLE ANSWERS POSSIBLE)</t>
  </si>
  <si>
    <t xml:space="preserve">FRD2. Avez-vous signalé cette situation à l’un des organismes ou services suivants ? Sélectionnez toutes les réponses qui s’appliquent. (PLUSIEURS RÉPONSES POSSIBLES) </t>
  </si>
  <si>
    <t>FRD2. Did you report this to any of the following organisations or services? You may select all that apply. (MULTIPLE ANSWERS POSSIBLE)</t>
  </si>
  <si>
    <t xml:space="preserve">FRD3. Vous avez indiqué avoir été victime d’un type d’escroquerie en ligne. Quel impact cela a-t-il eu sur vous ? Sélectionnez toutes les réponses qui s’appliquent. (PLUSIEURS RÉPONSES POSSIBLES) </t>
  </si>
  <si>
    <t>FRD3. You said you experienced some type of online fraud. What impact did this have on you? You may select all that apply. (MULTIPLE ANSWERS POSSIBLE)</t>
  </si>
  <si>
    <t xml:space="preserve">FRD4. Avez-vous pris l’une des mesures suivantes pour vous protéger contre l’escroquerie en ligne ? (PLUSIEURS RÉPONSES POSSIBLES) </t>
  </si>
  <si>
    <t>FRD4. Have you taken any of the following actions to protect yourself against online fraud? (MULTIPLE ANSWERS POSSIBLE)</t>
  </si>
  <si>
    <t>ECY1.1.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ligne.:-Des entreprises</t>
  </si>
  <si>
    <t>ECY1.1.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communication.:-Businesses</t>
  </si>
  <si>
    <t>ECY1.2.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ligne.:-Le gouvernement (NATIONALITÉ)</t>
  </si>
  <si>
    <t>ECY1.2.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communication.:-(NATIONALITY) government</t>
  </si>
  <si>
    <t>ECY1.3.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ligne.:-La police/l’organisme chargé de l’application de la loi</t>
  </si>
  <si>
    <t>ECY1.3.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communication.:-Police / Law enforcement agency</t>
  </si>
  <si>
    <t>ECY1.4.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ligne.:-Des personnes se livrant à des activités criminelles</t>
  </si>
  <si>
    <t>ECY1.4.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communication.:-People engaging in criminal activity</t>
  </si>
  <si>
    <t>ECY1.5.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ligne.:-Les services secrets ou de renseignement (NATIONALITÉ)</t>
  </si>
  <si>
    <t>ECY1.5.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communication.:-(NATIONALITY) secret or intelligence services</t>
  </si>
  <si>
    <t>ECY1.6.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ligne.:-Des gouvernements étrangers</t>
  </si>
  <si>
    <t>ECY1.6.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communication.:-Foreign governments</t>
  </si>
  <si>
    <t>ECY2. Dans quelle mesure est-il important pour vous que vos communications privées en ligne (p. ex. lorsque vous utilisez WhatsApp, Signal, iMessage ou d’autres applications de messagerie privée/messagerie directe) avec d’autres personnes soient protégées par le chiffrement ?</t>
  </si>
  <si>
    <t>ECY2. How important is it to you that your private online communication (such as when using WhatsApp, Signal, iMessage or other private messaging applications/direct messaging) with others is protected through encryption?</t>
  </si>
  <si>
    <t>AVE1. À quel âge un enfant devrait-il être légalement autorisé à accéder à des plateformes de réseaux sociaux telles que TikTok, Instagram ou Pinterest, ou devrait-il n’y avoir aucune limitation quant à l’âge ?</t>
  </si>
  <si>
    <t>AVE1. How old should a child be before they are legally allowed to access social media platforms such as TikTok, Instagram or Pinterest, or should there be no limitations by age?</t>
  </si>
  <si>
    <t>AVE2.1. Dans quelle mesure êtes-vous préoccupé(e) ou non par chacun des problèmes suivants liés à l’utilisation par les enfants de services ou de plateformes en ligne ?:-Ils peuvent être confrontés à des contenus pornographiques</t>
  </si>
  <si>
    <t>AVE2.1. To what extent are you concerned or not about each of the following issues when children use online services or platforms?:-They may encounter pornographic content</t>
  </si>
  <si>
    <t>AVE2.2. Dans quelle mesure êtes-vous préoccupé(e) ou non par chacun des problèmes suivants liés à l’utilisation par les enfants de services ou de plateformes en ligne ?:-Ils peuvent être confrontés à des contenus violents</t>
  </si>
  <si>
    <t>AVE2.2. To what extent are you concerned or not about each of the following issues when children use online services or platforms?:-They may encounter violent content</t>
  </si>
  <si>
    <t>AVE2.3. Dans quelle mesure êtes-vous préoccupé(e) ou non par chacun des problèmes suivants liés à l’utilisation par les enfants de services ou de plateformes en ligne ?:-Ils peuvent être confrontés à des théories du complot</t>
  </si>
  <si>
    <t>AVE2.3. To what extent are you concerned or not about each of the following issues when children use online services or platforms?:-They may encounter conspiracy theories</t>
  </si>
  <si>
    <t>AVE2.4. Dans quelle mesure êtes-vous préoccupé(e) ou non par chacun des problèmes suivants liés à l’utilisation par les enfants de services ou de plateformes en ligne ?:-Ils peuvent être recrutés pour commettre un délit ou encouragés à le faire</t>
  </si>
  <si>
    <t>AVE2.4. To what extent are you concerned or not about each of the following issues when children use online services or platforms?:-They may be recruited or encouraged to commit a crime</t>
  </si>
  <si>
    <t>AVE2.5. Dans quelle mesure êtes-vous préoccupé(e) ou non par chacun des problèmes suivants liés à l’utilisation par les enfants de services ou de plateformes en ligne ?:-Ils peuvent être confrontés à des contenus terroristes incitant à la violence</t>
  </si>
  <si>
    <t>AVE2.5. To what extent are you concerned or not about each of the following issues when children use online services or platforms?:-They may encounter terrorist content encouraging violence</t>
  </si>
  <si>
    <t>AVE2.6. Dans quelle mesure êtes-vous préoccupé(e) ou non par chacun des problèmes suivants liés à l’utilisation par les enfants de services ou de plateformes en ligne ?:-Ils peuvent être abordés par des personnes qui cherchent à les exploiter</t>
  </si>
  <si>
    <t>AVE2.6. To what extent are you concerned or not about each of the following issues when children use online services or platforms?:-They may be approached by people who want to exploit them</t>
  </si>
  <si>
    <t>AVE2.7. Dans quelle mesure êtes-vous préoccupé(e) ou non par chacun des problèmes suivants liés à l’utilisation par les enfants de services ou de plateformes en ligne ?:-Ils peuvent passer trop de temps sur certaines applications et devenir dépendants</t>
  </si>
  <si>
    <t>AVE2.7. To what extent are you concerned or not about each of the following issues when children use online services or platforms?:-They may spend too much time using certain apps and potentially become addicted</t>
  </si>
  <si>
    <t>AVE2.8. Dans quelle mesure êtes-vous préoccupé(e) ou non par chacun des problèmes suivants liés à l’utilisation par les enfants de services ou de plateformes en ligne ?:-Ils peuvent être exploités à cause d’informations personnelles qu’ils partagent en ligne</t>
  </si>
  <si>
    <t>AVE2.8. To what extent are you concerned or not about each of the following issues when children use online services or platforms?:-They may be exploited based on personal information they share online</t>
  </si>
  <si>
    <t>TNC1. Il peut vous être demandé de donner votre accord ou votre consentement au traitement de vos données lors de l’utilisation de services en ligne, de sites web ou d’applications. Lisez-vous ces conditions générales ?</t>
  </si>
  <si>
    <t>TNC1. You may have been asked to approve or consent to your data being processed when using online services, websites or applications. Do you read these terms and conditions?</t>
  </si>
  <si>
    <t>TNC2. Diriez-vous que vous comprenez les conditions générales lorsque vous donnez votre accord ou votre consentement à l’utilisation de vos données ?</t>
  </si>
  <si>
    <t>TNC2. Would you say you understand the terms and conditions when you approve or consent to your data being used?</t>
  </si>
  <si>
    <t xml:space="preserve">OFC1. Au cours des 12 derniers mois, avez-vous personnellement été confronté(e) à l’un des types de contenu en ligne suivants ? Sélectionnez toutes les réponses qui s’appliquent. (PLUSIEURS RÉPONSES POSSIBLES) </t>
  </si>
  <si>
    <t>OFC1. In the past 12 months, have you personally come across any of the following types of online content? You may select all that apply. (MULTIPLE ANSWERS POSSIBLE)</t>
  </si>
  <si>
    <t xml:space="preserve">OFC2. Sur quelles plateformes en ligne avez-vous été confronté(e) à ce contenu au cours des 12 derniers mois ? Veuillez mentionner toutes les plateformes sur lesquelles vous avez été confronté(e) à ce contenu. (PLUSIEURS RÉPONSES POSSIBLES) </t>
  </si>
  <si>
    <t>OFC2. On which online platforms did you encounter this content in the past 12 months? Please mention all platforms where you have encountered this content. (MULTIPLE ANSWERS POSSIBLE)</t>
  </si>
  <si>
    <t>OFC3. Selon vous, le contenu en ligne auquel vous avez été confronté(e) aurait-il dû être supprimé ou retiré de la plateforme ?</t>
  </si>
  <si>
    <t>OFC3. Do you think the online content you came across should have been deleted or removed from the platform?</t>
  </si>
  <si>
    <t xml:space="preserve">OFC4. Avez-vous fait l’une des choses suivantes lorsque vous avez été confronté(e) à un contenu en ligne que vous jugiez offensant ou préjudiciable ? (PLUSIEURS RÉPONSES POSSIBLES) </t>
  </si>
  <si>
    <t>OFC4. Did you do any of the following when you encountered online content that you considered offensive or harmful? (MULTIPLE ANSWERS POSSIBLE)</t>
  </si>
  <si>
    <t>OFC5. Avez-vous essayé de charger ou de publier en ligne un contenu qui était légal, mais qui a été bloqué ou supprimé par une plateforme en ligne, y compris de réseaux sociaux ?</t>
  </si>
  <si>
    <t>OFC5. Have you tried to upload or post content online which was legal but was blocked or removed by an online platform, including social media?</t>
  </si>
  <si>
    <t xml:space="preserve">OFC6. Sur quelle plateforme cela s’est-il produit ? Veuillez mentionner toutes les plateformes sur lesquelles cela s’est produit. (PLUSIEURS RÉPONSES POSSIBLES) </t>
  </si>
  <si>
    <t>OFC6. On which platform did this occur? Please mention all platforms where this happened. (MULTIPLE ANSWERS POSSIBLE)</t>
  </si>
  <si>
    <t xml:space="preserve">OFC7. Quelles mesures avez-vous prises, le cas échéant, après que votre contenu a été bloqué ou supprimé ? (PLUSIEURS RÉPONSES POSSIBLES) </t>
  </si>
  <si>
    <t>OFC7. Which action did you take, if any, after your content was blocked or removed? (MULTIPLE ANSWERS POSSIBLE)</t>
  </si>
  <si>
    <t>QD1.1. Avez-vous des amis ou des relations … ?:-Juifs / juives</t>
  </si>
  <si>
    <t>QD1.1. Do you have friends or acquaintances who are…?:-Jewish</t>
  </si>
  <si>
    <t>QD1.2. Avez-vous des amis ou des relations … ?:-Musulmans / Musulmanes</t>
  </si>
  <si>
    <t>QD1.2. Do you have friends or acquaintances who are…?:-Muslim</t>
  </si>
  <si>
    <t>QD1.3. Avez-vous des amis ou des relations … ?:-Chrétiens / Chrétiennes</t>
  </si>
  <si>
    <t>QD1.3. Do you have friends or acquaintances who are…?:-Christian</t>
  </si>
  <si>
    <t>QD1.4. Avez-vous des amis ou des relations … ?:-D'une autre religion</t>
  </si>
  <si>
    <t>QD1.4. Do you have friends or acquaintances who are…?:-Of another religion</t>
  </si>
  <si>
    <t xml:space="preserve">QD2. Là où vous vivez, considérez-vous que vous appartenez à l'un des groupes suivants ? Veuillez m'indiquer tous ceux qui s'appliquent à vous. (PLUSIEURS RÉPONSES POSSIBLES) </t>
  </si>
  <si>
    <t>QD2. Where you live, do you consider yourself to be part of any of the following? Please tell me all that apply. (MULTIPLE ANSWERS POSSIBLE)</t>
  </si>
  <si>
    <t>QDSD1. Vous-même, vous considérez-vous comme étant ... ?</t>
  </si>
  <si>
    <t>QDSD1. Do you consider yourself to be…?</t>
  </si>
  <si>
    <t>QDSD1R. Vous-même, vous considérez-vous comme étant ... ?</t>
  </si>
  <si>
    <t>QDSD1R. Do you consider yourself to be…?</t>
  </si>
  <si>
    <t>QD3. Pensez-vous que l'antisémitisme est un problème ou pas en (NOTRE PAYS) ?</t>
  </si>
  <si>
    <t>QD3. Do you think antisemitism is a problem or not in (OUR COUNTRY)?</t>
  </si>
  <si>
    <t>QD4. Au cours des cinq dernières années, pensez-vous que l'antisémitisme a augmenté, est resté stable, ou a diminué en (NOTRE PAYS) ?</t>
  </si>
  <si>
    <t>QD4. Over the past five years, do you think antisemitism has increased, stayed the same or decreased in (OUR COUNTRY)?</t>
  </si>
  <si>
    <t>QD5.1. Plus précisément, pensez-vous que chacune des situations suivantes est un problème ou pas en (NOTRE PAYS) ?:-Les graffitis antisémites ou le vandalisme de bâtiments juifs ou d'institutions juives</t>
  </si>
  <si>
    <t>QD5.1. More precisely, do you think that each of the following situation is a problem or not in (OUR COUNTRY)?:-Antisemitic graffiti or vandalism of Jewish buildings or institutions</t>
  </si>
  <si>
    <t>QD5.2. Plus précisément, pensez-vous que chacune des situations suivantes est un problème ou pas en (NOTRE PAYS) ?:-Les agressions physiques à l'encontre de personnes juives</t>
  </si>
  <si>
    <t>QD5.2. More precisely, do you think that each of the following situation is a problem or not in (OUR COUNTRY)?:-Physical attacks against Jewish people</t>
  </si>
  <si>
    <t>QD5.3. Plus précisément, pensez-vous que chacune des situations suivantes est un problème ou pas en (NOTRE PAYS) ?:-Les expressions d'hostilité et les menaces à l'égard de personnes juives dans la rue ou d'autres espaces publics</t>
  </si>
  <si>
    <t>QD5.3. More precisely, do you think that each of the following situation is a problem or not in (OUR COUNTRY)?:-Expressions of hostility and threats towards Jewish people in the street or other public places</t>
  </si>
  <si>
    <t>QD5.4. Plus précisément, pensez-vous que chacune des situations suivantes est un problème ou pas en (NOTRE PAYS) ?:-L'antisémitisme dans les médias</t>
  </si>
  <si>
    <t>QD5.4. More precisely, do you think that each of the following situation is a problem or not in (OUR COUNTRY)?:-Antisemitism in the media</t>
  </si>
  <si>
    <t>QD5.5. Plus précisément, pensez-vous que chacune des situations suivantes est un problème ou pas en (NOTRE PAYS) ?:-L'antisémitisme dans la vie politique</t>
  </si>
  <si>
    <t>QD5.5. More precisely, do you think that each of the following situation is a problem or not in (OUR COUNTRY)?:-Antisemitism in political life</t>
  </si>
  <si>
    <t>QD5.6. Plus précisément, pensez-vous que chacune des situations suivantes est un problème ou pas en (NOTRE PAYS) ?:-L'antisémitisme sur Internet, y compris sur les réseaux sociaux</t>
  </si>
  <si>
    <t>QD5.6. More precisely, do you think that each of the following situation is a problem or not in (OUR COUNTRY)?:-Antisemitism on the internet, including online social networks</t>
  </si>
  <si>
    <t>QD5.7. Plus précisément, pensez-vous que chacune des situations suivantes est un problème ou pas en (NOTRE PAYS) ?:-L'antisémitisme dans les écoles et les universités</t>
  </si>
  <si>
    <t>QD5.7. More precisely, do you think that each of the following situation is a problem or not in (OUR COUNTRY)?:-Antisemitism in schools and universities</t>
  </si>
  <si>
    <t>QD5.8. Plus précisément, pensez-vous que chacune des situations suivantes est un problème ou pas en (NOTRE PAYS) ?:-Les personnes qui nient le génocide des juifs, la Shoah</t>
  </si>
  <si>
    <t>QD5.8. More precisely, do you think that each of the following situation is a problem or not in (OUR COUNTRY)?:-People denying the genocide of the Jewish people, the Holocaust</t>
  </si>
  <si>
    <t>QD5.9. Plus précisément, pensez-vous que chacune des situations suivantes est un problème ou pas en (NOTRE PAYS) ?:-La profanation de cimetières juifs</t>
  </si>
  <si>
    <t>QD5.9. More precisely, do you think that each of the following situation is a problem or not in (OUR COUNTRY)?:-Desecration of Jewish cemeteries</t>
  </si>
  <si>
    <t>QD5T. Plus précisément, pensez-vous que chacune des situations suivantes constitue un problème ou non dans (NOTRE PAYS) ? Somme des situations constituant un problème</t>
  </si>
  <si>
    <t>QD5T. More precisely, do you think that each of the following situation is a problem or not in (OUR COUNTRY)? Sum of situations considered a problem</t>
  </si>
  <si>
    <t>QD6. En général, dans quelle mesure pensez-vous qu'en (NOTRE PAYS) les gens sont bien informés ou pas sur l'histoire, les coutumes et les pratiques des (NATIONALITÉ) juifs. Pensez-vous qu'ils sont… ?</t>
  </si>
  <si>
    <t>QD6. Overall, to what extent do you think that in (OUR COUNTRY) people are well informed or not about the history, customs and practices of (NATIONALITY) Jewish people?</t>
  </si>
  <si>
    <t>QD7. Selon vous, est-ce que les conflits au Proche-Orient ont une influence sur la manière dont les (NATIONALITÉ) juifs sont perçues par les gens en (NOTRE PAYS) ?</t>
  </si>
  <si>
    <t>QD7. Do you think that conflicts in the Middle East have an influence or not on the way (NATIONALITY) Jewish people are perceived by people in (OUR COUNTRY)?</t>
  </si>
  <si>
    <t>QD8.1. À votre connaissance, y a-t-il une loi en (NOTRE PAYS) ::-… qui sanctionne l'incitation à la violence ou à la haine à l'encontre des personnes juives</t>
  </si>
  <si>
    <t>QD8.1. As far as you know, is there a law in (OUR COUNTRY)::-… that criminalises incitement to violence or hatred against Jewish people</t>
  </si>
  <si>
    <t>QD8.2. À votre connaissance, y a-t-il une loi en (NOTRE PAYS) ::-… qui sanctionne le fait de nier la Shoah</t>
  </si>
  <si>
    <t>QD8.2. As far as you know, is there a law in (OUR COUNTRY)::-… that criminalises the denial of the Holocaust</t>
  </si>
  <si>
    <t>QD9. D'une manière générale, pensez-vous que la Shoah est suffisamment enseignée ou pas dans les écoles (NATIONALITÉ) ?</t>
  </si>
  <si>
    <t>QD9. Generally speaking, do you think that the Holocaust is sufficiently taught or not in (NATIONALITY) schools?</t>
  </si>
  <si>
    <t>D11. Quel est votre âge ?</t>
  </si>
  <si>
    <t>D11. How old are you?</t>
  </si>
  <si>
    <t>D11R. Quel est votre âge ?</t>
  </si>
  <si>
    <t>D11R. How old are you?</t>
  </si>
  <si>
    <t>D11bis. Quel est votre âge ?</t>
  </si>
  <si>
    <t>D11bis. How old are you?</t>
  </si>
  <si>
    <t>D11G. Génération</t>
  </si>
  <si>
    <t>D11G. Generation</t>
  </si>
  <si>
    <t>D8. A quel âge avez-vous arrêté vos études à temps complet ?</t>
  </si>
  <si>
    <t>D8. How old were you when you stopped full-time education?</t>
  </si>
  <si>
    <t>D8c. Quel est le niveau d'études le plus élevé que vous avez atteint ?</t>
  </si>
  <si>
    <t>D8c. What is the highest level of education you completed?</t>
  </si>
  <si>
    <t>D8cR2. Quel est le niveau d'études le plus élevé que vous avez atteint ?</t>
  </si>
  <si>
    <t>D8cR2. What is the highest level of education you completed?</t>
  </si>
  <si>
    <t>D10. Comment vous définiriez-vous?</t>
  </si>
  <si>
    <t>D10. How would you describe yourself?</t>
  </si>
  <si>
    <t>D15a. Quelle est votre profession actuelle ?</t>
  </si>
  <si>
    <t>D15a. What is your current occupation?</t>
  </si>
  <si>
    <t>D15a2. Catégorie socioprofessionnelle</t>
  </si>
  <si>
    <t>D15a2. Socio-professional category</t>
  </si>
  <si>
    <t>C14. Catégorie socioprofessionnelle</t>
  </si>
  <si>
    <t>C14. Socio-professional category</t>
  </si>
  <si>
    <t>D15b. Exerciez-vous une activité professionnelle rémunérée auparavant ? Laquelle en dernier lieu ?</t>
  </si>
  <si>
    <t>D15b. Did you do any paid work in the past? What was your last occupation?</t>
  </si>
  <si>
    <t>D15b2. Catégorie socioprofessionnelle précédente</t>
  </si>
  <si>
    <t>D15b2. Previous socio-professional category</t>
  </si>
  <si>
    <t>D25. Diriez-vous que vous vivez … ?</t>
  </si>
  <si>
    <t>D25. Would you say you live in a...?</t>
  </si>
  <si>
    <t>D60. Sur ces douze derniers mois, diriez-vous que vous avez eu des difficultés à payer toutes vos factures à la fin du mois ... ?</t>
  </si>
  <si>
    <t>D60. During the last twelve months, would you say you had difficulties to pay your bills at the end of the month…?</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</si>
  <si>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</si>
  <si>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</si>
  <si>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 Dans l’ensemble, êtes-vous très satisfait(e), plutôt satisfait(e), pas très satisfait(e) ou pas du tout satisfait(e) de votre vie quotidienne ?</t>
  </si>
  <si>
    <t>D70a. On the whole, are you very satisfied, fairly satisfied, not very satisfied or not at all satisfied with your daily life?</t>
  </si>
  <si>
    <t>D62.1. Pouvez-vous dire si… ?:-Vous utilisez Internet chez vous, à votre domicile</t>
  </si>
  <si>
    <t>D62.1. Could you tell if…?:-You use the Internet at home, in your home</t>
  </si>
  <si>
    <t>D62.2. Pouvez-vous dire si… ?:-Vous utilisez Internet sur votre lieu de travail</t>
  </si>
  <si>
    <t>D62.2. Could you tell if…?:-You use the Internet on your place of work</t>
  </si>
  <si>
    <t>D62.3. Pouvez-vous dire si… ?:-Vous utilisez Internet sur votre appareil mobile (ordinateur portable, smartphone, tablette, etc.)</t>
  </si>
  <si>
    <t>D62.3. Could you tell if…?:-You use the Internet on your mobile device (laptop, smartphone, tablet, etc.)</t>
  </si>
  <si>
    <t>D62.4. Pouvez-vous dire si… ?:-Vous utilisez Internet ailleurs (école, université, cyber-cafés, etc.)</t>
  </si>
  <si>
    <t>D62.4. Could you tell if…?:-You use the Internet somewhere else (school, university, cyber-café, etc.)</t>
  </si>
  <si>
    <t>D62R. Utilisation Internet</t>
  </si>
  <si>
    <t>D62R. Use of the Internet</t>
  </si>
  <si>
    <t>D63. Vous considérez-vous, vous et votre foyer, comme appartenant à … ?</t>
  </si>
  <si>
    <t>D63. Do you see yourself and your household belonging to…?</t>
  </si>
  <si>
    <t>D73.1. En ce moment, diriez-vous que, d’une manière générale, les choses vont dans la bonne direction ou dans la mauvaise direction… ?:-En (NOTRE PAYS)</t>
  </si>
  <si>
    <t>D73.1. At the present time, would you say that, in general, things are going in the right direction or in the wrong direction, in…?:-(OUR COUNTRY)</t>
  </si>
  <si>
    <t>D73.2. En ce moment, diriez-vous que, d’une manière générale, les choses vont dans la bonne direction ou dans la mauvaise direction… ?:-Dans l’Union européenne</t>
  </si>
  <si>
    <t>D73.2. At the present time, would you say that, in general, things are going in the right direction or in the wrong direction, in…?:-The European Union</t>
  </si>
  <si>
    <t>D73.3. En ce moment, diriez-vous que, d’une manière générale, les choses vont dans la bonne direction ou dans la mauvaise direction… ?:-Aux États-Unis</t>
  </si>
  <si>
    <t>D73.3. At the present time, would you say that, in general, things are going in the right direction or in the wrong direction, in…?:-The USA</t>
  </si>
  <si>
    <t>D73.4. En ce moment, diriez-vous que, d’une manière générale, les choses vont dans la bonne direction ou dans la mauvaise direction… ?:-Dans votre vie personnelle</t>
  </si>
  <si>
    <t>D73.4. At the present time, would you say that, in general, things are going in the right direction or in the wrong direction, in…?:-Your life personally</t>
  </si>
  <si>
    <t>D71.1. Quand vous vous retrouvez avec des amis ou des proches, diriez-vous que vous discutez fréquemment, occasionnellement ou jamais à propos … ?:-De sujets de politique nationale</t>
  </si>
  <si>
    <t>D71.1. When you get together with friends or relatives, would you say you discuss frequently, occasionally or never about...?:-National political matters</t>
  </si>
  <si>
    <t>D71.2. Quand vous vous retrouvez avec des amis ou des proches, diriez-vous que vous discutez fréquemment, occasionnellement ou jamais à propos … ?:-De sujets de politique européenne</t>
  </si>
  <si>
    <t>D71.2. When you get together with friends or relatives, would you say you discuss frequently, occasionally or never about...?:-European political matters</t>
  </si>
  <si>
    <t>D71.3. Quand vous vous retrouvez avec des amis ou des proches, diriez-vous que vous discutez fréquemment, occasionnellement ou jamais à propos … ?:-De sujets de politique locale</t>
  </si>
  <si>
    <t>D71.3. When you get together with friends or relatives, would you say you discuss frequently, occasionally or never about...?:-Local political matters</t>
  </si>
  <si>
    <t>C2. Indice d'intérêt pour la politique</t>
  </si>
  <si>
    <t>C2. Political interest index</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</si>
  <si>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</si>
  <si>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</si>
  <si>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 Et du fonctionnement de la démocratie dans l’Union européenne ?</t>
  </si>
  <si>
    <t>SD18b. And how about the way democracy works in the EU?</t>
  </si>
  <si>
    <t>SD19a.1. Dans quelle mesure êtes-vous d’accord ou pas d’accord avec chacune des affirmations suivantes ?:-Ma voix compte dans l'Union européenne</t>
  </si>
  <si>
    <t>SD19a.1. To what extent do you agree or disagree with each of the following statements.:-My voice counts in the EU</t>
  </si>
  <si>
    <t>SD19a.2. Dans quelle mesure êtes-vous d’accord ou pas d’accord avec chacune des affirmations suivantes ?:-Ma voix compte en (NOTRE PAYS)</t>
  </si>
  <si>
    <t>SD19a.2. To what extent do you agree or disagree with each of the following statements.:-My voice counts in (OUR COUNTRY)</t>
  </si>
  <si>
    <t>SD19a.3. Dans quelle mesure êtes-vous d’accord ou pas d’accord avec chacune des affirmations suivantes ?:-La voix de (NOTRE PAYS) compte dans l’Union européenne</t>
  </si>
  <si>
    <t>SD19a.3. To what extent do you agree or disagree with each of the following statements.:-(OUR COUNTRY)’s voice counts in the EU</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</si>
  <si>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</si>
  <si>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</si>
  <si>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D1R1. Echelle politique gauche-droite</t>
  </si>
  <si>
    <t>D1R1. Left-right political scale</t>
  </si>
  <si>
    <t>D1R2. Echelle politique gauche-droite</t>
  </si>
  <si>
    <t>D1R2. Left-right political scale</t>
  </si>
  <si>
    <t>Eurobarometer - 104.2</t>
  </si>
  <si>
    <t>VOL A weighted</t>
  </si>
  <si>
    <t>Terrain/Fieldwork : 6/11 - 30/11/2025</t>
  </si>
  <si>
    <t>Base: Ensemble</t>
  </si>
  <si>
    <t>Base: All respondents</t>
  </si>
  <si>
    <t>UE27
EU27</t>
  </si>
  <si>
    <t>BE</t>
  </si>
  <si>
    <t>BG</t>
  </si>
  <si>
    <t>CZ</t>
  </si>
  <si>
    <t>DK</t>
  </si>
  <si>
    <t>DEW</t>
  </si>
  <si>
    <t>DE</t>
  </si>
  <si>
    <t>DEE</t>
  </si>
  <si>
    <t>EE</t>
  </si>
  <si>
    <t>IE</t>
  </si>
  <si>
    <t>EL</t>
  </si>
  <si>
    <t>ES</t>
  </si>
  <si>
    <t>FR</t>
  </si>
  <si>
    <t>HR</t>
  </si>
  <si>
    <t>IT</t>
  </si>
  <si>
    <t>CY</t>
  </si>
  <si>
    <t>LV</t>
  </si>
  <si>
    <t>LT</t>
  </si>
  <si>
    <t>LU</t>
  </si>
  <si>
    <t>HU</t>
  </si>
  <si>
    <t>MT</t>
  </si>
  <si>
    <t>NL</t>
  </si>
  <si>
    <t>AT</t>
  </si>
  <si>
    <t>PL</t>
  </si>
  <si>
    <t>PT</t>
  </si>
  <si>
    <t>RO</t>
  </si>
  <si>
    <t>SI</t>
  </si>
  <si>
    <t>SK</t>
  </si>
  <si>
    <t>FI</t>
  </si>
  <si>
    <t>SE</t>
  </si>
  <si>
    <t>Total</t>
  </si>
  <si>
    <t>-</t>
  </si>
  <si>
    <t>Très positive</t>
  </si>
  <si>
    <t>Very positive</t>
  </si>
  <si>
    <t>Plutôt positive</t>
  </si>
  <si>
    <t>Fairly positive</t>
  </si>
  <si>
    <t>Neutre</t>
  </si>
  <si>
    <t>Neutral</t>
  </si>
  <si>
    <t>Plutôt négative</t>
  </si>
  <si>
    <t>Fairly negative</t>
  </si>
  <si>
    <t>Très négative</t>
  </si>
  <si>
    <t>Very negative</t>
  </si>
  <si>
    <t>Ne sait pas</t>
  </si>
  <si>
    <t>Don’t know</t>
  </si>
  <si>
    <t>Total 'Positive'</t>
  </si>
  <si>
    <t>Total 'Négative'</t>
  </si>
  <si>
    <t>Total 'Negative'</t>
  </si>
  <si>
    <t>Plus important</t>
  </si>
  <si>
    <t>More important</t>
  </si>
  <si>
    <t>Moins important</t>
  </si>
  <si>
    <t>Less important</t>
  </si>
  <si>
    <t>Sans changement / Comme aujourd'hui (SPONTANÉ)</t>
  </si>
  <si>
    <t>No change / As it is now (SPONTANEOUS)</t>
  </si>
  <si>
    <t>Assez positive</t>
  </si>
  <si>
    <t>Assez négative</t>
  </si>
  <si>
    <t>Don't know</t>
  </si>
  <si>
    <t>Une bonne chose</t>
  </si>
  <si>
    <t>A good thing</t>
  </si>
  <si>
    <t>Une mauvaise chose</t>
  </si>
  <si>
    <t>A bad thing</t>
  </si>
  <si>
    <t>Une chose ni bonne ni mauvaise</t>
  </si>
  <si>
    <t>Neither a good thing nor a bad thing</t>
  </si>
  <si>
    <t>La santé publique</t>
  </si>
  <si>
    <t>Public health</t>
  </si>
  <si>
    <t>L’environnement et le changement climatique</t>
  </si>
  <si>
    <t>Environment and climate change</t>
  </si>
  <si>
    <t>La pauvreté et l’exclusion sociale</t>
  </si>
  <si>
    <t>Poverty and social exclusion</t>
  </si>
  <si>
    <t>L’économie et la création de nouveaux emplois</t>
  </si>
  <si>
    <t>Economy and job creation</t>
  </si>
  <si>
    <t>L’inflation, la hausse des prix et le coût de la vie</t>
  </si>
  <si>
    <t>Inflation, rising prices and the cost of living</t>
  </si>
  <si>
    <t>La transition numérique de l’économie et de la société européenne</t>
  </si>
  <si>
    <t>Digitalisation of the European economy and society</t>
  </si>
  <si>
    <t>L'aide humanitaire et l'aide au développement</t>
  </si>
  <si>
    <t>Humanitarian aid and development assistance</t>
  </si>
  <si>
    <t>L’autonomie de l’UE dans les domaines de l’industrie et de l’énergie</t>
  </si>
  <si>
    <t>EU autonomy in the fields of industry and energy</t>
  </si>
  <si>
    <t>La protection des consommateurs</t>
  </si>
  <si>
    <t>Consumer protection</t>
  </si>
  <si>
    <t>La migration et l'asile</t>
  </si>
  <si>
    <t>Migration and asylum</t>
  </si>
  <si>
    <t>Le terrorisme et le crime organisé</t>
  </si>
  <si>
    <t>Terrorism and organised crime</t>
  </si>
  <si>
    <t>La démocratie et l'État de droit</t>
  </si>
  <si>
    <t>Democracy and the rule of law</t>
  </si>
  <si>
    <t>La défense et la sécurité de l’UE</t>
  </si>
  <si>
    <t>EU defence and security</t>
  </si>
  <si>
    <t>L’agriculture et la sécurité alimentaire</t>
  </si>
  <si>
    <t>Agriculture and food security</t>
  </si>
  <si>
    <t>L'égalité des sexes, l'inclusion et la diversité</t>
  </si>
  <si>
    <t>Gender equality, inclusion and diversity</t>
  </si>
  <si>
    <t>Autre (SPONTANÉ)</t>
  </si>
  <si>
    <t>Other (SPONTANEOUS)</t>
  </si>
  <si>
    <t>Aucun (SPONTANÉ)</t>
  </si>
  <si>
    <t>None (SPONTANEOUS)</t>
  </si>
  <si>
    <t>Base: Pas demandé aux répondants qui ont répondu “Aucun” ou “Ne sait pas” à la QA4a</t>
  </si>
  <si>
    <t>Base: Not asked to respondents who answered "None" or "Don't know" in QA4a</t>
  </si>
  <si>
    <t>L'égalité entre les femmes et les hommes</t>
  </si>
  <si>
    <t>Equality between women and men</t>
  </si>
  <si>
    <t>La lutte contre les discriminations et pour la protection des minorités</t>
  </si>
  <si>
    <t>The fight against discrimination and for the protection of minorities</t>
  </si>
  <si>
    <t>La tolérance et le respect de la diversité au sein de la société</t>
  </si>
  <si>
    <t>Tolerance and respect for diversity in society</t>
  </si>
  <si>
    <t>La solidarité entre États membres de l'UE et entre ses régions</t>
  </si>
  <si>
    <t>Solidarity between EU Member States and between its regions</t>
  </si>
  <si>
    <t>La solidarité entre l'Union européenne et les pays pauvres dans le monde</t>
  </si>
  <si>
    <t>Solidarity between the EU and poor countries in the world</t>
  </si>
  <si>
    <t>La protection des droits de l'homme dans l'UE et dans le monde</t>
  </si>
  <si>
    <t>The protection of human rights in the EU and worldwide</t>
  </si>
  <si>
    <t>La liberté de religion et de croyance</t>
  </si>
  <si>
    <t>Freedom of religion and belief</t>
  </si>
  <si>
    <t>La libre circulation</t>
  </si>
  <si>
    <t>Freedom of movement</t>
  </si>
  <si>
    <t>La liberté d'expression et de pensée</t>
  </si>
  <si>
    <t>Freedom of speech and thought</t>
  </si>
  <si>
    <t>La dignité humaine, y compris l'interdiction de la peine de mort, de la torture et de l'esclavage</t>
  </si>
  <si>
    <t>Human dignity, including the prohibition of the death penalty, torture or slavery</t>
  </si>
  <si>
    <t>La démocratie</t>
  </si>
  <si>
    <t>Democracy</t>
  </si>
  <si>
    <t>L'État de droit</t>
  </si>
  <si>
    <t>The rule of law</t>
  </si>
  <si>
    <t>Le respect des identités, cultures et traditions nationales dans les États membres de l’UE</t>
  </si>
  <si>
    <t>Respect for national identities, cultures and traditions in the EU Member States</t>
  </si>
  <si>
    <t>Le droit de demander l'asile en cas de persécution</t>
  </si>
  <si>
    <t>The right to seek asylum from persecution</t>
  </si>
  <si>
    <t>La paix</t>
  </si>
  <si>
    <t>Peace</t>
  </si>
  <si>
    <t>Base: Pas demandé aux répondants qui ont répondu “Aucun” ou “Ne sait pas” à la QA5a</t>
  </si>
  <si>
    <t>Base: Not asked to respondents who answered "None" or "Don't know" in QA5a</t>
  </si>
  <si>
    <t>QA6. Diriez-vous que :</t>
  </si>
  <si>
    <t>QA6. Would you say that:</t>
  </si>
  <si>
    <t>À l’avenir, le rôle de l’Union européenne en matière de protection des citoyens européens contre les crises mondiales et les risques de sécurité devrait ...</t>
  </si>
  <si>
    <t>In the future, the role of the European Union to protect European citizens against global crises and security risks should …</t>
  </si>
  <si>
    <t>devenir plus important</t>
  </si>
  <si>
    <t>…become more important</t>
  </si>
  <si>
    <t>devenir moins important</t>
  </si>
  <si>
    <t>…become less important</t>
  </si>
  <si>
    <t>rester le même</t>
  </si>
  <si>
    <t>…stay the same</t>
  </si>
  <si>
    <t>QA7.1. Dans quelle mesure êtes-vous d’accord ou pas d’accord avec chacune des affirmations suivantes ?</t>
  </si>
  <si>
    <t>QA7.1. To what extent do you agree or disagree with each of the following statements?</t>
  </si>
  <si>
    <t>Les États membres de l’UE devraient être plus unis pour faire face aux défis mondiaux actuels</t>
  </si>
  <si>
    <t>EU Member States should be more united to face current global challenges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</si>
  <si>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</si>
  <si>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</si>
  <si>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</si>
  <si>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</si>
  <si>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</si>
  <si>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</si>
  <si>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</si>
  <si>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</si>
  <si>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</si>
  <si>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</si>
  <si>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</si>
  <si>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</si>
  <si>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QA7.2. Dans quelle mesure êtes-vous d’accord ou pas d’accord avec chacune des affirmations suivantes ?</t>
  </si>
  <si>
    <t>QA7.2. To what extent do you agree or disagree with each of the following statements?</t>
  </si>
  <si>
    <t>L’Union européenne a besoin de plus de moyens pour faire face aux défis mondiaux actuels</t>
  </si>
  <si>
    <t>The European Union needs more means to face current global challenges</t>
  </si>
  <si>
    <t>QA7.3. Dans quelle mesure êtes-vous d’accord ou pas d’accord avec chacune des affirmations suivantes ?</t>
  </si>
  <si>
    <t>QA7.3. To what extent do you agree or disagree with each of the following statements?</t>
  </si>
  <si>
    <t>L’Union européenne devrait avoir une voix plus forte au niveau international</t>
  </si>
  <si>
    <t>The European Union should have a stronger voice at the international level</t>
  </si>
  <si>
    <t>L’indépendance énergétique, les ressources et les infrastructures</t>
  </si>
  <si>
    <t>Energy independence, resources and infrastructures</t>
  </si>
  <si>
    <t>La défense et la sécurité</t>
  </si>
  <si>
    <t>Defence and security</t>
  </si>
  <si>
    <t>Les relations internationales et la diplomatie</t>
  </si>
  <si>
    <t>Foreign relations and diplomacy</t>
  </si>
  <si>
    <t>L’élargissement de l’UE et les relations avec les pays voisins</t>
  </si>
  <si>
    <t>EU enlargement and neighbourhood relations</t>
  </si>
  <si>
    <t>La technologie et l'innovation, y compris l'IA (intelligence artificielle)</t>
  </si>
  <si>
    <t>Technology and innovation, including AI (Artificial Intelligence)</t>
  </si>
  <si>
    <t>Les valeurs de l'UE, notamment la démocratie et la protection des droits de l'homme</t>
  </si>
  <si>
    <t>EU values, including democracy and the protection of human rights</t>
  </si>
  <si>
    <t>La compétitivité, l'économie et l'industrie</t>
  </si>
  <si>
    <t>Competitiveness, economy and industry</t>
  </si>
  <si>
    <t>Le commerce international</t>
  </si>
  <si>
    <t>International trade</t>
  </si>
  <si>
    <t>L'euro</t>
  </si>
  <si>
    <t>The Euro</t>
  </si>
  <si>
    <t>L'action pour le climat et la réduction des émissions de gaz à effet de serre</t>
  </si>
  <si>
    <t>Climate action and emissions reductions</t>
  </si>
  <si>
    <t>La sécurité alimentaire et l’agriculture</t>
  </si>
  <si>
    <t>Food security and agriculture</t>
  </si>
  <si>
    <t>L'éducation et la recherche</t>
  </si>
  <si>
    <t>Education and research</t>
  </si>
  <si>
    <t>La démographie, la migration et le vieillissement de la population</t>
  </si>
  <si>
    <t>Demography, migration and population ageing</t>
  </si>
  <si>
    <t>La culture</t>
  </si>
  <si>
    <t>Culture</t>
  </si>
  <si>
    <t>Base: Pas demandé aux répondants qui ont répondu “Aucun” ou “Ne sait pas” à la QA8a</t>
  </si>
  <si>
    <t>Base: Not asked to respondents who answered "None" or "Don't know" in QA8a</t>
  </si>
  <si>
    <t>QA9.1. Diriez-vous que vous êtes très optimiste, plutôt optimiste, plutôt pessimiste ou très pessimiste concernant le futur de/du… ?</t>
  </si>
  <si>
    <t>QA9.1. Would you say that you are very optimistic, fairly optimistic, fairly pessimistic or very pessimistic about the future of ...?</t>
  </si>
  <si>
    <t>Votre famille et vous-même</t>
  </si>
  <si>
    <t>Your family and yourself</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</si>
  <si>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</si>
  <si>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</si>
  <si>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</si>
  <si>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</si>
  <si>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</si>
  <si>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</si>
  <si>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</si>
  <si>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</si>
  <si>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</si>
  <si>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</si>
  <si>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</si>
  <si>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</si>
  <si>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QA9.2. Diriez-vous que vous êtes très optimiste, plutôt optimiste, plutôt pessimiste ou très pessimiste concernant le futur de/du… ?</t>
  </si>
  <si>
    <t>QA9.2. Would you say that you are very optimistic, fairly optimistic, fairly pessimistic or very pessimistic about the future of ...?</t>
  </si>
  <si>
    <t>(NOTRE PAYS)</t>
  </si>
  <si>
    <t>(OUR COUNTRY)</t>
  </si>
  <si>
    <t>QA9.3. Diriez-vous que vous êtes très optimiste, plutôt optimiste, plutôt pessimiste ou très pessimiste concernant le futur de/du… ?</t>
  </si>
  <si>
    <t>QA9.3. Would you say that you are very optimistic, fairly optimistic, fairly pessimistic or very pessimistic about the future of ...?</t>
  </si>
  <si>
    <t>L’UE</t>
  </si>
  <si>
    <t>The EU</t>
  </si>
  <si>
    <t>QA9.4. Diriez-vous que vous êtes très optimiste, plutôt optimiste, plutôt pessimiste ou très pessimiste concernant le futur de/du… ?</t>
  </si>
  <si>
    <t>QA9.4. Would you say that you are very optimistic, fairly optimistic, fairly pessimistic or very pessimistic about the future of ...?</t>
  </si>
  <si>
    <t>Monde</t>
  </si>
  <si>
    <t>The world</t>
  </si>
  <si>
    <t>Plus inquiet(ète)</t>
  </si>
  <si>
    <t>More worried</t>
  </si>
  <si>
    <t>Plus confiant(e)</t>
  </si>
  <si>
    <t>More confident</t>
  </si>
  <si>
    <t>Ni l’un ni l’autre</t>
  </si>
  <si>
    <t>Neither</t>
  </si>
  <si>
    <t>QA11.1. Dans quelle mesure êtes-vous inquiet(ète) ou non à propos de chacun des problèmes suivants liés à la sécurité ou à la sûreté ? Veuillez utiliser une échelle de 1 à 10, où 1 signifie que vous n’êtes pas du tout inquiet(ète) et 10 que vous êtes extrêmement inquiet(ète).</t>
  </si>
  <si>
    <t>QA11.1. How worried or not are you about each of the following security or safety-related issues? Please use a scale from 1 to 10, where 1 means that you are not at all worried, and 10 that you are extremely worried.</t>
  </si>
  <si>
    <t>Les guerres et conflits actuels à proximité de l’Union européenne</t>
  </si>
  <si>
    <t>Active conflicts and wars near the European Union</t>
  </si>
  <si>
    <t>1 Pas du tout inquiet(ète)</t>
  </si>
  <si>
    <t>1 Not at all worried</t>
  </si>
  <si>
    <t>2</t>
  </si>
  <si>
    <t>3</t>
  </si>
  <si>
    <t>4</t>
  </si>
  <si>
    <t>5</t>
  </si>
  <si>
    <t>6</t>
  </si>
  <si>
    <t>7</t>
  </si>
  <si>
    <t>8</t>
  </si>
  <si>
    <t>9</t>
  </si>
  <si>
    <t>10 Extrêmement inquiet(ète)</t>
  </si>
  <si>
    <t>10 Extremely worried</t>
  </si>
  <si>
    <t>Total 'Pas ou peu inquiet(ète)' (1-4)</t>
  </si>
  <si>
    <t>Total 'Not or slightly worried' (1-4)</t>
  </si>
  <si>
    <t>Total 'Modérément inquiet(ète)' (5-6)</t>
  </si>
  <si>
    <t>Total 'Moderately worried' (5-6)</t>
  </si>
  <si>
    <t>Total 'Très inquiet(ète)' (7-10)</t>
  </si>
  <si>
    <t>Total 'Highly worried' (7-10)</t>
  </si>
  <si>
    <t>QA11.2. Dans quelle mesure êtes-vous inquiet(ète) ou non à propos de chacun des problèmes suivants liés à la sécurité ou à la sûreté ? Veuillez utiliser une échelle de 1 à 10, où 1 signifie que vous n’êtes pas du tout inquiet(ète) et 10 que vous êtes extrêmement inquiet(ète).</t>
  </si>
  <si>
    <t>QA11.2. How worried or not are you about each of the following security or safety-related issues? Please use a scale from 1 to 10, where 1 means that you are not at all worried, and 10 that you are extremely worried.</t>
  </si>
  <si>
    <t>Les cyberattaques en provenance de pays non membres de l’UE</t>
  </si>
  <si>
    <t>Cyber-attacks from non-EU countries</t>
  </si>
  <si>
    <t>QA11.3. Dans quelle mesure êtes-vous inquiet(ète) ou non à propos de chacun des problèmes suivants liés à la sécurité ou à la sûreté ? Veuillez utiliser une échelle de 1 à 10, où 1 signifie que vous n’êtes pas du tout inquiet(ète) et 10 que vous êtes extrêmement inquiet(ète).</t>
  </si>
  <si>
    <t>QA11.3. How worried or not are you about each of the following security or safety-related issues? Please use a scale from 1 to 10, where 1 means that you are not at all worried, and 10 that you are extremely worried.</t>
  </si>
  <si>
    <t>Les drones provenant de pays non membres de l’UE et opérant au-dessus ou à proximité des pays de l'UE</t>
  </si>
  <si>
    <t>Drones from non-EU countries operating over or near EU countries</t>
  </si>
  <si>
    <t>QA11.4. Dans quelle mesure êtes-vous inquiet(ète) ou non à propos de chacun des problèmes suivants liés à la sécurité ou à la sûreté ? Veuillez utiliser une échelle de 1 à 10, où 1 signifie que vous n’êtes pas du tout inquiet(ète) et 10 que vous êtes extrêmement inquiet(ète).</t>
  </si>
  <si>
    <t>QA11.4. How worried or not are you about each of the following security or safety-related issues? Please use a scale from 1 to 10, where 1 means that you are not at all worried, and 10 that you are extremely worried.</t>
  </si>
  <si>
    <t>Les pays non membres de l’UE qui tentent d’influencer les élections ou la politique en (NOTRE PAYS)</t>
  </si>
  <si>
    <t>Non-EU countries trying to influence elections or politics in (OUR COUNTRY)</t>
  </si>
  <si>
    <t>QA11.5. Dans quelle mesure êtes-vous inquiet(ète) ou non à propos de chacun des problèmes suivants liés à la sécurité ou à la sûreté ? Veuillez utiliser une échelle de 1 à 10, où 1 signifie que vous n’êtes pas du tout inquiet(ète) et 10 que vous êtes extrêmement inquiet(ète).</t>
  </si>
  <si>
    <t>QA11.5. How worried or not are you about each of the following security or safety-related issues? Please use a scale from 1 to 10, where 1 means that you are not at all worried, and 10 that you are extremely worried.</t>
  </si>
  <si>
    <t>La dépendance de l’UE à l’égard de pays tiers pour son approvisionnement en énergie</t>
  </si>
  <si>
    <t>The EU having to rely on non-EU countries for its energy supply</t>
  </si>
  <si>
    <t>QA11.6. Dans quelle mesure êtes-vous inquiet(ète) ou non à propos de chacun des problèmes suivants liés à la sécurité ou à la sûreté ? Veuillez utiliser une échelle de 1 à 10, où 1 signifie que vous n’êtes pas du tout inquiet(ète) et 10 que vous êtes extrêmement inquiet(ète).</t>
  </si>
  <si>
    <t>QA11.6. How worried or not are you about each of the following security or safety-related issues? Please use a scale from 1 to 10, where 1 means that you are not at all worried, and 10 that you are extremely worried.</t>
  </si>
  <si>
    <t>La dépendance de l’UE à l’égard de pays tiers pour sa défense</t>
  </si>
  <si>
    <t>The EU having to rely on non-EU countries for its defence</t>
  </si>
  <si>
    <t>QA11.7. Dans quelle mesure êtes-vous inquiet(ète) ou non à propos de chacun des problèmes suivants liés à la sécurité ou à la sûreté ? Veuillez utiliser une échelle de 1 à 10, où 1 signifie que vous n’êtes pas du tout inquiet(ète) et 10 que vous êtes extrêmement inquiet(ète).</t>
  </si>
  <si>
    <t>QA11.7. How worried or not are you about each of the following security or safety-related issues? Please use a scale from 1 to 10, where 1 means that you are not at all worried, and 10 that you are extremely worried.</t>
  </si>
  <si>
    <t>Le terrorisme</t>
  </si>
  <si>
    <t>Terrorism</t>
  </si>
  <si>
    <t>QA11.8. Dans quelle mesure êtes-vous inquiet(ète) ou non à propos de chacun des problèmes suivants liés à la sécurité ou à la sûreté ? Veuillez utiliser une échelle de 1 à 10, où 1 signifie que vous n’êtes pas du tout inquiet(ète) et 10 que vous êtes extrêmement inquiet(ète).</t>
  </si>
  <si>
    <t>QA11.8. How worried or not are you about each of the following security or safety-related issues? Please use a scale from 1 to 10, where 1 means that you are not at all worried, and 10 that you are extremely worried.</t>
  </si>
  <si>
    <t>Les flux migratoires incontrôlés</t>
  </si>
  <si>
    <t>Uncontrolled migration flows</t>
  </si>
  <si>
    <t>QA11.9. Dans quelle mesure êtes-vous inquiet(ète) ou non à propos de chacun des problèmes suivants liés à la sécurité ou à la sûreté ? Veuillez utiliser une échelle de 1 à 10, où 1 signifie que vous n’êtes pas du tout inquiet(ète) et 10 que vous êtes extrêmement inquiet(ète).</t>
  </si>
  <si>
    <t>QA11.9. How worried or not are you about each of the following security or safety-related issues? Please use a scale from 1 to 10, where 1 means that you are not at all worried, and 10 that you are extremely worried.</t>
  </si>
  <si>
    <t>L’aggravation des catastrophes naturelles en raison du changement climatique</t>
  </si>
  <si>
    <t>Natural disasters made worse by climate change</t>
  </si>
  <si>
    <t>QA12.1.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t>
  </si>
  <si>
    <t>QA12.1. And how worried or not are you about each of the following communication and society-related issues? Please use a scale from 1 to 10, where 1 means that you are not at all worried, and 10 that you are extremely worried.</t>
  </si>
  <si>
    <t>Le manque de transparence dans la manière dont les algorithmes prennent des décisions sur internet (p. ex., le contenu ou les publicités qui vous sont montrés, et pourquoi)</t>
  </si>
  <si>
    <t>Lack of transparency in the way algorithms make decisions on the internet (e.g., which content or ads you are shown, and why)</t>
  </si>
  <si>
    <t>QA12.2.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t>
  </si>
  <si>
    <t>QA12.2. And how worried or not are you about each of the following communication and society-related issues? Please use a scale from 1 to 10, where 1 means that you are not at all worried, and 10 that you are extremely worried.</t>
  </si>
  <si>
    <t>La désinformation (informations fausses ou trompeuses)</t>
  </si>
  <si>
    <t>Disinformation (false or misleading information)</t>
  </si>
  <si>
    <t>QA12.3.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t>
  </si>
  <si>
    <t>QA12.3. And how worried or not are you about each of the following communication and society-related issues? Please use a scale from 1 to 10, where 1 means that you are not at all worried, and 10 that you are extremely worried.</t>
  </si>
  <si>
    <t>L’indépendance des médias en (NOTRE PAYS)</t>
  </si>
  <si>
    <t>The independence of the media in (OUR COUNTRY)</t>
  </si>
  <si>
    <t>QA12.4.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t>
  </si>
  <si>
    <t>QA12.4. And how worried or not are you about each of the following communication and society-related issues? Please use a scale from 1 to 10, where 1 means that you are not at all worried, and 10 that you are extremely worried.</t>
  </si>
  <si>
    <t>Le discours de haine en ligne et hors ligne</t>
  </si>
  <si>
    <t>Hate speech online and offline</t>
  </si>
  <si>
    <t>QA12.5.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t>
  </si>
  <si>
    <t>QA12.5. And how worried or not are you about each of the following communication and society-related issues? Please use a scale from 1 to 10, where 1 means that you are not at all worried, and 10 that you are extremely worried.</t>
  </si>
  <si>
    <t>La polarisation de la société (p. ex., les divisions croissantes entre les groupes de la société)</t>
  </si>
  <si>
    <t>Societal polarisation (e.g. growing divisions between groups in society)</t>
  </si>
  <si>
    <t>QA12.6.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t>
  </si>
  <si>
    <t>QA12.6. And how worried or not are you about each of the following communication and society-related issues? Please use a scale from 1 to 10, where 1 means that you are not at all worried, and 10 that you are extremely worried.</t>
  </si>
  <si>
    <t>Les faux contenus créés par l’intelligence artificielle (IA), comme les vidéos « deepfake » ou les fausses informations</t>
  </si>
  <si>
    <t>Fake content created by artificial intelligence (AI), like deepfake videos or false information</t>
  </si>
  <si>
    <t>QA12.7.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t>
  </si>
  <si>
    <t>QA12.7. And how worried or not are you about each of the following communication and society-related issues? Please use a scale from 1 to 10, where 1 means that you are not at all worried, and 10 that you are extremely worried.</t>
  </si>
  <si>
    <t>Le contrôle des réseaux sociaux par une poignée de grandes entreprises</t>
  </si>
  <si>
    <t>The control of social media by a few big companies</t>
  </si>
  <si>
    <t>QA12.8.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t>
  </si>
  <si>
    <t>QA12.8. And how worried or not are you about each of the following communication and society-related issues? Please use a scale from 1 to 10, where 1 means that you are not at all worried, and 10 that you are extremely worried.</t>
  </si>
  <si>
    <t>La protection des données personnelles en ligne</t>
  </si>
  <si>
    <t>The protection of personal data online</t>
  </si>
  <si>
    <t>QA12.9. Et dans quelle mesure êtes-vous inquiet(ète) ou non à propos de chacun des problèmes suivants liés à la communication et à la société ? Veuillez utiliser une échelle de 1 à 10, où 1 signifie que vous n’êtes pas du tout inquiet(ète) et 10 que vous êtes extrêmement inquiet(ète).</t>
  </si>
  <si>
    <t>QA12.9. And how worried or not are you about each of the following communication and society-related issues? Please use a scale from 1 to 10, where 1 means that you are not at all worried, and 10 that you are extremely worried.</t>
  </si>
  <si>
    <t>Les menaces à la liberté d’expression</t>
  </si>
  <si>
    <t>Threats to freedom of speech</t>
  </si>
  <si>
    <t>Votre niveau de vie va baisser</t>
  </si>
  <si>
    <t>Your standard of living will decrease</t>
  </si>
  <si>
    <t>Votre niveau de vie ne va pas changer</t>
  </si>
  <si>
    <t>Your standard of living will not change</t>
  </si>
  <si>
    <t>Votre niveau de vie va augmenter</t>
  </si>
  <si>
    <t>Your standard of living will increase</t>
  </si>
  <si>
    <t>Ne sait pas / Pas de réponse</t>
  </si>
  <si>
    <t>Don't know / No answer</t>
  </si>
  <si>
    <t>Oui, par le passé</t>
  </si>
  <si>
    <t>Yes, in the past</t>
  </si>
  <si>
    <t>Oui, actuellement</t>
  </si>
  <si>
    <t>Yes, currently</t>
  </si>
  <si>
    <t>Oui, actuellement et par le passé</t>
  </si>
  <si>
    <t>Yes, currently and in the past</t>
  </si>
  <si>
    <t>Non</t>
  </si>
  <si>
    <t>No</t>
  </si>
  <si>
    <t>Total 'Oui'</t>
  </si>
  <si>
    <t>Total 'Yes'</t>
  </si>
  <si>
    <t>Enseignement secondaire général</t>
  </si>
  <si>
    <t>General secondary education</t>
  </si>
  <si>
    <t>Enseignement secondaire professionnel</t>
  </si>
  <si>
    <t>Vocational secondary education</t>
  </si>
  <si>
    <t>Cela dépend (SPONTANÉ)</t>
  </si>
  <si>
    <t>It depends (SPONTANEOUS)</t>
  </si>
  <si>
    <t>Enseignement supérieur universitaire</t>
  </si>
  <si>
    <t>Higher academic education</t>
  </si>
  <si>
    <t>Enseignement et formation supérieurs professionnels</t>
  </si>
  <si>
    <t>Higher vocational education and training</t>
  </si>
  <si>
    <t>Les conseils d’enseignants ou de conseillers scolaires</t>
  </si>
  <si>
    <t>Guidance from teachers or school counsellors</t>
  </si>
  <si>
    <t>Les conseils des parents ou d’autres membres de la famille</t>
  </si>
  <si>
    <t>Advice from parents or other family members</t>
  </si>
  <si>
    <t>La nécessité ou le désir d’avoir un emploi et de gagner de l’argent dès que possible</t>
  </si>
  <si>
    <t>The need or desire to have a job and earn money as soon as possible</t>
  </si>
  <si>
    <t>Le souhait de devenir entrepreneurs ou indépendants</t>
  </si>
  <si>
    <t>They want to become an entrepreneur or self-employed</t>
  </si>
  <si>
    <t>Des notes ou résultats scolaires médiocres</t>
  </si>
  <si>
    <t>Poor school performance or grades</t>
  </si>
  <si>
    <t>Faire ce que la plupart des gens qu’ils côtoient font (p. ex. amis, camarades de classe ou autres personnes autour d’eux)</t>
  </si>
  <si>
    <t>Doing what most people around them do (e.g. friends, classmates, or others in their area)</t>
  </si>
  <si>
    <t>L’influence des réseaux sociaux ou de contenus en ligne</t>
  </si>
  <si>
    <t>Influence from social media or online content</t>
  </si>
  <si>
    <t>Le prestige ou le statut social perçu du cursus d’enseignement et de formation professionnels</t>
  </si>
  <si>
    <t>Perceived prestige or social status of the vocational education and training path</t>
  </si>
  <si>
    <t>Others (SPONTANEOUS)</t>
  </si>
  <si>
    <t>Strongly agree</t>
  </si>
  <si>
    <t>Strongly disagree</t>
  </si>
  <si>
    <t>QB7.1. Veuillez m’indiquer dans quelle mesure vous êtes d’accord ou pas d’accord avec chacune des affirmations suivantes :</t>
  </si>
  <si>
    <t>QB7.1. Please tell me to what extent you agree or disagree with each of the following statements:</t>
  </si>
  <si>
    <t>L’EFPI offrent une éducation de haute qualité</t>
  </si>
  <si>
    <t>IVET offers high quality learning</t>
  </si>
  <si>
    <t>QB7.2. Veuillez m’indiquer dans quelle mesure vous êtes d’accord ou pas d’accord avec chacune des affirmations suivantes :</t>
  </si>
  <si>
    <t>QB7.2. Please tell me to what extent you agree or disagree with each of the following statements:</t>
  </si>
  <si>
    <t>L’EFPI donnent accès à des infrastructures physiques et numériques modernes (ordinateurs, machines, etc.)</t>
  </si>
  <si>
    <t>IVET gives access to modern physical and digital infrastructures (computers, machines, etc.)</t>
  </si>
  <si>
    <t>QB7.3. Veuillez m’indiquer dans quelle mesure vous êtes d’accord ou pas d’accord avec chacune des affirmations suivantes :</t>
  </si>
  <si>
    <t>QB7.3. Please tell me to what extent you agree or disagree with each of the following statements:</t>
  </si>
  <si>
    <t>Les enseignants et les formateurs de l’EFPI sont compétents</t>
  </si>
  <si>
    <t>Teachers and trainers in IVET are competent</t>
  </si>
  <si>
    <t>QB7.4. Veuillez m’indiquer dans quelle mesure vous êtes d’accord ou pas d’accord avec chacune des affirmations suivantes :</t>
  </si>
  <si>
    <t>QB7.4. Please tell me to what extent you agree or disagree with each of the following statements:</t>
  </si>
  <si>
    <t>Les personnes qui mènent à bien des programmes d’EFPI peuvent s’inscrire à l’université</t>
  </si>
  <si>
    <t>People who complete IVET programs can enrol in university studies</t>
  </si>
  <si>
    <t>QB7.5. Veuillez m’indiquer dans quelle mesure vous êtes d’accord ou pas d’accord avec chacune des affirmations suivantes :</t>
  </si>
  <si>
    <t>QB7.5. Please tell me to what extent you agree or disagree with each of the following statements:</t>
  </si>
  <si>
    <t>Les personnes qui étudient pour obtenir une qualification d’EFPI ont la possibilité d’étudier à l’étranger dans le cadre de leur formation</t>
  </si>
  <si>
    <t>People who study for an IVET qualification have the opportunities to study abroad as part of their studies</t>
  </si>
  <si>
    <t>QB7.6. Veuillez m’indiquer dans quelle mesure vous êtes d’accord ou pas d’accord avec chacune des affirmations suivantes :</t>
  </si>
  <si>
    <t>QB7.6. Please tell me to what extent you agree or disagree with each of the following statements:</t>
  </si>
  <si>
    <t>L’EFPI ne procurent pas suffisamment de compétences transversales comme la communication ou l’esprit critique</t>
  </si>
  <si>
    <t>IVET does not provide enough transversal skills such as communication or critical thinking</t>
  </si>
  <si>
    <t>QB7.7. Veuillez m’indiquer dans quelle mesure vous êtes d’accord ou pas d’accord avec chacune des affirmations suivantes :</t>
  </si>
  <si>
    <t>QB7.7. Please tell me to what extent you agree or disagree with each of the following statements:</t>
  </si>
  <si>
    <t>Les programmes d’EFPI ne parviennent souvent pas à enseigner des compétences élémentaires comme l’alphabétisation ou la maîtrise des outils numériques</t>
  </si>
  <si>
    <t>IVET programs often fail to teach basic skills like literacy or digital literacy</t>
  </si>
  <si>
    <t>QB7.8. Veuillez m’indiquer dans quelle mesure vous êtes d’accord ou pas d’accord avec chacune des affirmations suivantes :</t>
  </si>
  <si>
    <t>QB7.8. Please tell me to what extent you agree or disagree with each of the following statements:</t>
  </si>
  <si>
    <t>Les personnes inscrites dans des programmes d’EFPI acquièrent des compétences techniques spécialisées directement utiles pour des professions spécifiques</t>
  </si>
  <si>
    <t>People in IVET programs learn specialised technical skills directly relevant to specific occupations</t>
  </si>
  <si>
    <t>QB8.1. Veuillez m’indiquer dans quelle mesure vous êtes d’accord ou pas d’accord avec chacune des affirmations suivantes :</t>
  </si>
  <si>
    <t>QB8.1. Please tell me to what extent you agree or disagree with each of the following statements:</t>
  </si>
  <si>
    <t>Les emplois liés aux qualifications de l’EFPI risquent d’être remplacés par l’automatisation</t>
  </si>
  <si>
    <t>Jobs linked to IVET qualifications are at risk of being replaced by automation</t>
  </si>
  <si>
    <t>QB8.2. Veuillez m’indiquer dans quelle mesure vous êtes d’accord ou pas d’accord avec chacune des affirmations suivantes :</t>
  </si>
  <si>
    <t>QB8.2. Please tell me to what extent you agree or disagree with each of the following statements:</t>
  </si>
  <si>
    <t>Les qualifications de l’EFPI débouchent sur des emplois bien rémunérés</t>
  </si>
  <si>
    <t>IVET qualifications lead to jobs which are well paid</t>
  </si>
  <si>
    <t>QB8.3. Veuillez m’indiquer dans quelle mesure vous êtes d’accord ou pas d’accord avec chacune des affirmations suivantes :</t>
  </si>
  <si>
    <t>QB8.3. Please tell me to what extent you agree or disagree with each of the following statements:</t>
  </si>
  <si>
    <t>Les qualifications de l’EFPI débouchent sur des emplois très valorisés dans la société</t>
  </si>
  <si>
    <t>IVET qualifications lead to jobs that are highly regarded in society</t>
  </si>
  <si>
    <t>QB8.4. Veuillez m’indiquer dans quelle mesure vous êtes d’accord ou pas d’accord avec chacune des affirmations suivantes :</t>
  </si>
  <si>
    <t>QB8.4. Please tell me to what extent you agree or disagree with each of the following statements:</t>
  </si>
  <si>
    <t>Les qualifications de l’EFPI débouchent sur des emplois très demandés sur le marché du travail en (NOTRE PAYS)</t>
  </si>
  <si>
    <t>IVET qualifications lead to jobs which are in high demand in the labour market in (OUR COUNTRY)</t>
  </si>
  <si>
    <t>QB8.5. Veuillez m’indiquer dans quelle mesure vous êtes d’accord ou pas d’accord avec chacune des affirmations suivantes :</t>
  </si>
  <si>
    <t>QB8.5. Please tell me to what extent you agree or disagree with each of the following statements:</t>
  </si>
  <si>
    <t>Les qualifications de l’EFPI débouchent sur des emplois qui contribuent à la transition écologique</t>
  </si>
  <si>
    <t>IVET qualifications lead to jobs that contribute to the green transition</t>
  </si>
  <si>
    <t>QB9.1. Veuillez m’indiquer dans quelle mesure vous êtes d’accord ou pas d’accord avec chacune des affirmations suivantes :</t>
  </si>
  <si>
    <t>QB9.1. Please tell me to what extent you agree or disagree with each of the following statements:</t>
  </si>
  <si>
    <t>Il est généralement plus facile d’étudier pour une qualification de l’enseignement secondaire de 2e cycle général que pour une qualification de l’enseignement et de la formation professionnels initiaux</t>
  </si>
  <si>
    <t>It is generally easier to study for a qualification in general upper secondary education than in initial vocational education and training</t>
  </si>
  <si>
    <t>QB9.2. Veuillez m’indiquer dans quelle mesure vous êtes d’accord ou pas d’accord avec chacune des affirmations suivantes :</t>
  </si>
  <si>
    <t>QB9.2. Please tell me to what extent you agree or disagree with each of the following statements:</t>
  </si>
  <si>
    <t>Au niveau secondaire de 2e cycle, les élèves ayant obtenu de bons résultats scolaires sont souvent encouragés à poursuivre dans l’enseignement général plutôt que professionnel initial</t>
  </si>
  <si>
    <t>Students with higher academic performance are often encouraged, at upper secondary level, to pursue general education rather than initial vocational</t>
  </si>
  <si>
    <t>QB9.3. Veuillez m’indiquer dans quelle mesure vous êtes d’accord ou pas d’accord avec chacune des affirmations suivantes :</t>
  </si>
  <si>
    <t>QB9.3. Please tell me to what extent you agree or disagree with each of the following statements:</t>
  </si>
  <si>
    <t>En (NOTRE PAYS), l’enseignement général de niveau secondaire de 2e cycle a une image plus positive que l’enseignement professionnel initial</t>
  </si>
  <si>
    <t>In (OUR COUNTRY) general education at upper secondary level has a more positive image than initial vocational education</t>
  </si>
  <si>
    <t>QB9.4. Veuillez m’indiquer dans quelle mesure vous êtes d’accord ou pas d’accord avec chacune des affirmations suivantes :</t>
  </si>
  <si>
    <t>QB9.4. Please tell me to what extent you agree or disagree with each of the following statements:</t>
  </si>
  <si>
    <t>Les programmes d’EFPI sont suffisamment inclusifs pour veiller à ce que les élèves confrontés à des obstacles dans certains types d’environnements d’apprentissage obtiennent le soutien dont ils ont besoin pour mener à bien les programmes</t>
  </si>
  <si>
    <t>IVET programmes are inclusive enough to make sure that the learners that may face barriers in certain types of learning environments get the support they need to be able to complete the programmes</t>
  </si>
  <si>
    <t>QB10.1. Veuillez m’indiquer dans quelle mesure vous êtes d’accord ou pas d’accord avec chacune des affirmations suivantes :</t>
  </si>
  <si>
    <t>QB10.1. Please tell me to what extent you agree or disagree with each of the following statements:</t>
  </si>
  <si>
    <t>Les domaines liés aux STIM dans l’EFPI (p. ex. construction, automobile, fabrication industrielle, TIC) conviennent mieux aux hommes</t>
  </si>
  <si>
    <t>STEM-related fields in IVET (e.g. construction, automotive, manufacturing, ICT) are more suitable for men</t>
  </si>
  <si>
    <t>QB10.2. Veuillez m’indiquer dans quelle mesure vous êtes d’accord ou pas d’accord avec chacune des affirmations suivantes :</t>
  </si>
  <si>
    <t>QB10.2. Please tell me to what extent you agree or disagree with each of the following statements:</t>
  </si>
  <si>
    <t>Les femmes intéressées par les domaines liés aux STIM dans l’EFPI peuvent parfois être moins encouragées par leurs familles et les écoles que les hommes intéressés par les domaines liés aux STIM</t>
  </si>
  <si>
    <t>Women interested in STEM-related fields in IVET may receive less encouragement from families and schools than men interested in STEM-related fields</t>
  </si>
  <si>
    <t>QB11.1. Veuillez m’indiquer dans quelle mesure vous êtes d’accord ou pas d’accord avec chacune des affirmations suivantes :</t>
  </si>
  <si>
    <t>QB11.1. Please tell me to what extent you agree or disagree with each of the following statements:</t>
  </si>
  <si>
    <t>Les femmes sont souvent encouragées à suivre un enseignement général, même si elles montrent un intérêt pour les matières techniques, pratiques ou de terrain</t>
  </si>
  <si>
    <t>Women are often encouraged to pursue general education, even though they express interest in technical, practical, hands-on subjects</t>
  </si>
  <si>
    <t>QB11.2. Veuillez m’indiquer dans quelle mesure vous êtes d’accord ou pas d’accord avec chacune des affirmations suivantes :</t>
  </si>
  <si>
    <t>QB11.2. Please tell me to what extent you agree or disagree with each of the following statements:</t>
  </si>
  <si>
    <t>Les hommes qui n’ont pas de très bons résultats à l’école sont plus poussés que les femmes à choisir l’EFPI plutôt que l’enseignement général</t>
  </si>
  <si>
    <t>Men who are not high academic achievers face more pressure to choose IVET over general education than women</t>
  </si>
  <si>
    <t>QB11.3. Veuillez m’indiquer dans quelle mesure vous êtes d’accord ou pas d’accord avec chacune des affirmations suivantes :</t>
  </si>
  <si>
    <t>QB11.3. Please tell me to what extent you agree or disagree with each of the following statements:</t>
  </si>
  <si>
    <t>Les enseignants et les conseillers d’orientation ne traitent pas les préjugés liés au genre de manière adéquate avant que les élèves fassent leur choix entre l’enseignement général et l’enseignement professionnel</t>
  </si>
  <si>
    <t>Teachers and guidance counsellors do not adequately address gender biases before students make their choice between general and vocational education</t>
  </si>
  <si>
    <t>QB11.4. Veuillez m’indiquer dans quelle mesure vous êtes d’accord ou pas d’accord avec chacune des affirmations suivantes :</t>
  </si>
  <si>
    <t>QB11.4. Please tell me to what extent you agree or disagree with each of the following statements:</t>
  </si>
  <si>
    <t>Les stéréotypes de genre concernant le choix entre l’enseignement général et l’enseignement professionnel sont souvent renforcés par les familles, les pairs et les réseaux sociaux</t>
  </si>
  <si>
    <t>Gender stereotypes around choosing between general and vocational education are often reinforced by families, peers and social media</t>
  </si>
  <si>
    <t>QB11.5. Veuillez m’indiquer dans quelle mesure vous êtes d’accord ou pas d’accord avec chacune des affirmations suivantes :</t>
  </si>
  <si>
    <t>QB11.5. Please tell me to what extent you agree or disagree with each of the following statements:</t>
  </si>
  <si>
    <t>Les hommes dans les domaines de l’EFPI liés aux soins et aux services sont souvent confrontés à la stigmatisation sociale ou au jugement</t>
  </si>
  <si>
    <t>Men in caregiving or service-related IVET fields often face social stigma or judgment</t>
  </si>
  <si>
    <t>Facebook</t>
  </si>
  <si>
    <t>X (anciennement Twitter)</t>
  </si>
  <si>
    <t>X (formerly named Twitter)</t>
  </si>
  <si>
    <t>Instagram</t>
  </si>
  <si>
    <t>LinkedIn</t>
  </si>
  <si>
    <t>YouTube</t>
  </si>
  <si>
    <t>Reddit</t>
  </si>
  <si>
    <t>Snapchat</t>
  </si>
  <si>
    <t>TikTok</t>
  </si>
  <si>
    <t>Pinterest</t>
  </si>
  <si>
    <t>Messenger</t>
  </si>
  <si>
    <t>WhatsApp</t>
  </si>
  <si>
    <t>Telegram</t>
  </si>
  <si>
    <t>Twitch</t>
  </si>
  <si>
    <t>Signal</t>
  </si>
  <si>
    <t>Discord</t>
  </si>
  <si>
    <t>Aucune (SPONTANÉ)</t>
  </si>
  <si>
    <t>Total 'A utilisé des plateformes en ligne au cours de la semaine dernière'</t>
  </si>
  <si>
    <t>Total 'Have used online platforms in the past week'</t>
  </si>
  <si>
    <t>Aucune</t>
  </si>
  <si>
    <t>None</t>
  </si>
  <si>
    <t>Oui, par quelqu’un se faisant passer pour un membre de votre famille ou demandant de l’aide au nom d’un membre de votre famille</t>
  </si>
  <si>
    <t>Yes, by someone pretending to be a member of your family or asking for help on behalf of your family member</t>
  </si>
  <si>
    <t>Oui, par quelqu’un se faisant passer pour une entreprise ou un contact professionnel</t>
  </si>
  <si>
    <t>Yes, by someone pretending to be a business or a work contact</t>
  </si>
  <si>
    <t>Oui, par quelqu’un promettant un investissement offrant de gros bénéfices</t>
  </si>
  <si>
    <t>Yes, by someone promising an investment with great benefits</t>
  </si>
  <si>
    <t>Oui, par quelqu’un se faisant passer pour un employé d’une banque</t>
  </si>
  <si>
    <t>Yes, by someone pretending to be a representative of a bank</t>
  </si>
  <si>
    <t>Oui, par quelqu’un se faisant passer pour la police</t>
  </si>
  <si>
    <t>Yes, by someone pretending to be the police</t>
  </si>
  <si>
    <t>Oui, par quelqu’un prétendant vendre des biens ou des services</t>
  </si>
  <si>
    <t>Yes, by someone pretending to be selling goods or services</t>
  </si>
  <si>
    <t>Oui, par quelqu’un prétendant avoir une relation amoureuse avec vous et vous demandant ensuite de l’argent</t>
  </si>
  <si>
    <t>Yes, by someone pretending to be in a romantic relationship with you and then demanding money</t>
  </si>
  <si>
    <t>Oui, par une autre personne</t>
  </si>
  <si>
    <t>Yes, by someone else</t>
  </si>
  <si>
    <t>Non, jamais</t>
  </si>
  <si>
    <t>No, never</t>
  </si>
  <si>
    <t>Vous n’utilisez pas les e-mails ou la messagerie instantanée</t>
  </si>
  <si>
    <t>You don’t use email or instant messaging</t>
  </si>
  <si>
    <t>Total 'Non'</t>
  </si>
  <si>
    <t>Total 'No'</t>
  </si>
  <si>
    <t>Base: Demandé aux répondants qui ont répondu "Oui" en FRD1</t>
  </si>
  <si>
    <t>Base: Asked to respondents who answered "Yes" in FRD1</t>
  </si>
  <si>
    <t>Oui, à la police</t>
  </si>
  <si>
    <t>Yes, to the police</t>
  </si>
  <si>
    <t>Oui, à la plateforme en ligne sur laquelle la demande d’argent ou de données personnelles a été faite</t>
  </si>
  <si>
    <t>Yes, to the online platform where the request for money or personal data was made</t>
  </si>
  <si>
    <t>Oui, à votre employeur</t>
  </si>
  <si>
    <t>Yes, to your employer</t>
  </si>
  <si>
    <t>Oui, à votre banque ou institution financière</t>
  </si>
  <si>
    <t>Yes, to your bank or financial institution</t>
  </si>
  <si>
    <t>Oui, à une association ou un organisme de protection des consommateurs</t>
  </si>
  <si>
    <t>Yes, to a consumer protection organisation or authority</t>
  </si>
  <si>
    <t>Oui, à un autre organisme</t>
  </si>
  <si>
    <t>Yes, to another organisation</t>
  </si>
  <si>
    <t>Non, vous ne l’avez signalée à aucun organisme ou service</t>
  </si>
  <si>
    <t>No, you didn’t report it to any organisation or service</t>
  </si>
  <si>
    <t>Perte de confiance</t>
  </si>
  <si>
    <t>Loss of trust</t>
  </si>
  <si>
    <t>Vous avez changé votre comportement en ligne</t>
  </si>
  <si>
    <t>You changed your online behaviour</t>
  </si>
  <si>
    <t>Vous vous êtes déconnecté(e) de l’environnement en ligne</t>
  </si>
  <si>
    <t>You disconnected from the online environment</t>
  </si>
  <si>
    <t>Conséquences sur la santé mentale (p. ex., dépression)</t>
  </si>
  <si>
    <t>Mental health consequences (e.g., depression)</t>
  </si>
  <si>
    <t>Conséquences sur la santé physique (p. ex., sensation d’être malade)</t>
  </si>
  <si>
    <t>Physical health consequences (e.g., feeling ill)</t>
  </si>
  <si>
    <t>Difficultés financières</t>
  </si>
  <si>
    <t>Financial difficulties</t>
  </si>
  <si>
    <t>Perturbation de votre vie de famille</t>
  </si>
  <si>
    <t>Disruption to your family life</t>
  </si>
  <si>
    <t>Cela vous a encouragé(e) à partager votre expérience et à mettre en garde les autres</t>
  </si>
  <si>
    <t>It encouraged you to share your experience and warn others</t>
  </si>
  <si>
    <t>Aucune de ces propositions (SPONTANÉ)</t>
  </si>
  <si>
    <t>None of the above (SPONTANEOUS)</t>
  </si>
  <si>
    <t>Vous avez installé un logiciel de sécurisation de vos appareils</t>
  </si>
  <si>
    <t>You installed software securing your devices</t>
  </si>
  <si>
    <t>Vous évitez de répondre à des appels de numéros inconnus sur votre téléphone mobile/smartphone</t>
  </si>
  <si>
    <t>You avoid picking up calls on your mobile phone / smartphone from unknown numbers</t>
  </si>
  <si>
    <t>Vous supprimez ou n’ouvrez jamais les e-mails ou autres messages provenant d’expéditeurs inconnus</t>
  </si>
  <si>
    <t>You delete or never open emails or other messages from unknown senders</t>
  </si>
  <si>
    <t>Vous ne laissez jamais personne utiliser votre ordinateur, votre tablette ou votre téléphone mobile</t>
  </si>
  <si>
    <t>You never let anyone use your computer, tablet or mobile phone</t>
  </si>
  <si>
    <t>Vous limitez le nombre d’appareils électroniques ayant accès à votre banque en ligne</t>
  </si>
  <si>
    <t>You limit the number of electronic devices with access to your online banking</t>
  </si>
  <si>
    <t>Vous fixez des plafonds de transferts d’argent depuis votre compte bancaire</t>
  </si>
  <si>
    <t>You set limits on money transfers from your bank account</t>
  </si>
  <si>
    <t>Vous n’interagissez jamais avec une personne inconnue en ligne, y compris sur les réseaux sociaux</t>
  </si>
  <si>
    <t>You never interact with anyone unknown online, including social media</t>
  </si>
  <si>
    <t>Autre</t>
  </si>
  <si>
    <t>Other</t>
  </si>
  <si>
    <t>Non, vous n’avez pris aucune mesure</t>
  </si>
  <si>
    <t>No, you did not take any actions</t>
  </si>
  <si>
    <t>Vous n’utilisez pas d’appareils électroniques tels qu’un smartphone, un ordinateur ou une tablette</t>
  </si>
  <si>
    <t>You do not use electronic devices such as a smartphone, a computer or a tablet</t>
  </si>
  <si>
    <t>ECY1.1.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t>
  </si>
  <si>
    <t>ECY1.1.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t>
  </si>
  <si>
    <t>Des entreprises</t>
  </si>
  <si>
    <t>Businesses</t>
  </si>
  <si>
    <t>1 Pas du tout préoccupé(e)</t>
  </si>
  <si>
    <t>1 Not at all concerned</t>
  </si>
  <si>
    <t>7 Extrêmement préoccupé(e)</t>
  </si>
  <si>
    <t>7 Extremely concerned</t>
  </si>
  <si>
    <t>Je n’utilise pas d’applications de messagerie (SPONTANÉ)</t>
  </si>
  <si>
    <t>I don’t use messaging applications (SPONTANEOUS)</t>
  </si>
  <si>
    <t>Total 'Pas préoccupé(e)'</t>
  </si>
  <si>
    <t>Total 'Not concerned'</t>
  </si>
  <si>
    <t>Total 'Moyennement préoccupé(e)'</t>
  </si>
  <si>
    <t>Total 'Moderately concerned'</t>
  </si>
  <si>
    <t>Total 'Préoccupé(e)'</t>
  </si>
  <si>
    <t>Total 'Concerned'</t>
  </si>
  <si>
    <t>ECY1.2.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t>
  </si>
  <si>
    <t>ECY1.2.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t>
  </si>
  <si>
    <t>Le gouvernement (NATIONALITÉ)</t>
  </si>
  <si>
    <t>(NATIONALITY) government</t>
  </si>
  <si>
    <t>ECY1.3.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t>
  </si>
  <si>
    <t>ECY1.3.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t>
  </si>
  <si>
    <t>La police/l’organisme chargé de l’application de la loi</t>
  </si>
  <si>
    <t>Police / Law enforcement agency</t>
  </si>
  <si>
    <t>ECY1.4.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t>
  </si>
  <si>
    <t>ECY1.4.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t>
  </si>
  <si>
    <t>Des personnes se livrant à des activités criminelles</t>
  </si>
  <si>
    <t>People engaging in criminal activity</t>
  </si>
  <si>
    <t>ECY1.5.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t>
  </si>
  <si>
    <t>ECY1.5.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t>
  </si>
  <si>
    <t>Les services secrets ou de renseignement (NATIONALITÉ)</t>
  </si>
  <si>
    <t>(NATIONALITY) secret or intelligence services</t>
  </si>
  <si>
    <t>ECY1.6. Sur une échelle de 1 à 7, dans quelle mesure êtes-vous préoccupé(e) par le fait que certaines des informations que vous partagez dans le cadre de communications privées en ligne (p. ex. lorsque vous utilisez WhatsApp, Signal, iMessage ou d’autres applications de messagerie privée/messagerie directe) puissent être consultées par l’une des personnes ou entités suivantes sans que vous le sachiez ou que vous l’autorisiez ? 1 signifie que vous n’êtes « pas du tout préoccupé(e) » et 7 que vous êtes « extrêmement préoccupé(e) ». Vous pouvez également indiquer si vous n’utilisez pas de communication privée en ligne.</t>
  </si>
  <si>
    <t>ECY1.6. 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t>
  </si>
  <si>
    <t>Des gouvernements étrangers</t>
  </si>
  <si>
    <t>Foreign governments</t>
  </si>
  <si>
    <t>Très important</t>
  </si>
  <si>
    <t>Very important</t>
  </si>
  <si>
    <t>Assez important</t>
  </si>
  <si>
    <t>Fairly important</t>
  </si>
  <si>
    <t>Pas très important</t>
  </si>
  <si>
    <t>Not very important</t>
  </si>
  <si>
    <t>Pas du tout important</t>
  </si>
  <si>
    <t>Not at all important</t>
  </si>
  <si>
    <t>Vous ne participez pas à des communications privées en ligne</t>
  </si>
  <si>
    <t>You don’t engage in private online communication</t>
  </si>
  <si>
    <t>Total 'Important'</t>
  </si>
  <si>
    <t>Total 'Pas Important'</t>
  </si>
  <si>
    <t>Total 'Not Important'</t>
  </si>
  <si>
    <t>1 à 5 ans</t>
  </si>
  <si>
    <t>1-5 years</t>
  </si>
  <si>
    <t>6 à 9 ans</t>
  </si>
  <si>
    <t>6-9 years</t>
  </si>
  <si>
    <t>10 ans</t>
  </si>
  <si>
    <t>10 years</t>
  </si>
  <si>
    <t>11 ans</t>
  </si>
  <si>
    <t>11 years</t>
  </si>
  <si>
    <t>12 ans</t>
  </si>
  <si>
    <t>12 years</t>
  </si>
  <si>
    <t>13 ans</t>
  </si>
  <si>
    <t>13 years</t>
  </si>
  <si>
    <t>14 ans</t>
  </si>
  <si>
    <t>14 years</t>
  </si>
  <si>
    <t>15 ans</t>
  </si>
  <si>
    <t>15 years</t>
  </si>
  <si>
    <t>16 ans</t>
  </si>
  <si>
    <t>16 years</t>
  </si>
  <si>
    <t>17 ans</t>
  </si>
  <si>
    <t>17 years</t>
  </si>
  <si>
    <t>L’accès aux plateformes de réseaux sociaux devrait être limité aux personnes âgées de 18 ans ou plus</t>
  </si>
  <si>
    <t>People should be 18 years or above to access social media platforms</t>
  </si>
  <si>
    <t>L’accès aux plateformes de réseaux sociaux ne devrait pas être limité en fonction de l’âge des enfants</t>
  </si>
  <si>
    <t>There should be no age limitations on children accessing social media platforms</t>
  </si>
  <si>
    <t>La décision devrait être laissée aux parents</t>
  </si>
  <si>
    <t>It should be left for parents to decide</t>
  </si>
  <si>
    <t>Cela dépend de la plateforme de réseaux sociaux</t>
  </si>
  <si>
    <t>It depends on the social media platform</t>
  </si>
  <si>
    <t>D’autres mesures devraient être prises pour limiter l’utilisation des réseaux sociaux par les enfants</t>
  </si>
  <si>
    <t>Some other measures should be taken to limit children’s use of social media</t>
  </si>
  <si>
    <t>Total 'Moins de 18 ans'</t>
  </si>
  <si>
    <t>Total 'Below 18 years old'</t>
  </si>
  <si>
    <t>AVE2.1. Dans quelle mesure êtes-vous préoccupé(e) ou non par chacun des problèmes suivants liés à l’utilisation par les enfants de services ou de plateformes en ligne ?</t>
  </si>
  <si>
    <t>AVE2.1. To what extent are you concerned or not about each of the following issues when children use online services or platforms?</t>
  </si>
  <si>
    <t>Ils peuvent être confrontés à des contenus pornographiques</t>
  </si>
  <si>
    <t>They may encounter pornographic content</t>
  </si>
  <si>
    <t>Très préoccupé(e)</t>
  </si>
  <si>
    <t>Very concerned</t>
  </si>
  <si>
    <t>Assez préoccupé(e)</t>
  </si>
  <si>
    <t>Fairly concerned</t>
  </si>
  <si>
    <t>Pas très préoccupé(e)</t>
  </si>
  <si>
    <t>Not very concerned</t>
  </si>
  <si>
    <t>Pas du tout préoccupé(e)</t>
  </si>
  <si>
    <t>Not at all concerned</t>
  </si>
  <si>
    <t>Total 'Not Concerned'</t>
  </si>
  <si>
    <t>AVE2.2. Dans quelle mesure êtes-vous préoccupé(e) ou non par chacun des problèmes suivants liés à l’utilisation par les enfants de services ou de plateformes en ligne ?</t>
  </si>
  <si>
    <t>AVE2.2. To what extent are you concerned or not about each of the following issues when children use online services or platforms?</t>
  </si>
  <si>
    <t>Ils peuvent être confrontés à des contenus violents</t>
  </si>
  <si>
    <t>They may encounter violent content</t>
  </si>
  <si>
    <t>AVE2.3. Dans quelle mesure êtes-vous préoccupé(e) ou non par chacun des problèmes suivants liés à l’utilisation par les enfants de services ou de plateformes en ligne ?</t>
  </si>
  <si>
    <t>AVE2.3. To what extent are you concerned or not about each of the following issues when children use online services or platforms?</t>
  </si>
  <si>
    <t>Ils peuvent être confrontés à des théories du complot</t>
  </si>
  <si>
    <t>They may encounter conspiracy theories</t>
  </si>
  <si>
    <t>AVE2.4. Dans quelle mesure êtes-vous préoccupé(e) ou non par chacun des problèmes suivants liés à l’utilisation par les enfants de services ou de plateformes en ligne ?</t>
  </si>
  <si>
    <t>AVE2.4. To what extent are you concerned or not about each of the following issues when children use online services or platforms?</t>
  </si>
  <si>
    <t>Ils peuvent être recrutés pour commettre un délit ou encouragés à le faire</t>
  </si>
  <si>
    <t>They may be recruited or encouraged to commit a crime</t>
  </si>
  <si>
    <t>AVE2.5. Dans quelle mesure êtes-vous préoccupé(e) ou non par chacun des problèmes suivants liés à l’utilisation par les enfants de services ou de plateformes en ligne ?</t>
  </si>
  <si>
    <t>AVE2.5. To what extent are you concerned or not about each of the following issues when children use online services or platforms?</t>
  </si>
  <si>
    <t>Ils peuvent être confrontés à des contenus terroristes incitant à la violence</t>
  </si>
  <si>
    <t>They may encounter terrorist content encouraging violence</t>
  </si>
  <si>
    <t>AVE2.6. Dans quelle mesure êtes-vous préoccupé(e) ou non par chacun des problèmes suivants liés à l’utilisation par les enfants de services ou de plateformes en ligne ?</t>
  </si>
  <si>
    <t>AVE2.6. To what extent are you concerned or not about each of the following issues when children use online services or platforms?</t>
  </si>
  <si>
    <t>Ils peuvent être abordés par des personnes qui cherchent à les exploiter</t>
  </si>
  <si>
    <t>They may be approached by people who want to exploit them</t>
  </si>
  <si>
    <t>AVE2.7. Dans quelle mesure êtes-vous préoccupé(e) ou non par chacun des problèmes suivants liés à l’utilisation par les enfants de services ou de plateformes en ligne ?</t>
  </si>
  <si>
    <t>AVE2.7. To what extent are you concerned or not about each of the following issues when children use online services or platforms?</t>
  </si>
  <si>
    <t>Ils peuvent passer trop de temps sur certaines applications et devenir dépendants</t>
  </si>
  <si>
    <t>They may spend too much time using certain apps and potentially become addicted</t>
  </si>
  <si>
    <t>AVE2.8. Dans quelle mesure êtes-vous préoccupé(e) ou non par chacun des problèmes suivants liés à l’utilisation par les enfants de services ou de plateformes en ligne ?</t>
  </si>
  <si>
    <t>AVE2.8. To what extent are you concerned or not about each of the following issues when children use online services or platforms?</t>
  </si>
  <si>
    <t>Ils peuvent être exploités à cause d’informations personnelles qu’ils partagent en ligne</t>
  </si>
  <si>
    <t>They may be exploited based on personal information they share online</t>
  </si>
  <si>
    <t>Oui, toujours</t>
  </si>
  <si>
    <t>Yes, always</t>
  </si>
  <si>
    <t>Oui, parfois</t>
  </si>
  <si>
    <t>Yes, sometimes</t>
  </si>
  <si>
    <t>Vous n’utilisez pas de services en ligne, de sites web ou d’applications (SPONTANÉ)</t>
  </si>
  <si>
    <t>You don’t use online services, websites or apps (SPONTANEOUS)</t>
  </si>
  <si>
    <t>Base: Demandé aux répondants qui ont répondu "Oui" en TNC1</t>
  </si>
  <si>
    <t>Base: Asked to respondents who answered "Yes" in TNC1</t>
  </si>
  <si>
    <t>Oui</t>
  </si>
  <si>
    <t>Yes</t>
  </si>
  <si>
    <t>Contenu raciste, tel que des messages, des images ou des vidéos que vous considérez comme hostiles ou dégradants à l’égard de groupes ethniques</t>
  </si>
  <si>
    <t>Racist content, such as posts, images or videos that you considered hostile or degrading towards ethnic groups</t>
  </si>
  <si>
    <t>Contenu antisémite, y compris négationniste</t>
  </si>
  <si>
    <t>Antisemitic content, including holocaust denial</t>
  </si>
  <si>
    <t>Contenu sexiste que vous considérez comme hostile ou dégradant à l’égard des femmes</t>
  </si>
  <si>
    <t>Sexist content that you considered hostile or degrading towards women</t>
  </si>
  <si>
    <t>Contenu que vous considérez comme hostile ou dégradant à l’égard de personnes sur la base de leur orientation sexuelle (p. ex. gays, lesbiennes ou bisexuels)</t>
  </si>
  <si>
    <t>Content that you considered hostile or degrading towards people based on their sexual orientation (such as gay, lesbian or bisexual)</t>
  </si>
  <si>
    <t>Contenu que vous considérez comme hostile ou dégradant à l’égard des personnes trans (transgenres)</t>
  </si>
  <si>
    <t>Content that you considered hostile or degrading towards trans people (transgender)</t>
  </si>
  <si>
    <t>Contenu terroriste, y compris des éléments encourageant des actions radicalisées ou incitant à la violence au nom de causes extrémistes</t>
  </si>
  <si>
    <t>Terrorist content, including material that promotes radicalised actions or encourages violence in the name of extremist causes</t>
  </si>
  <si>
    <t>Contenu pédopornographique</t>
  </si>
  <si>
    <t>Child sexual abuse material</t>
  </si>
  <si>
    <t>Contenu relayant des théories conspirationnistes préjudiciables</t>
  </si>
  <si>
    <t>Content that contained harmful conspiracy theories</t>
  </si>
  <si>
    <t>Tout autre contenu que vous considérez comme préjudiciable</t>
  </si>
  <si>
    <t>Any other content that you considered harmful</t>
  </si>
  <si>
    <t>Aucune de ces propositions</t>
  </si>
  <si>
    <t>None of the above</t>
  </si>
  <si>
    <t>Vous n’utilisez pas de plateformes en ligne/Internet (SPONTANÉ)</t>
  </si>
  <si>
    <t>You don’t use any online platforms / the internet (SPONTANEOUS)</t>
  </si>
  <si>
    <t>Base: Demandé aux répondants qui ont répondu "Oui" en OFC1</t>
  </si>
  <si>
    <t>Base: Asked to respondents who answered "Yes" in OFC1</t>
  </si>
  <si>
    <t>Messager</t>
  </si>
  <si>
    <t>Oui, en totalité</t>
  </si>
  <si>
    <t>Yes, all of it</t>
  </si>
  <si>
    <t>Oui, en partie</t>
  </si>
  <si>
    <t>Yes, some of it</t>
  </si>
  <si>
    <t>Vous l’avez signalé à la plateforme sur laquelle le contenu figurait</t>
  </si>
  <si>
    <t>You reported it to the platform where the content was found</t>
  </si>
  <si>
    <t>Vous l’avez signalé à la police</t>
  </si>
  <si>
    <t>You reported it to the police</t>
  </si>
  <si>
    <t>Vous l’avez signalé ailleurs</t>
  </si>
  <si>
    <t>You reported it elsewhere</t>
  </si>
  <si>
    <t>Vous avez envisagé de changer de plateforme</t>
  </si>
  <si>
    <t>You considered changing to a different platform</t>
  </si>
  <si>
    <t>Vous avez changé de plateforme</t>
  </si>
  <si>
    <t>You changed to a different platform</t>
  </si>
  <si>
    <t>You did none of the above</t>
  </si>
  <si>
    <t>Oui, plusieurs fois</t>
  </si>
  <si>
    <t>Yes, several times</t>
  </si>
  <si>
    <t>Oui, une fois</t>
  </si>
  <si>
    <t>Yes, once</t>
  </si>
  <si>
    <t>Préfère ne pas répondre (SPONTANÉ)</t>
  </si>
  <si>
    <t>Prefer not to answer (SPONTANEOUS)</t>
  </si>
  <si>
    <t>Base: Demandé aux répondants qui ont répondu "Oui" en OFC5</t>
  </si>
  <si>
    <t>Base: Asked to respondents who answered "Yes" in OFC5</t>
  </si>
  <si>
    <t>Vous avez contacté la plateforme en ligne</t>
  </si>
  <si>
    <t>You contacted the online platform</t>
  </si>
  <si>
    <t>Vous avez de nouveau chargé ou publié le contenu sur la même plateforme en ligne</t>
  </si>
  <si>
    <t>You uploaded or posted the content again on the same online platform</t>
  </si>
  <si>
    <t>Vous avez de nouveau chargé ou publié le contenu sur une autre plateforme en ligne</t>
  </si>
  <si>
    <t>You uploaded or posted the content again on a different online platform</t>
  </si>
  <si>
    <t>Vous n’avez pris aucune mesure</t>
  </si>
  <si>
    <t>You took no action</t>
  </si>
  <si>
    <t>QD1.1. Avez-vous des amis ou des relations … ?</t>
  </si>
  <si>
    <t>QD1.1. Do you have friends or acquaintances who are…?</t>
  </si>
  <si>
    <t>Juifs / juives</t>
  </si>
  <si>
    <t>Jewish</t>
  </si>
  <si>
    <t>Refus (SPONTANÉ)</t>
  </si>
  <si>
    <t>Refusal (SPONTANEOUS)</t>
  </si>
  <si>
    <t>QD1.2. Avez-vous des amis ou des relations … ?</t>
  </si>
  <si>
    <t>QD1.2. Do you have friends or acquaintances who are…?</t>
  </si>
  <si>
    <t>Musulmans / Musulmanes</t>
  </si>
  <si>
    <t>Muslim</t>
  </si>
  <si>
    <t>QD1.3. Avez-vous des amis ou des relations … ?</t>
  </si>
  <si>
    <t>QD1.3. Do you have friends or acquaintances who are…?</t>
  </si>
  <si>
    <t>Chrétiens / Chrétiennes</t>
  </si>
  <si>
    <t>Christian</t>
  </si>
  <si>
    <t>QD1.4. Avez-vous des amis ou des relations … ?</t>
  </si>
  <si>
    <t>QD1.4. Do you have friends or acquaintances who are…?</t>
  </si>
  <si>
    <t>D'une autre religion</t>
  </si>
  <si>
    <t>Of another religion</t>
  </si>
  <si>
    <t>Une minorité ethnique</t>
  </si>
  <si>
    <t>An ethnic minority</t>
  </si>
  <si>
    <t>Une minorité religieuse</t>
  </si>
  <si>
    <t>A religious minority</t>
  </si>
  <si>
    <t>Une minorité sexuelle (comme le fait d'être homosexuel, lesbienne, bisexuel, transgenre ou transsexuel)</t>
  </si>
  <si>
    <t>A sexual minority (like being gay, lesbian, bisexual, transgender or transsexual)</t>
  </si>
  <si>
    <t>Une minorité liée à un handicap</t>
  </si>
  <si>
    <t>A minority in terms of disability</t>
  </si>
  <si>
    <t>Un autre groupe minoritaire</t>
  </si>
  <si>
    <t>Any other minority group</t>
  </si>
  <si>
    <t>Aucun</t>
  </si>
  <si>
    <t>Refus (NE PAS SUGGERER)</t>
  </si>
  <si>
    <t xml:space="preserve">Total 'Appartenant a une minorité' </t>
  </si>
  <si>
    <t xml:space="preserve">Total 'Belonging to a minority' </t>
  </si>
  <si>
    <t>Catholique</t>
  </si>
  <si>
    <t>Catholic</t>
  </si>
  <si>
    <t>Chrétien orthodoxe</t>
  </si>
  <si>
    <t>Orthodox Christian</t>
  </si>
  <si>
    <t>Protestant</t>
  </si>
  <si>
    <t>Autre chrétien</t>
  </si>
  <si>
    <t>Other Christian</t>
  </si>
  <si>
    <t>Juif</t>
  </si>
  <si>
    <t>Musulman(e) – Chiite</t>
  </si>
  <si>
    <t>Muslim - Shia</t>
  </si>
  <si>
    <t>Musulman(e) - Sunnite</t>
  </si>
  <si>
    <t>Muslim - Sunni</t>
  </si>
  <si>
    <t>Autre Musulman(e)</t>
  </si>
  <si>
    <t>Other muslim</t>
  </si>
  <si>
    <t>Sikh</t>
  </si>
  <si>
    <t>Bouddhiste</t>
  </si>
  <si>
    <t>Buddhist</t>
  </si>
  <si>
    <t>Hindouiste</t>
  </si>
  <si>
    <t>Hindu</t>
  </si>
  <si>
    <t>Athée</t>
  </si>
  <si>
    <t>Atheist</t>
  </si>
  <si>
    <t>Non croyant(e) / Agnostique</t>
  </si>
  <si>
    <t>Non believer/Agnostic</t>
  </si>
  <si>
    <t>Chrétien(ne)</t>
  </si>
  <si>
    <t xml:space="preserve">Christian </t>
  </si>
  <si>
    <t>Juif(ve)</t>
  </si>
  <si>
    <t>Musulman(e)</t>
  </si>
  <si>
    <t>Sikh(e)</t>
  </si>
  <si>
    <t>Non believer / Agnostic</t>
  </si>
  <si>
    <t>Un problème très important</t>
  </si>
  <si>
    <t>A very important problem</t>
  </si>
  <si>
    <t>Un problème assez important</t>
  </si>
  <si>
    <t>A fairly important problem</t>
  </si>
  <si>
    <t>Pas vraiment un problème</t>
  </si>
  <si>
    <t>Not really a problem</t>
  </si>
  <si>
    <t>Pas un problème du tout</t>
  </si>
  <si>
    <t>Not a problem at all</t>
  </si>
  <si>
    <t>Total 'Un problème'</t>
  </si>
  <si>
    <t>Total 'A problem'</t>
  </si>
  <si>
    <t xml:space="preserve">Total 'Pas un problème' </t>
  </si>
  <si>
    <t>Total 'Not a problem'</t>
  </si>
  <si>
    <t>A augmenté</t>
  </si>
  <si>
    <t>Increased</t>
  </si>
  <si>
    <t>A diminué</t>
  </si>
  <si>
    <t>Decreased</t>
  </si>
  <si>
    <t>Est resté stable</t>
  </si>
  <si>
    <t>Stayed the same</t>
  </si>
  <si>
    <t>QD5.1. Plus précisément, pensez-vous que chacune des situations suivantes est un problème ou pas en (NOTRE PAYS) ?</t>
  </si>
  <si>
    <t>QD5.1. More precisely, do you think that each of the following situation is a problem or not in (OUR COUNTRY)?</t>
  </si>
  <si>
    <t>Les graffitis antisémites ou le vandalisme de bâtiments juifs ou d'institutions juives</t>
  </si>
  <si>
    <t>Antisemitic graffiti or vandalism of Jewish buildings or institutions</t>
  </si>
  <si>
    <t>QD5.2. Plus précisément, pensez-vous que chacune des situations suivantes est un problème ou pas en (NOTRE PAYS) ?</t>
  </si>
  <si>
    <t>QD5.2. More precisely, do you think that each of the following situation is a problem or not in (OUR COUNTRY)?</t>
  </si>
  <si>
    <t>Les agressions physiques à l'encontre de personnes juives</t>
  </si>
  <si>
    <t>Physical attacks against Jewish people</t>
  </si>
  <si>
    <t>QD5.3. Plus précisément, pensez-vous que chacune des situations suivantes est un problème ou pas en (NOTRE PAYS) ?</t>
  </si>
  <si>
    <t>QD5.3. More precisely, do you think that each of the following situation is a problem or not in (OUR COUNTRY)?</t>
  </si>
  <si>
    <t>Les expressions d'hostilité et les menaces à l'égard de personnes juives dans la rue ou d'autres espaces publics</t>
  </si>
  <si>
    <t>Expressions of hostility and threats towards Jewish people in the street or other public places</t>
  </si>
  <si>
    <t>QD5.4. Plus précisément, pensez-vous que chacune des situations suivantes est un problème ou pas en (NOTRE PAYS) ?</t>
  </si>
  <si>
    <t>QD5.4. More precisely, do you think that each of the following situation is a problem or not in (OUR COUNTRY)?</t>
  </si>
  <si>
    <t>L'antisémitisme dans les médias</t>
  </si>
  <si>
    <t>Antisemitism in the media</t>
  </si>
  <si>
    <t>QD5.5. Plus précisément, pensez-vous que chacune des situations suivantes est un problème ou pas en (NOTRE PAYS) ?</t>
  </si>
  <si>
    <t>QD5.5. More precisely, do you think that each of the following situation is a problem or not in (OUR COUNTRY)?</t>
  </si>
  <si>
    <t>L'antisémitisme dans la vie politique</t>
  </si>
  <si>
    <t>Antisemitism in political life</t>
  </si>
  <si>
    <t>QD5.6. Plus précisément, pensez-vous que chacune des situations suivantes est un problème ou pas en (NOTRE PAYS) ?</t>
  </si>
  <si>
    <t>QD5.6. More precisely, do you think that each of the following situation is a problem or not in (OUR COUNTRY)?</t>
  </si>
  <si>
    <t>L'antisémitisme sur Internet, y compris sur les réseaux sociaux</t>
  </si>
  <si>
    <t>Antisemitism on the internet, including online social networks</t>
  </si>
  <si>
    <t>QD5.7. Plus précisément, pensez-vous que chacune des situations suivantes est un problème ou pas en (NOTRE PAYS) ?</t>
  </si>
  <si>
    <t>QD5.7. More precisely, do you think that each of the following situation is a problem or not in (OUR COUNTRY)?</t>
  </si>
  <si>
    <t>L'antisémitisme dans les écoles et les universités</t>
  </si>
  <si>
    <t>Antisemitism in schools and universities</t>
  </si>
  <si>
    <t>QD5.8. Plus précisément, pensez-vous que chacune des situations suivantes est un problème ou pas en (NOTRE PAYS) ?</t>
  </si>
  <si>
    <t>QD5.8. More precisely, do you think that each of the following situation is a problem or not in (OUR COUNTRY)?</t>
  </si>
  <si>
    <t>Les personnes qui nient le génocide des juifs, la Shoah</t>
  </si>
  <si>
    <t>People denying the genocide of the Jewish people, the Holocaust</t>
  </si>
  <si>
    <t>QD5.9. Plus précisément, pensez-vous que chacune des situations suivantes est un problème ou pas en (NOTRE PAYS) ?</t>
  </si>
  <si>
    <t>QD5.9. More precisely, do you think that each of the following situation is a problem or not in (OUR COUNTRY)?</t>
  </si>
  <si>
    <t>La profanation de cimetières juifs</t>
  </si>
  <si>
    <t>Desecration of Jewish cemeteries</t>
  </si>
  <si>
    <t xml:space="preserve">Aucun </t>
  </si>
  <si>
    <t xml:space="preserve">1 à 3 </t>
  </si>
  <si>
    <t xml:space="preserve">1 to 3 </t>
  </si>
  <si>
    <t xml:space="preserve">4 à 6 </t>
  </si>
  <si>
    <t xml:space="preserve">4 to 6 </t>
  </si>
  <si>
    <t>7 à 8</t>
  </si>
  <si>
    <t>7 to 8</t>
  </si>
  <si>
    <t xml:space="preserve">Toutes </t>
  </si>
  <si>
    <t>All</t>
  </si>
  <si>
    <t>Très bien informés</t>
  </si>
  <si>
    <t>Very well informed</t>
  </si>
  <si>
    <t>Assez bien informés</t>
  </si>
  <si>
    <t>Fairly well informed</t>
  </si>
  <si>
    <t>Pas très bien informés</t>
  </si>
  <si>
    <t>Not very well informed</t>
  </si>
  <si>
    <t>Pas du tout informés</t>
  </si>
  <si>
    <t>Not at all informed</t>
  </si>
  <si>
    <t>Total 'Bien Informés'</t>
  </si>
  <si>
    <t>Total 'Well informed'</t>
  </si>
  <si>
    <t>Total 'Pas bien Informés'</t>
  </si>
  <si>
    <t>Total 'Not well informed'</t>
  </si>
  <si>
    <t>Oui, tout à fait</t>
  </si>
  <si>
    <t>Yes, definitely</t>
  </si>
  <si>
    <t>Oui, dans une certaine mesure</t>
  </si>
  <si>
    <t>Yes, to some extent</t>
  </si>
  <si>
    <t>Non, pas vraiment</t>
  </si>
  <si>
    <t>No, not really</t>
  </si>
  <si>
    <t>Non, pas du tout</t>
  </si>
  <si>
    <t>No, definitely not</t>
  </si>
  <si>
    <t>QD8.1. À votre connaissance, y a-t-il une loi en (NOTRE PAYS) :</t>
  </si>
  <si>
    <t>QD8.1. As far as you know, is there a law in (OUR COUNTRY):</t>
  </si>
  <si>
    <t>… qui sanctionne l'incitation à la violence ou à la haine à l'encontre des personnes juives</t>
  </si>
  <si>
    <t>… that criminalises incitement to violence or hatred against Jewish people</t>
  </si>
  <si>
    <t>Oui, sans aucun doute</t>
  </si>
  <si>
    <t>Oui, probablement</t>
  </si>
  <si>
    <t>Yes, probably</t>
  </si>
  <si>
    <t>Non, probablement pas</t>
  </si>
  <si>
    <t>No, probably not</t>
  </si>
  <si>
    <t>Non, certainement pas</t>
  </si>
  <si>
    <t>Not, definitely not</t>
  </si>
  <si>
    <t>QD8.2. À votre connaissance, y a-t-il une loi en (NOTRE PAYS) :</t>
  </si>
  <si>
    <t>QD8.2. As far as you know, is there a law in (OUR COUNTRY):</t>
  </si>
  <si>
    <t>… qui sanctionne le fait de nier la Shoah</t>
  </si>
  <si>
    <t>… that criminalises the denial of the Holocaust</t>
  </si>
  <si>
    <t>No, not at all</t>
  </si>
  <si>
    <t>15-24</t>
  </si>
  <si>
    <t>25-39</t>
  </si>
  <si>
    <t>40-54</t>
  </si>
  <si>
    <t>55+</t>
  </si>
  <si>
    <t>Moyenne</t>
  </si>
  <si>
    <t>Average</t>
  </si>
  <si>
    <t>25-34</t>
  </si>
  <si>
    <t>35-44</t>
  </si>
  <si>
    <t>45-54</t>
  </si>
  <si>
    <t>55-64</t>
  </si>
  <si>
    <t>65-74</t>
  </si>
  <si>
    <t>75+</t>
  </si>
  <si>
    <t>15-30</t>
  </si>
  <si>
    <t>31-64</t>
  </si>
  <si>
    <t>65+</t>
  </si>
  <si>
    <t>Avant 1946</t>
  </si>
  <si>
    <t>Before 1946</t>
  </si>
  <si>
    <t>1946 - 1964 'BB'</t>
  </si>
  <si>
    <t>1965 - 1980 'X'</t>
  </si>
  <si>
    <t>1981-1996 'Millenials'</t>
  </si>
  <si>
    <t>1997 et après 'Génération Z'</t>
  </si>
  <si>
    <t>1997 and beyond 'Generation Z'</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</si>
  <si>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</si>
  <si>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</si>
  <si>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</si>
  <si>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</si>
  <si>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</si>
  <si>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</si>
  <si>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</si>
  <si>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</si>
  <si>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</si>
  <si>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</si>
  <si>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</si>
  <si>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</si>
  <si>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</si>
  <si>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</si>
  <si>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</si>
  <si>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</si>
  <si>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</si>
  <si>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</si>
  <si>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</si>
  <si>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</si>
  <si>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</si>
  <si>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</si>
  <si>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</si>
  <si>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</si>
  <si>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</si>
  <si>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</si>
  <si>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</si>
  <si>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</si>
  <si>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</si>
  <si>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Total 'Faible niveau d’éducation (CITE 0–2)'</t>
  </si>
  <si>
    <t>Total 'Low level of education (ISCED 0-2)'</t>
  </si>
  <si>
    <t>Total 'Niveau d’éducation moyen (CITE 3–4)'</t>
  </si>
  <si>
    <t>Total 'Medium level of education (ISCED 3-4)'</t>
  </si>
  <si>
    <t>Total 'Haut niveau d’éducation (CITE 5–8)'</t>
  </si>
  <si>
    <t>Total 'High level of education (ISCED 5-8)'</t>
  </si>
  <si>
    <t>Faible niveau d’éducation (CITE 0–2)</t>
  </si>
  <si>
    <t>Low level of education (ISCED 0-2)</t>
  </si>
  <si>
    <t>Niveau d’éducation moyen (CITE 3–4)</t>
  </si>
  <si>
    <t>Medium level of education (ISCED 3-4)</t>
  </si>
  <si>
    <t>Haut niveau d’éducation (CITE 5–8)</t>
  </si>
  <si>
    <t>High level of education (ISCED 5-8)</t>
  </si>
  <si>
    <t>Homme</t>
  </si>
  <si>
    <t>Man</t>
  </si>
  <si>
    <t>Femme</t>
  </si>
  <si>
    <t>Woman</t>
  </si>
  <si>
    <t>Aucun / non binaire / ne se reconnaît pas dans les catégories proposées</t>
  </si>
  <si>
    <t>None of the above / Non binary / Do not recognize yourself in above categories</t>
  </si>
  <si>
    <t>Préfère ne pas répondre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</si>
  <si>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</si>
  <si>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</si>
  <si>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</si>
  <si>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</si>
  <si>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</si>
  <si>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</si>
  <si>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</si>
  <si>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</si>
  <si>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</si>
  <si>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</si>
  <si>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</si>
  <si>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</si>
  <si>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</si>
  <si>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</si>
  <si>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</si>
  <si>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</si>
  <si>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</si>
  <si>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</si>
  <si>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</si>
  <si>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</si>
  <si>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</si>
  <si>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</si>
  <si>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</si>
  <si>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</si>
  <si>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</si>
  <si>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</si>
  <si>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</si>
  <si>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</si>
  <si>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</si>
  <si>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</si>
  <si>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</si>
  <si>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</si>
  <si>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</si>
  <si>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</si>
  <si>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</si>
  <si>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</si>
  <si>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</si>
  <si>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</si>
  <si>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</si>
  <si>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</si>
  <si>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</si>
  <si>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</si>
  <si>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</si>
  <si>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 Directeurs</t>
  </si>
  <si>
    <t>Managers</t>
  </si>
  <si>
    <t>Autres employés</t>
  </si>
  <si>
    <t>Other white collars</t>
  </si>
  <si>
    <t>Ouvriers</t>
  </si>
  <si>
    <t>Manual workers</t>
  </si>
  <si>
    <t>Femmes / Hommes au foyer</t>
  </si>
  <si>
    <t>House persons</t>
  </si>
  <si>
    <t>Chômeurs</t>
  </si>
  <si>
    <t>Unemployed</t>
  </si>
  <si>
    <t>Retraités</t>
  </si>
  <si>
    <t>Retired</t>
  </si>
  <si>
    <t>Etudiants</t>
  </si>
  <si>
    <t>Students</t>
  </si>
  <si>
    <t>Base: Répondants qui n'ont pas d'occupation actuelle</t>
  </si>
  <si>
    <t>Base: Respondents who do not have a current ocupation</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</si>
  <si>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</si>
  <si>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</si>
  <si>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</si>
  <si>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</si>
  <si>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</si>
  <si>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</si>
  <si>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</si>
  <si>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</si>
  <si>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La plupart du temps</t>
  </si>
  <si>
    <t>Most of the time</t>
  </si>
  <si>
    <t>De temps en temps</t>
  </si>
  <si>
    <t>From time to time</t>
  </si>
  <si>
    <t>Pratiquement jamais / jamais</t>
  </si>
  <si>
    <t>Almost never / Never</t>
  </si>
  <si>
    <t>Très satisfait(e)</t>
  </si>
  <si>
    <t>Very satisfied</t>
  </si>
  <si>
    <t>Plutôt satisfait(e)</t>
  </si>
  <si>
    <t>Fairly satisfied</t>
  </si>
  <si>
    <t>Plutôt pas satisfait(e)</t>
  </si>
  <si>
    <t>Not very satisfied</t>
  </si>
  <si>
    <t>Pas du tout satisfait(e)</t>
  </si>
  <si>
    <t>Not at all satisfied</t>
  </si>
  <si>
    <t>Pas très satisfait(e)</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</si>
  <si>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</si>
  <si>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</si>
  <si>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</si>
  <si>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</si>
  <si>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</si>
  <si>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</si>
  <si>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</si>
  <si>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</si>
  <si>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</si>
  <si>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</si>
  <si>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</si>
  <si>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</si>
  <si>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</si>
  <si>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</si>
  <si>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</si>
  <si>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</si>
  <si>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</si>
  <si>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</si>
  <si>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</si>
  <si>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</si>
  <si>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</si>
  <si>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</si>
  <si>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</si>
  <si>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</si>
  <si>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</si>
  <si>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</si>
  <si>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dire si… ?</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</si>
  <si>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</si>
  <si>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</si>
  <si>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</si>
  <si>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</si>
  <si>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</si>
  <si>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</si>
  <si>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</si>
  <si>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</si>
  <si>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</si>
  <si>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Total 'Utilise internet'</t>
  </si>
  <si>
    <t>Total 'Uses Internet'</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</si>
  <si>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</si>
  <si>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</si>
  <si>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</si>
  <si>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</si>
  <si>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</si>
  <si>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</si>
  <si>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</si>
  <si>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</si>
  <si>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</si>
  <si>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</si>
  <si>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D73.1. En ce moment, diriez-vous que, d’une manière générale, les choses vont dans la bonne direction ou dans la mauvaise direction… ?</t>
  </si>
  <si>
    <t>D73.1. At the present time, would you say that, in general, things are going in the right direction or in the wrong direction, in…?</t>
  </si>
  <si>
    <t>En (NOTRE PAYS)</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</si>
  <si>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</si>
  <si>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</si>
  <si>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</si>
  <si>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</si>
  <si>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</si>
  <si>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</si>
  <si>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D73.2. En ce moment, diriez-vous que, d’une manière générale, les choses vont dans la bonne direction ou dans la mauvaise direction… ?</t>
  </si>
  <si>
    <t>D73.2. At the present time, would you say that, in general, things are going in the right direction or in the wrong direction, in…?</t>
  </si>
  <si>
    <t>Dans l’Union européenne</t>
  </si>
  <si>
    <t>The European Union</t>
  </si>
  <si>
    <t>D73.3. En ce moment, diriez-vous que, d’une manière générale, les choses vont dans la bonne direction ou dans la mauvaise direction… ?</t>
  </si>
  <si>
    <t>D73.3. At the present time, would you say that, in general, things are going in the right direction or in the wrong direction, in…?</t>
  </si>
  <si>
    <t>Aux États-Unis</t>
  </si>
  <si>
    <t>The USA</t>
  </si>
  <si>
    <t>D73.4. En ce moment, diriez-vous que, d’une manière générale, les choses vont dans la bonne direction ou dans la mauvaise direction… ?</t>
  </si>
  <si>
    <t>D73.4. At the present time, would you say that, in general, things are going in the right direction or in the wrong direction, in…?</t>
  </si>
  <si>
    <t>Dans votre vie personnelle</t>
  </si>
  <si>
    <t>Your life personally</t>
  </si>
  <si>
    <t>D71.1. Quand vous vous retrouvez avec des amis ou des proches, diriez-vous que vous discutez fréquemment, occasionnellement ou jamais à propos … ?</t>
  </si>
  <si>
    <t>D71.1. When you get together with friends or relatives, would you say you discuss frequently, occasionally or never about...?</t>
  </si>
  <si>
    <t>De sujets de politique nationale</t>
  </si>
  <si>
    <t>National political matters</t>
  </si>
  <si>
    <t>Fréquemment</t>
  </si>
  <si>
    <t>Frequently</t>
  </si>
  <si>
    <t>Occasionnellement</t>
  </si>
  <si>
    <t>Occasionally</t>
  </si>
  <si>
    <t>D71.2. Quand vous vous retrouvez avec des amis ou des proches, diriez-vous que vous discutez fréquemment, occasionnellement ou jamais à propos … ?</t>
  </si>
  <si>
    <t>D71.2. When you get together with friends or relatives, would you say you discuss frequently, occasionally or never about...?</t>
  </si>
  <si>
    <t>De sujets de politique européenne</t>
  </si>
  <si>
    <t>European political matters</t>
  </si>
  <si>
    <t>D71.3. Quand vous vous retrouvez avec des amis ou des proches, diriez-vous que vous discutez fréquemment, occasionnellement ou jamais à propos … ?</t>
  </si>
  <si>
    <t>D71.3. When you get together with friends or relatives, would you say you discuss frequently, occasionally or never about...?</t>
  </si>
  <si>
    <t>De sujets de politique locale</t>
  </si>
  <si>
    <t>Local political matters</t>
  </si>
  <si>
    <t>+ +</t>
  </si>
  <si>
    <t>+</t>
  </si>
  <si>
    <t>- -</t>
  </si>
  <si>
    <t>Total 'Satisfait(e)'</t>
  </si>
  <si>
    <t>Total 'Satisfied'</t>
  </si>
  <si>
    <t>Total 'Pas satisfait(e)'</t>
  </si>
  <si>
    <t>Total 'Not Satisfied'</t>
  </si>
  <si>
    <t>Total 'Not satisfied'</t>
  </si>
  <si>
    <t>SD19a.1. Dans quelle mesure êtes-vous d’accord ou pas d’accord avec chacune des affirmations suivantes ?</t>
  </si>
  <si>
    <t>SD19a.1. To what extent do you agree or disagree with each of the following statements.</t>
  </si>
  <si>
    <t>Ma voix compte dans l'Union européenne</t>
  </si>
  <si>
    <t>My voice counts in the EU</t>
  </si>
  <si>
    <t>SD19a.2. Dans quelle mesure êtes-vous d’accord ou pas d’accord avec chacune des affirmations suivantes ?</t>
  </si>
  <si>
    <t>SD19a.2. To what extent do you agree or disagree with each of the following statements.</t>
  </si>
  <si>
    <t>Ma voix compte en (NOTRE PAYS)</t>
  </si>
  <si>
    <t>My voice counts in (OUR COUNTRY)</t>
  </si>
  <si>
    <t>SD19a.3. Dans quelle mesure êtes-vous d’accord ou pas d’accord avec chacune des affirmations suivantes ?</t>
  </si>
  <si>
    <t>SD19a.3. To what extent do you agree or disagree with each of the following statements.</t>
  </si>
  <si>
    <t>La voix de (NOTRE PAYS) compte dans l’Union européenne</t>
  </si>
  <si>
    <t>(OUR COUNTRY)’s voice counts in the EU</t>
  </si>
  <si>
    <t>1 Gauche</t>
  </si>
  <si>
    <t>1 Left</t>
  </si>
  <si>
    <t>10 Droite</t>
  </si>
  <si>
    <t>10 Right</t>
  </si>
  <si>
    <t>(1-4) Gauche</t>
  </si>
  <si>
    <t>(1-4) Left</t>
  </si>
  <si>
    <t>(5-6) Centre</t>
  </si>
  <si>
    <t>(7-10) Droite</t>
  </si>
  <si>
    <t>(7-10) Right</t>
  </si>
  <si>
    <t>(1-2)  Gauche</t>
  </si>
  <si>
    <t>(1-2) Left</t>
  </si>
  <si>
    <t>(3-4)</t>
  </si>
  <si>
    <t>(5-6)  Centre</t>
  </si>
  <si>
    <t>(7-8)</t>
  </si>
  <si>
    <t>(9-10) Droite</t>
  </si>
  <si>
    <t>(9-10) Right</t>
  </si>
  <si>
    <t>Refus</t>
  </si>
  <si>
    <t>Refusal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</si>
</sst>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2"/>
      <name val="Arial"/>
    </font>
    <font>
      <sz val="12"/>
      <name val="Arial"/>
    </font>
    <font>
      <b/>
      <sz val="10"/>
      <name val="Arial"/>
    </font>
    <font>
      <sz val="8"/>
      <name val="Arial"/>
    </font>
    <font>
      <b/>
      <sz val="8"/>
      <name val="Arial"/>
    </font>
    <font>
      <sz val="7"/>
      <name val="Arial"/>
    </font>
    <font>
      <b/>
      <sz val="7"/>
      <name val="Arial"/>
    </font>
    <font>
      <u/>
      <sz val="10"/>
      <color rgb="FF0563C1"/>
      <name val="Arial"/>
    </font>
    <font>
      <sz val="10"/>
      <name val="Arial"/>
    </font>
  </fonts>
  <fills count="2">
    <fill>
      <patternFill patternType="none"/>
    </fill>
    <fill>
      <patternFill patternType="gray125"/>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2" fillId="0" borderId="0" xfId="0" applyFont="1" applyAlignment="1">
      <alignment horizontal="left"/>
    </xf>
    <xf numFmtId="0" fontId="3" fillId="0" borderId="0" xfId="0" applyFont="1"/>
    <xf numFmtId="0" fontId="8" fillId="0" borderId="0" xfId="0" applyFont="1"/>
    <xf numFmtId="0" fontId="9" fillId="0" borderId="0" xfId="0" applyFont="1" applyAlignment="1">
      <alignment wrapText="1"/>
    </xf>
    <xf numFmtId="0" fontId="4" fillId="0" borderId="1" xfId="0" applyFont="1" applyBorder="1"/>
    <xf numFmtId="0" fontId="6" fillId="0" borderId="3" xfId="0" applyFont="1" applyBorder="1" applyAlignment="1">
      <alignment horizontal="center" vertical="center" wrapText="1"/>
    </xf>
    <xf numFmtId="0" fontId="0" fillId="0" borderId="2" xfId="0" applyBorder="1"/>
    <xf numFmtId="0" fontId="7" fillId="0" borderId="3" xfId="0" applyFont="1" applyBorder="1" applyAlignment="1">
      <alignment horizontal="right"/>
    </xf>
    <xf numFmtId="0" fontId="4" fillId="0" borderId="3" xfId="0" applyFont="1" applyBorder="1" applyAlignment="1">
      <alignment wrapText="1"/>
    </xf>
    <xf numFmtId="0" fontId="6" fillId="0" borderId="3" xfId="0" applyFont="1" applyBorder="1" applyAlignment="1">
      <alignment wrapText="1"/>
    </xf>
    <xf numFmtId="0" fontId="4" fillId="0" borderId="4" xfId="0" applyFont="1" applyBorder="1" applyAlignment="1">
      <alignment wrapText="1"/>
    </xf>
    <xf numFmtId="9" fontId="6" fillId="0" borderId="4" xfId="0" applyNumberFormat="1" applyFont="1" applyBorder="1"/>
    <xf numFmtId="0" fontId="6" fillId="0" borderId="4" xfId="0" applyFont="1" applyBorder="1" applyAlignment="1">
      <alignment horizontal="right"/>
    </xf>
    <xf numFmtId="0" fontId="5" fillId="0" borderId="3" xfId="0" applyFont="1" applyBorder="1" applyAlignment="1">
      <alignment horizontal="left" vertical="center"/>
    </xf>
    <xf numFmtId="0" fontId="4" fillId="0" borderId="0" xfId="0" applyFont="1" applyAlignment="1">
      <alignment wrapText="1"/>
    </xf>
    <xf numFmtId="0" fontId="0" fillId="0" borderId="0" xfId="0" applyAlignment="1"/>
    <xf numFmtId="0" fontId="0" fillId="0" borderId="2" xfId="0" applyBorder="1" applyAlignment="1"/>
    <xf numFmtId="0" fontId="0" fillId="0" borderId="5"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calcChain" Target="calcChain.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customXml" Target="../customXml/item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2" Type="http://schemas.openxmlformats.org/officeDocument/2006/relationships/customXml" Target="../customXml/item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0"/>
  <sheetViews>
    <sheetView workbookViewId="0">
      <pane ySplit="5" topLeftCell="A131" activePane="bottomLeft" state="frozen"/>
      <selection pane="bottomLeft" activeCell="A138" sqref="A138"/>
    </sheetView>
  </sheetViews>
  <sheetFormatPr defaultRowHeight="15"/>
  <cols>
    <col min="1" max="1" width="12.42578125" customWidth="1"/>
    <col min="2" max="3" width="100" customWidth="1"/>
  </cols>
  <sheetData>
    <row r="1" spans="1:3">
      <c r="A1" s="1" t="s">
        <v>0</v>
      </c>
      <c r="B1" s="2" t="s">
        <v>1</v>
      </c>
    </row>
    <row r="2" spans="1:3">
      <c r="A2" s="1" t="s">
        <v>2</v>
      </c>
      <c r="B2" s="3" t="s">
        <v>3</v>
      </c>
    </row>
    <row r="3" spans="1:3">
      <c r="A3" s="1" t="s">
        <v>4</v>
      </c>
      <c r="B3" s="2" t="s">
        <v>5</v>
      </c>
    </row>
    <row r="5" spans="1:3">
      <c r="A5" s="4" t="s">
        <v>6</v>
      </c>
      <c r="B5" s="4" t="s">
        <v>7</v>
      </c>
      <c r="C5" s="4" t="s">
        <v>8</v>
      </c>
    </row>
    <row r="6" spans="1:3">
      <c r="A6" s="5" t="str">
        <f>HYPERLINK("#'B'!A1", "B")</f>
        <v>B</v>
      </c>
      <c r="B6" s="6" t="s">
        <v>9</v>
      </c>
      <c r="C6" s="6" t="s">
        <v>10</v>
      </c>
    </row>
    <row r="7" spans="1:3">
      <c r="A7" s="5" t="str">
        <f>HYPERLINK("#'QA1'!A1", "QA1")</f>
        <v>QA1</v>
      </c>
      <c r="B7" s="6" t="s">
        <v>11</v>
      </c>
      <c r="C7" s="6" t="s">
        <v>12</v>
      </c>
    </row>
    <row r="8" spans="1:3">
      <c r="A8" s="5" t="str">
        <f>HYPERLINK("#'QA2'!A1", "QA2")</f>
        <v>QA2</v>
      </c>
      <c r="B8" s="6" t="s">
        <v>13</v>
      </c>
      <c r="C8" s="6" t="s">
        <v>14</v>
      </c>
    </row>
    <row r="9" spans="1:3">
      <c r="A9" s="5" t="str">
        <f>HYPERLINK("#'D78'!A1", "D78")</f>
        <v>D78</v>
      </c>
      <c r="B9" s="6" t="s">
        <v>15</v>
      </c>
      <c r="C9" s="6" t="s">
        <v>16</v>
      </c>
    </row>
    <row r="10" spans="1:3">
      <c r="A10" s="5" t="str">
        <f>HYPERLINK("#'QA3'!A1", "QA3")</f>
        <v>QA3</v>
      </c>
      <c r="B10" s="6" t="s">
        <v>17</v>
      </c>
      <c r="C10" s="6" t="s">
        <v>18</v>
      </c>
    </row>
    <row r="11" spans="1:3">
      <c r="A11" s="5" t="str">
        <f>HYPERLINK("#'QA4a'!A1", "QA4a")</f>
        <v>QA4a</v>
      </c>
      <c r="B11" s="6" t="s">
        <v>19</v>
      </c>
      <c r="C11" s="6" t="s">
        <v>20</v>
      </c>
    </row>
    <row r="12" spans="1:3">
      <c r="A12" s="5" t="str">
        <f>HYPERLINK("#'QA4b'!A1", "QA4b")</f>
        <v>QA4b</v>
      </c>
      <c r="B12" s="6" t="s">
        <v>21</v>
      </c>
      <c r="C12" s="6" t="s">
        <v>22</v>
      </c>
    </row>
    <row r="13" spans="1:3">
      <c r="A13" s="5" t="str">
        <f>HYPERLINK("#'QA4ab'!A1", "QA4ab")</f>
        <v>QA4ab</v>
      </c>
      <c r="B13" s="6" t="s">
        <v>23</v>
      </c>
      <c r="C13" s="6" t="s">
        <v>24</v>
      </c>
    </row>
    <row r="14" spans="1:3">
      <c r="A14" s="5" t="str">
        <f>HYPERLINK("#'QA5a'!A1", "QA5a")</f>
        <v>QA5a</v>
      </c>
      <c r="B14" s="6" t="s">
        <v>25</v>
      </c>
      <c r="C14" s="6" t="s">
        <v>26</v>
      </c>
    </row>
    <row r="15" spans="1:3">
      <c r="A15" s="5" t="str">
        <f>HYPERLINK("#'QA5b'!A1", "QA5b")</f>
        <v>QA5b</v>
      </c>
      <c r="B15" s="6" t="s">
        <v>27</v>
      </c>
      <c r="C15" s="6" t="s">
        <v>28</v>
      </c>
    </row>
    <row r="16" spans="1:3">
      <c r="A16" s="5" t="str">
        <f>HYPERLINK("#'QA5ab'!A1", "QA5ab")</f>
        <v>QA5ab</v>
      </c>
      <c r="B16" s="6" t="s">
        <v>29</v>
      </c>
      <c r="C16" s="6" t="s">
        <v>30</v>
      </c>
    </row>
    <row r="17" spans="1:3">
      <c r="A17" s="5" t="str">
        <f>HYPERLINK("#'QA6'!A1", "QA6")</f>
        <v>QA6</v>
      </c>
      <c r="B17" s="6" t="s">
        <v>31</v>
      </c>
      <c r="C17" s="6" t="s">
        <v>32</v>
      </c>
    </row>
    <row r="18" spans="1:3">
      <c r="A18" s="5" t="str">
        <f>HYPERLINK("#'QA7_1'!A1", "QA7_1")</f>
        <v>QA7_1</v>
      </c>
      <c r="B18" s="6" t="s">
        <v>33</v>
      </c>
      <c r="C18" s="6" t="s">
        <v>34</v>
      </c>
    </row>
    <row r="19" spans="1:3">
      <c r="A19" s="5" t="str">
        <f>HYPERLINK("#'QA7_2'!A1", "QA7_2")</f>
        <v>QA7_2</v>
      </c>
      <c r="B19" s="6" t="s">
        <v>35</v>
      </c>
      <c r="C19" s="6" t="s">
        <v>36</v>
      </c>
    </row>
    <row r="20" spans="1:3">
      <c r="A20" s="5" t="str">
        <f>HYPERLINK("#'QA7_3'!A1", "QA7_3")</f>
        <v>QA7_3</v>
      </c>
      <c r="B20" s="6" t="s">
        <v>37</v>
      </c>
      <c r="C20" s="6" t="s">
        <v>38</v>
      </c>
    </row>
    <row r="21" spans="1:3">
      <c r="A21" s="5" t="str">
        <f>HYPERLINK("#'QA8a'!A1", "QA8a")</f>
        <v>QA8a</v>
      </c>
      <c r="B21" s="6" t="s">
        <v>39</v>
      </c>
      <c r="C21" s="6" t="s">
        <v>40</v>
      </c>
    </row>
    <row r="22" spans="1:3">
      <c r="A22" s="5" t="str">
        <f>HYPERLINK("#'QA8b'!A1", "QA8b")</f>
        <v>QA8b</v>
      </c>
      <c r="B22" s="6" t="s">
        <v>41</v>
      </c>
      <c r="C22" s="6" t="s">
        <v>42</v>
      </c>
    </row>
    <row r="23" spans="1:3">
      <c r="A23" s="5" t="str">
        <f>HYPERLINK("#'QA8ab'!A1", "QA8ab")</f>
        <v>QA8ab</v>
      </c>
      <c r="B23" s="6" t="s">
        <v>43</v>
      </c>
      <c r="C23" s="6" t="s">
        <v>44</v>
      </c>
    </row>
    <row r="24" spans="1:3">
      <c r="A24" s="5" t="str">
        <f>HYPERLINK("#'QA9_1'!A1", "QA9_1")</f>
        <v>QA9_1</v>
      </c>
      <c r="B24" s="6" t="s">
        <v>45</v>
      </c>
      <c r="C24" s="6" t="s">
        <v>46</v>
      </c>
    </row>
    <row r="25" spans="1:3">
      <c r="A25" s="5" t="str">
        <f>HYPERLINK("#'QA9_2'!A1", "QA9_2")</f>
        <v>QA9_2</v>
      </c>
      <c r="B25" s="6" t="s">
        <v>47</v>
      </c>
      <c r="C25" s="6" t="s">
        <v>48</v>
      </c>
    </row>
    <row r="26" spans="1:3">
      <c r="A26" s="5" t="str">
        <f>HYPERLINK("#'QA9_3'!A1", "QA9_3")</f>
        <v>QA9_3</v>
      </c>
      <c r="B26" s="6" t="s">
        <v>49</v>
      </c>
      <c r="C26" s="6" t="s">
        <v>50</v>
      </c>
    </row>
    <row r="27" spans="1:3">
      <c r="A27" s="5" t="str">
        <f>HYPERLINK("#'QA9_4'!A1", "QA9_4")</f>
        <v>QA9_4</v>
      </c>
      <c r="B27" s="6" t="s">
        <v>51</v>
      </c>
      <c r="C27" s="6" t="s">
        <v>52</v>
      </c>
    </row>
    <row r="28" spans="1:3">
      <c r="A28" s="5" t="str">
        <f>HYPERLINK("#'QA10'!A1", "QA10")</f>
        <v>QA10</v>
      </c>
      <c r="B28" s="6" t="s">
        <v>53</v>
      </c>
      <c r="C28" s="6" t="s">
        <v>54</v>
      </c>
    </row>
    <row r="29" spans="1:3">
      <c r="A29" s="5" t="str">
        <f>HYPERLINK("#'QA11_1'!A1", "QA11_1")</f>
        <v>QA11_1</v>
      </c>
      <c r="B29" s="6" t="s">
        <v>55</v>
      </c>
      <c r="C29" s="6" t="s">
        <v>56</v>
      </c>
    </row>
    <row r="30" spans="1:3">
      <c r="A30" s="5" t="str">
        <f>HYPERLINK("#'QA11_2'!A1", "QA11_2")</f>
        <v>QA11_2</v>
      </c>
      <c r="B30" s="6" t="s">
        <v>57</v>
      </c>
      <c r="C30" s="6" t="s">
        <v>58</v>
      </c>
    </row>
    <row r="31" spans="1:3">
      <c r="A31" s="5" t="str">
        <f>HYPERLINK("#'QA11_3'!A1", "QA11_3")</f>
        <v>QA11_3</v>
      </c>
      <c r="B31" s="6" t="s">
        <v>59</v>
      </c>
      <c r="C31" s="6" t="s">
        <v>60</v>
      </c>
    </row>
    <row r="32" spans="1:3">
      <c r="A32" s="5" t="str">
        <f>HYPERLINK("#'QA11_4'!A1", "QA11_4")</f>
        <v>QA11_4</v>
      </c>
      <c r="B32" s="6" t="s">
        <v>61</v>
      </c>
      <c r="C32" s="6" t="s">
        <v>62</v>
      </c>
    </row>
    <row r="33" spans="1:3">
      <c r="A33" s="5" t="str">
        <f>HYPERLINK("#'QA11_5'!A1", "QA11_5")</f>
        <v>QA11_5</v>
      </c>
      <c r="B33" s="6" t="s">
        <v>63</v>
      </c>
      <c r="C33" s="6" t="s">
        <v>64</v>
      </c>
    </row>
    <row r="34" spans="1:3">
      <c r="A34" s="5" t="str">
        <f>HYPERLINK("#'QA11_6'!A1", "QA11_6")</f>
        <v>QA11_6</v>
      </c>
      <c r="B34" s="6" t="s">
        <v>65</v>
      </c>
      <c r="C34" s="6" t="s">
        <v>66</v>
      </c>
    </row>
    <row r="35" spans="1:3">
      <c r="A35" s="5" t="str">
        <f>HYPERLINK("#'QA11_7'!A1", "QA11_7")</f>
        <v>QA11_7</v>
      </c>
      <c r="B35" s="6" t="s">
        <v>67</v>
      </c>
      <c r="C35" s="6" t="s">
        <v>68</v>
      </c>
    </row>
    <row r="36" spans="1:3">
      <c r="A36" s="5" t="str">
        <f>HYPERLINK("#'QA11_8'!A1", "QA11_8")</f>
        <v>QA11_8</v>
      </c>
      <c r="B36" s="6" t="s">
        <v>69</v>
      </c>
      <c r="C36" s="6" t="s">
        <v>70</v>
      </c>
    </row>
    <row r="37" spans="1:3">
      <c r="A37" s="5" t="str">
        <f>HYPERLINK("#'QA11_9'!A1", "QA11_9")</f>
        <v>QA11_9</v>
      </c>
      <c r="B37" s="6" t="s">
        <v>71</v>
      </c>
      <c r="C37" s="6" t="s">
        <v>72</v>
      </c>
    </row>
    <row r="38" spans="1:3">
      <c r="A38" s="5" t="str">
        <f>HYPERLINK("#'QA12_1'!A1", "QA12_1")</f>
        <v>QA12_1</v>
      </c>
      <c r="B38" s="6" t="s">
        <v>73</v>
      </c>
      <c r="C38" s="6" t="s">
        <v>74</v>
      </c>
    </row>
    <row r="39" spans="1:3">
      <c r="A39" s="5" t="str">
        <f>HYPERLINK("#'QA12_2'!A1", "QA12_2")</f>
        <v>QA12_2</v>
      </c>
      <c r="B39" s="6" t="s">
        <v>75</v>
      </c>
      <c r="C39" s="6" t="s">
        <v>76</v>
      </c>
    </row>
    <row r="40" spans="1:3">
      <c r="A40" s="5" t="str">
        <f>HYPERLINK("#'QA12_3'!A1", "QA12_3")</f>
        <v>QA12_3</v>
      </c>
      <c r="B40" s="6" t="s">
        <v>77</v>
      </c>
      <c r="C40" s="6" t="s">
        <v>78</v>
      </c>
    </row>
    <row r="41" spans="1:3">
      <c r="A41" s="5" t="str">
        <f>HYPERLINK("#'QA12_4'!A1", "QA12_4")</f>
        <v>QA12_4</v>
      </c>
      <c r="B41" s="6" t="s">
        <v>79</v>
      </c>
      <c r="C41" s="6" t="s">
        <v>80</v>
      </c>
    </row>
    <row r="42" spans="1:3">
      <c r="A42" s="5" t="str">
        <f>HYPERLINK("#'QA12_5'!A1", "QA12_5")</f>
        <v>QA12_5</v>
      </c>
      <c r="B42" s="6" t="s">
        <v>81</v>
      </c>
      <c r="C42" s="6" t="s">
        <v>82</v>
      </c>
    </row>
    <row r="43" spans="1:3">
      <c r="A43" s="5" t="str">
        <f>HYPERLINK("#'QA12_6'!A1", "QA12_6")</f>
        <v>QA12_6</v>
      </c>
      <c r="B43" s="6" t="s">
        <v>83</v>
      </c>
      <c r="C43" s="6" t="s">
        <v>84</v>
      </c>
    </row>
    <row r="44" spans="1:3">
      <c r="A44" s="5" t="str">
        <f>HYPERLINK("#'QA12_7'!A1", "QA12_7")</f>
        <v>QA12_7</v>
      </c>
      <c r="B44" s="6" t="s">
        <v>85</v>
      </c>
      <c r="C44" s="6" t="s">
        <v>86</v>
      </c>
    </row>
    <row r="45" spans="1:3">
      <c r="A45" s="5" t="str">
        <f>HYPERLINK("#'QA12_8'!A1", "QA12_8")</f>
        <v>QA12_8</v>
      </c>
      <c r="B45" s="6" t="s">
        <v>87</v>
      </c>
      <c r="C45" s="6" t="s">
        <v>88</v>
      </c>
    </row>
    <row r="46" spans="1:3">
      <c r="A46" s="5" t="str">
        <f>HYPERLINK("#'QA12_9'!A1", "QA12_9")</f>
        <v>QA12_9</v>
      </c>
      <c r="B46" s="6" t="s">
        <v>89</v>
      </c>
      <c r="C46" s="6" t="s">
        <v>90</v>
      </c>
    </row>
    <row r="47" spans="1:3">
      <c r="A47" s="5" t="str">
        <f>HYPERLINK("#'SD27'!A1", "SD27")</f>
        <v>SD27</v>
      </c>
      <c r="B47" s="6" t="s">
        <v>91</v>
      </c>
      <c r="C47" s="6" t="s">
        <v>92</v>
      </c>
    </row>
    <row r="48" spans="1:3">
      <c r="A48" s="5" t="str">
        <f>HYPERLINK("#'QB1'!A1", "QB1")</f>
        <v>QB1</v>
      </c>
      <c r="B48" s="6" t="s">
        <v>93</v>
      </c>
      <c r="C48" s="6" t="s">
        <v>94</v>
      </c>
    </row>
    <row r="49" spans="1:3">
      <c r="A49" s="5" t="str">
        <f>HYPERLINK("#'QB2'!A1", "QB2")</f>
        <v>QB2</v>
      </c>
      <c r="B49" s="6" t="s">
        <v>95</v>
      </c>
      <c r="C49" s="6" t="s">
        <v>96</v>
      </c>
    </row>
    <row r="50" spans="1:3">
      <c r="A50" s="5" t="str">
        <f>HYPERLINK("#'QB3'!A1", "QB3")</f>
        <v>QB3</v>
      </c>
      <c r="B50" s="6" t="s">
        <v>97</v>
      </c>
      <c r="C50" s="6" t="s">
        <v>98</v>
      </c>
    </row>
    <row r="51" spans="1:3">
      <c r="A51" s="5" t="str">
        <f>HYPERLINK("#'QB4'!A1", "QB4")</f>
        <v>QB4</v>
      </c>
      <c r="B51" s="6" t="s">
        <v>99</v>
      </c>
      <c r="C51" s="6" t="s">
        <v>100</v>
      </c>
    </row>
    <row r="52" spans="1:3">
      <c r="A52" s="5" t="str">
        <f>HYPERLINK("#'QB5'!A1", "QB5")</f>
        <v>QB5</v>
      </c>
      <c r="B52" s="6" t="s">
        <v>101</v>
      </c>
      <c r="C52" s="6" t="s">
        <v>102</v>
      </c>
    </row>
    <row r="53" spans="1:3">
      <c r="A53" s="5" t="str">
        <f>HYPERLINK("#'QB6'!A1", "QB6")</f>
        <v>QB6</v>
      </c>
      <c r="B53" s="6" t="s">
        <v>103</v>
      </c>
      <c r="C53" s="6" t="s">
        <v>104</v>
      </c>
    </row>
    <row r="54" spans="1:3">
      <c r="A54" s="5" t="str">
        <f>HYPERLINK("#'QB7_1'!A1", "QB7_1")</f>
        <v>QB7_1</v>
      </c>
      <c r="B54" s="6" t="s">
        <v>105</v>
      </c>
      <c r="C54" s="6" t="s">
        <v>106</v>
      </c>
    </row>
    <row r="55" spans="1:3">
      <c r="A55" s="5" t="str">
        <f>HYPERLINK("#'QB7_2'!A1", "QB7_2")</f>
        <v>QB7_2</v>
      </c>
      <c r="B55" s="6" t="s">
        <v>107</v>
      </c>
      <c r="C55" s="6" t="s">
        <v>108</v>
      </c>
    </row>
    <row r="56" spans="1:3">
      <c r="A56" s="5" t="str">
        <f>HYPERLINK("#'QB7_3'!A1", "QB7_3")</f>
        <v>QB7_3</v>
      </c>
      <c r="B56" s="6" t="s">
        <v>109</v>
      </c>
      <c r="C56" s="6" t="s">
        <v>110</v>
      </c>
    </row>
    <row r="57" spans="1:3">
      <c r="A57" s="5" t="str">
        <f>HYPERLINK("#'QB7_4'!A1", "QB7_4")</f>
        <v>QB7_4</v>
      </c>
      <c r="B57" s="6" t="s">
        <v>111</v>
      </c>
      <c r="C57" s="6" t="s">
        <v>112</v>
      </c>
    </row>
    <row r="58" spans="1:3">
      <c r="A58" s="5" t="str">
        <f>HYPERLINK("#'QB7_5'!A1", "QB7_5")</f>
        <v>QB7_5</v>
      </c>
      <c r="B58" s="6" t="s">
        <v>113</v>
      </c>
      <c r="C58" s="6" t="s">
        <v>114</v>
      </c>
    </row>
    <row r="59" spans="1:3">
      <c r="A59" s="5" t="str">
        <f>HYPERLINK("#'QB7_6'!A1", "QB7_6")</f>
        <v>QB7_6</v>
      </c>
      <c r="B59" s="6" t="s">
        <v>115</v>
      </c>
      <c r="C59" s="6" t="s">
        <v>116</v>
      </c>
    </row>
    <row r="60" spans="1:3">
      <c r="A60" s="5" t="str">
        <f>HYPERLINK("#'QB7_7'!A1", "QB7_7")</f>
        <v>QB7_7</v>
      </c>
      <c r="B60" s="6" t="s">
        <v>117</v>
      </c>
      <c r="C60" s="6" t="s">
        <v>118</v>
      </c>
    </row>
    <row r="61" spans="1:3">
      <c r="A61" s="5" t="str">
        <f>HYPERLINK("#'QB7_8'!A1", "QB7_8")</f>
        <v>QB7_8</v>
      </c>
      <c r="B61" s="6" t="s">
        <v>119</v>
      </c>
      <c r="C61" s="6" t="s">
        <v>120</v>
      </c>
    </row>
    <row r="62" spans="1:3">
      <c r="A62" s="5" t="str">
        <f>HYPERLINK("#'QB8_1'!A1", "QB8_1")</f>
        <v>QB8_1</v>
      </c>
      <c r="B62" s="6" t="s">
        <v>121</v>
      </c>
      <c r="C62" s="6" t="s">
        <v>122</v>
      </c>
    </row>
    <row r="63" spans="1:3">
      <c r="A63" s="5" t="str">
        <f>HYPERLINK("#'QB8_2'!A1", "QB8_2")</f>
        <v>QB8_2</v>
      </c>
      <c r="B63" s="6" t="s">
        <v>123</v>
      </c>
      <c r="C63" s="6" t="s">
        <v>124</v>
      </c>
    </row>
    <row r="64" spans="1:3">
      <c r="A64" s="5" t="str">
        <f>HYPERLINK("#'QB8_3'!A1", "QB8_3")</f>
        <v>QB8_3</v>
      </c>
      <c r="B64" s="6" t="s">
        <v>125</v>
      </c>
      <c r="C64" s="6" t="s">
        <v>126</v>
      </c>
    </row>
    <row r="65" spans="1:3">
      <c r="A65" s="5" t="str">
        <f>HYPERLINK("#'QB8_4'!A1", "QB8_4")</f>
        <v>QB8_4</v>
      </c>
      <c r="B65" s="6" t="s">
        <v>127</v>
      </c>
      <c r="C65" s="6" t="s">
        <v>128</v>
      </c>
    </row>
    <row r="66" spans="1:3">
      <c r="A66" s="5" t="str">
        <f>HYPERLINK("#'QB8_5'!A1", "QB8_5")</f>
        <v>QB8_5</v>
      </c>
      <c r="B66" s="6" t="s">
        <v>129</v>
      </c>
      <c r="C66" s="6" t="s">
        <v>130</v>
      </c>
    </row>
    <row r="67" spans="1:3">
      <c r="A67" s="5" t="str">
        <f>HYPERLINK("#'QB9_1'!A1", "QB9_1")</f>
        <v>QB9_1</v>
      </c>
      <c r="B67" s="6" t="s">
        <v>131</v>
      </c>
      <c r="C67" s="6" t="s">
        <v>132</v>
      </c>
    </row>
    <row r="68" spans="1:3">
      <c r="A68" s="5" t="str">
        <f>HYPERLINK("#'QB9_2'!A1", "QB9_2")</f>
        <v>QB9_2</v>
      </c>
      <c r="B68" s="6" t="s">
        <v>133</v>
      </c>
      <c r="C68" s="6" t="s">
        <v>134</v>
      </c>
    </row>
    <row r="69" spans="1:3">
      <c r="A69" s="5" t="str">
        <f>HYPERLINK("#'QB9_3'!A1", "QB9_3")</f>
        <v>QB9_3</v>
      </c>
      <c r="B69" s="6" t="s">
        <v>135</v>
      </c>
      <c r="C69" s="6" t="s">
        <v>136</v>
      </c>
    </row>
    <row r="70" spans="1:3">
      <c r="A70" s="5" t="str">
        <f>HYPERLINK("#'QB9_4'!A1", "QB9_4")</f>
        <v>QB9_4</v>
      </c>
      <c r="B70" s="6" t="s">
        <v>137</v>
      </c>
      <c r="C70" s="6" t="s">
        <v>138</v>
      </c>
    </row>
    <row r="71" spans="1:3">
      <c r="A71" s="5" t="str">
        <f>HYPERLINK("#'QB10_1'!A1", "QB10_1")</f>
        <v>QB10_1</v>
      </c>
      <c r="B71" s="6" t="s">
        <v>139</v>
      </c>
      <c r="C71" s="6" t="s">
        <v>140</v>
      </c>
    </row>
    <row r="72" spans="1:3">
      <c r="A72" s="5" t="str">
        <f>HYPERLINK("#'QB10_2'!A1", "QB10_2")</f>
        <v>QB10_2</v>
      </c>
      <c r="B72" s="6" t="s">
        <v>141</v>
      </c>
      <c r="C72" s="6" t="s">
        <v>142</v>
      </c>
    </row>
    <row r="73" spans="1:3">
      <c r="A73" s="5" t="str">
        <f>HYPERLINK("#'QB11_1'!A1", "QB11_1")</f>
        <v>QB11_1</v>
      </c>
      <c r="B73" s="6" t="s">
        <v>143</v>
      </c>
      <c r="C73" s="6" t="s">
        <v>144</v>
      </c>
    </row>
    <row r="74" spans="1:3">
      <c r="A74" s="5" t="str">
        <f>HYPERLINK("#'QB11_2'!A1", "QB11_2")</f>
        <v>QB11_2</v>
      </c>
      <c r="B74" s="6" t="s">
        <v>145</v>
      </c>
      <c r="C74" s="6" t="s">
        <v>146</v>
      </c>
    </row>
    <row r="75" spans="1:3">
      <c r="A75" s="5" t="str">
        <f>HYPERLINK("#'QB11_3'!A1", "QB11_3")</f>
        <v>QB11_3</v>
      </c>
      <c r="B75" s="6" t="s">
        <v>147</v>
      </c>
      <c r="C75" s="6" t="s">
        <v>148</v>
      </c>
    </row>
    <row r="76" spans="1:3">
      <c r="A76" s="5" t="str">
        <f>HYPERLINK("#'QB11_4'!A1", "QB11_4")</f>
        <v>QB11_4</v>
      </c>
      <c r="B76" s="6" t="s">
        <v>149</v>
      </c>
      <c r="C76" s="6" t="s">
        <v>150</v>
      </c>
    </row>
    <row r="77" spans="1:3">
      <c r="A77" s="5" t="str">
        <f>HYPERLINK("#'QB11_5'!A1", "QB11_5")</f>
        <v>QB11_5</v>
      </c>
      <c r="B77" s="6" t="s">
        <v>151</v>
      </c>
      <c r="C77" s="6" t="s">
        <v>152</v>
      </c>
    </row>
    <row r="78" spans="1:3">
      <c r="A78" s="5" t="str">
        <f>HYPERLINK("#'SOC'!A1", "SOC")</f>
        <v>SOC</v>
      </c>
      <c r="B78" s="6" t="s">
        <v>153</v>
      </c>
      <c r="C78" s="6" t="s">
        <v>154</v>
      </c>
    </row>
    <row r="79" spans="1:3">
      <c r="A79" s="5" t="str">
        <f>HYPERLINK("#'FRD1'!A1", "FRD1")</f>
        <v>FRD1</v>
      </c>
      <c r="B79" s="6" t="s">
        <v>155</v>
      </c>
      <c r="C79" s="6" t="s">
        <v>156</v>
      </c>
    </row>
    <row r="80" spans="1:3">
      <c r="A80" s="5" t="str">
        <f>HYPERLINK("#'FRD2'!A1", "FRD2")</f>
        <v>FRD2</v>
      </c>
      <c r="B80" s="6" t="s">
        <v>157</v>
      </c>
      <c r="C80" s="6" t="s">
        <v>158</v>
      </c>
    </row>
    <row r="81" spans="1:3">
      <c r="A81" s="5" t="str">
        <f>HYPERLINK("#'FRD3'!A1", "FRD3")</f>
        <v>FRD3</v>
      </c>
      <c r="B81" s="6" t="s">
        <v>159</v>
      </c>
      <c r="C81" s="6" t="s">
        <v>160</v>
      </c>
    </row>
    <row r="82" spans="1:3">
      <c r="A82" s="5" t="str">
        <f>HYPERLINK("#'FRD4'!A1", "FRD4")</f>
        <v>FRD4</v>
      </c>
      <c r="B82" s="6" t="s">
        <v>161</v>
      </c>
      <c r="C82" s="6" t="s">
        <v>162</v>
      </c>
    </row>
    <row r="83" spans="1:3">
      <c r="A83" s="5" t="str">
        <f>HYPERLINK("#'ECY1_1'!A1", "ECY1_1")</f>
        <v>ECY1_1</v>
      </c>
      <c r="B83" s="6" t="s">
        <v>163</v>
      </c>
      <c r="C83" s="6" t="s">
        <v>164</v>
      </c>
    </row>
    <row r="84" spans="1:3">
      <c r="A84" s="5" t="str">
        <f>HYPERLINK("#'ECY1_2'!A1", "ECY1_2")</f>
        <v>ECY1_2</v>
      </c>
      <c r="B84" s="6" t="s">
        <v>165</v>
      </c>
      <c r="C84" s="6" t="s">
        <v>166</v>
      </c>
    </row>
    <row r="85" spans="1:3">
      <c r="A85" s="5" t="str">
        <f>HYPERLINK("#'ECY1_3'!A1", "ECY1_3")</f>
        <v>ECY1_3</v>
      </c>
      <c r="B85" s="6" t="s">
        <v>167</v>
      </c>
      <c r="C85" s="6" t="s">
        <v>168</v>
      </c>
    </row>
    <row r="86" spans="1:3">
      <c r="A86" s="5" t="str">
        <f>HYPERLINK("#'ECY1_4'!A1", "ECY1_4")</f>
        <v>ECY1_4</v>
      </c>
      <c r="B86" s="6" t="s">
        <v>169</v>
      </c>
      <c r="C86" s="6" t="s">
        <v>170</v>
      </c>
    </row>
    <row r="87" spans="1:3">
      <c r="A87" s="5" t="str">
        <f>HYPERLINK("#'ECY1_5'!A1", "ECY1_5")</f>
        <v>ECY1_5</v>
      </c>
      <c r="B87" s="6" t="s">
        <v>171</v>
      </c>
      <c r="C87" s="6" t="s">
        <v>172</v>
      </c>
    </row>
    <row r="88" spans="1:3">
      <c r="A88" s="5" t="str">
        <f>HYPERLINK("#'ECY1_6'!A1", "ECY1_6")</f>
        <v>ECY1_6</v>
      </c>
      <c r="B88" s="6" t="s">
        <v>173</v>
      </c>
      <c r="C88" s="6" t="s">
        <v>174</v>
      </c>
    </row>
    <row r="89" spans="1:3">
      <c r="A89" s="5" t="str">
        <f>HYPERLINK("#'ECY2'!A1", "ECY2")</f>
        <v>ECY2</v>
      </c>
      <c r="B89" s="6" t="s">
        <v>175</v>
      </c>
      <c r="C89" s="6" t="s">
        <v>176</v>
      </c>
    </row>
    <row r="90" spans="1:3">
      <c r="A90" s="5" t="str">
        <f>HYPERLINK("#'AVE1'!A1", "AVE1")</f>
        <v>AVE1</v>
      </c>
      <c r="B90" s="6" t="s">
        <v>177</v>
      </c>
      <c r="C90" s="6" t="s">
        <v>178</v>
      </c>
    </row>
    <row r="91" spans="1:3">
      <c r="A91" s="5" t="str">
        <f>HYPERLINK("#'AVE2_1'!A1", "AVE2_1")</f>
        <v>AVE2_1</v>
      </c>
      <c r="B91" s="6" t="s">
        <v>179</v>
      </c>
      <c r="C91" s="6" t="s">
        <v>180</v>
      </c>
    </row>
    <row r="92" spans="1:3">
      <c r="A92" s="5" t="str">
        <f>HYPERLINK("#'AVE2_2'!A1", "AVE2_2")</f>
        <v>AVE2_2</v>
      </c>
      <c r="B92" s="6" t="s">
        <v>181</v>
      </c>
      <c r="C92" s="6" t="s">
        <v>182</v>
      </c>
    </row>
    <row r="93" spans="1:3">
      <c r="A93" s="5" t="str">
        <f>HYPERLINK("#'AVE2_3'!A1", "AVE2_3")</f>
        <v>AVE2_3</v>
      </c>
      <c r="B93" s="6" t="s">
        <v>183</v>
      </c>
      <c r="C93" s="6" t="s">
        <v>184</v>
      </c>
    </row>
    <row r="94" spans="1:3">
      <c r="A94" s="5" t="str">
        <f>HYPERLINK("#'AVE2_4'!A1", "AVE2_4")</f>
        <v>AVE2_4</v>
      </c>
      <c r="B94" s="6" t="s">
        <v>185</v>
      </c>
      <c r="C94" s="6" t="s">
        <v>186</v>
      </c>
    </row>
    <row r="95" spans="1:3">
      <c r="A95" s="5" t="str">
        <f>HYPERLINK("#'AVE2_5'!A1", "AVE2_5")</f>
        <v>AVE2_5</v>
      </c>
      <c r="B95" s="6" t="s">
        <v>187</v>
      </c>
      <c r="C95" s="6" t="s">
        <v>188</v>
      </c>
    </row>
    <row r="96" spans="1:3">
      <c r="A96" s="5" t="str">
        <f>HYPERLINK("#'AVE2_6'!A1", "AVE2_6")</f>
        <v>AVE2_6</v>
      </c>
      <c r="B96" s="6" t="s">
        <v>189</v>
      </c>
      <c r="C96" s="6" t="s">
        <v>190</v>
      </c>
    </row>
    <row r="97" spans="1:3">
      <c r="A97" s="5" t="str">
        <f>HYPERLINK("#'AVE2_7'!A1", "AVE2_7")</f>
        <v>AVE2_7</v>
      </c>
      <c r="B97" s="6" t="s">
        <v>191</v>
      </c>
      <c r="C97" s="6" t="s">
        <v>192</v>
      </c>
    </row>
    <row r="98" spans="1:3">
      <c r="A98" s="5" t="str">
        <f>HYPERLINK("#'AVE2_8'!A1", "AVE2_8")</f>
        <v>AVE2_8</v>
      </c>
      <c r="B98" s="6" t="s">
        <v>193</v>
      </c>
      <c r="C98" s="6" t="s">
        <v>194</v>
      </c>
    </row>
    <row r="99" spans="1:3">
      <c r="A99" s="5" t="str">
        <f>HYPERLINK("#'TNC1'!A1", "TNC1")</f>
        <v>TNC1</v>
      </c>
      <c r="B99" s="6" t="s">
        <v>195</v>
      </c>
      <c r="C99" s="6" t="s">
        <v>196</v>
      </c>
    </row>
    <row r="100" spans="1:3">
      <c r="A100" s="5" t="str">
        <f>HYPERLINK("#'TNC2'!A1", "TNC2")</f>
        <v>TNC2</v>
      </c>
      <c r="B100" s="6" t="s">
        <v>197</v>
      </c>
      <c r="C100" s="6" t="s">
        <v>198</v>
      </c>
    </row>
    <row r="101" spans="1:3">
      <c r="A101" s="5" t="str">
        <f>HYPERLINK("#'OFC1'!A1", "OFC1")</f>
        <v>OFC1</v>
      </c>
      <c r="B101" s="6" t="s">
        <v>199</v>
      </c>
      <c r="C101" s="6" t="s">
        <v>200</v>
      </c>
    </row>
    <row r="102" spans="1:3">
      <c r="A102" s="5" t="str">
        <f>HYPERLINK("#'OFC2'!A1", "OFC2")</f>
        <v>OFC2</v>
      </c>
      <c r="B102" s="6" t="s">
        <v>201</v>
      </c>
      <c r="C102" s="6" t="s">
        <v>202</v>
      </c>
    </row>
    <row r="103" spans="1:3">
      <c r="A103" s="5" t="str">
        <f>HYPERLINK("#'OFC3'!A1", "OFC3")</f>
        <v>OFC3</v>
      </c>
      <c r="B103" s="6" t="s">
        <v>203</v>
      </c>
      <c r="C103" s="6" t="s">
        <v>204</v>
      </c>
    </row>
    <row r="104" spans="1:3">
      <c r="A104" s="5" t="str">
        <f>HYPERLINK("#'OFC4'!A1", "OFC4")</f>
        <v>OFC4</v>
      </c>
      <c r="B104" s="6" t="s">
        <v>205</v>
      </c>
      <c r="C104" s="6" t="s">
        <v>206</v>
      </c>
    </row>
    <row r="105" spans="1:3">
      <c r="A105" s="5" t="str">
        <f>HYPERLINK("#'OFC5'!A1", "OFC5")</f>
        <v>OFC5</v>
      </c>
      <c r="B105" s="6" t="s">
        <v>207</v>
      </c>
      <c r="C105" s="6" t="s">
        <v>208</v>
      </c>
    </row>
    <row r="106" spans="1:3">
      <c r="A106" s="5" t="str">
        <f>HYPERLINK("#'OFC6'!A1", "OFC6")</f>
        <v>OFC6</v>
      </c>
      <c r="B106" s="6" t="s">
        <v>209</v>
      </c>
      <c r="C106" s="6" t="s">
        <v>210</v>
      </c>
    </row>
    <row r="107" spans="1:3">
      <c r="A107" s="5" t="str">
        <f>HYPERLINK("#'OFC7'!A1", "OFC7")</f>
        <v>OFC7</v>
      </c>
      <c r="B107" s="6" t="s">
        <v>211</v>
      </c>
      <c r="C107" s="6" t="s">
        <v>212</v>
      </c>
    </row>
    <row r="108" spans="1:3">
      <c r="A108" s="5" t="str">
        <f>HYPERLINK("#'QD1_1'!A1", "QD1_1")</f>
        <v>QD1_1</v>
      </c>
      <c r="B108" s="6" t="s">
        <v>213</v>
      </c>
      <c r="C108" s="6" t="s">
        <v>214</v>
      </c>
    </row>
    <row r="109" spans="1:3">
      <c r="A109" s="5" t="str">
        <f>HYPERLINK("#'QD1_2'!A1", "QD1_2")</f>
        <v>QD1_2</v>
      </c>
      <c r="B109" s="6" t="s">
        <v>215</v>
      </c>
      <c r="C109" s="6" t="s">
        <v>216</v>
      </c>
    </row>
    <row r="110" spans="1:3">
      <c r="A110" s="5" t="str">
        <f>HYPERLINK("#'QD1_3'!A1", "QD1_3")</f>
        <v>QD1_3</v>
      </c>
      <c r="B110" s="6" t="s">
        <v>217</v>
      </c>
      <c r="C110" s="6" t="s">
        <v>218</v>
      </c>
    </row>
    <row r="111" spans="1:3">
      <c r="A111" s="5" t="str">
        <f>HYPERLINK("#'QD1_4'!A1", "QD1_4")</f>
        <v>QD1_4</v>
      </c>
      <c r="B111" s="6" t="s">
        <v>219</v>
      </c>
      <c r="C111" s="6" t="s">
        <v>220</v>
      </c>
    </row>
    <row r="112" spans="1:3">
      <c r="A112" s="5" t="str">
        <f>HYPERLINK("#'QD2'!A1", "QD2")</f>
        <v>QD2</v>
      </c>
      <c r="B112" s="6" t="s">
        <v>221</v>
      </c>
      <c r="C112" s="6" t="s">
        <v>222</v>
      </c>
    </row>
    <row r="113" spans="1:3">
      <c r="A113" s="5" t="str">
        <f>HYPERLINK("#'QDSD1'!A1", "QDSD1")</f>
        <v>QDSD1</v>
      </c>
      <c r="B113" s="6" t="s">
        <v>223</v>
      </c>
      <c r="C113" s="6" t="s">
        <v>224</v>
      </c>
    </row>
    <row r="114" spans="1:3">
      <c r="A114" s="5" t="str">
        <f>HYPERLINK("#'QDSD1R'!A1", "QDSD1R")</f>
        <v>QDSD1R</v>
      </c>
      <c r="B114" s="6" t="s">
        <v>225</v>
      </c>
      <c r="C114" s="6" t="s">
        <v>226</v>
      </c>
    </row>
    <row r="115" spans="1:3">
      <c r="A115" s="5" t="str">
        <f>HYPERLINK("#'QD3'!A1", "QD3")</f>
        <v>QD3</v>
      </c>
      <c r="B115" s="6" t="s">
        <v>227</v>
      </c>
      <c r="C115" s="6" t="s">
        <v>228</v>
      </c>
    </row>
    <row r="116" spans="1:3">
      <c r="A116" s="5" t="str">
        <f>HYPERLINK("#'QD4'!A1", "QD4")</f>
        <v>QD4</v>
      </c>
      <c r="B116" s="6" t="s">
        <v>229</v>
      </c>
      <c r="C116" s="6" t="s">
        <v>230</v>
      </c>
    </row>
    <row r="117" spans="1:3">
      <c r="A117" s="5" t="str">
        <f>HYPERLINK("#'QD5_1'!A1", "QD5_1")</f>
        <v>QD5_1</v>
      </c>
      <c r="B117" s="6" t="s">
        <v>231</v>
      </c>
      <c r="C117" s="6" t="s">
        <v>232</v>
      </c>
    </row>
    <row r="118" spans="1:3">
      <c r="A118" s="5" t="str">
        <f>HYPERLINK("#'QD5_2'!A1", "QD5_2")</f>
        <v>QD5_2</v>
      </c>
      <c r="B118" s="6" t="s">
        <v>233</v>
      </c>
      <c r="C118" s="6" t="s">
        <v>234</v>
      </c>
    </row>
    <row r="119" spans="1:3">
      <c r="A119" s="5" t="str">
        <f>HYPERLINK("#'QD5_3'!A1", "QD5_3")</f>
        <v>QD5_3</v>
      </c>
      <c r="B119" s="6" t="s">
        <v>235</v>
      </c>
      <c r="C119" s="6" t="s">
        <v>236</v>
      </c>
    </row>
    <row r="120" spans="1:3">
      <c r="A120" s="5" t="str">
        <f>HYPERLINK("#'QD5_4'!A1", "QD5_4")</f>
        <v>QD5_4</v>
      </c>
      <c r="B120" s="6" t="s">
        <v>237</v>
      </c>
      <c r="C120" s="6" t="s">
        <v>238</v>
      </c>
    </row>
    <row r="121" spans="1:3">
      <c r="A121" s="5" t="str">
        <f>HYPERLINK("#'QD5_5'!A1", "QD5_5")</f>
        <v>QD5_5</v>
      </c>
      <c r="B121" s="6" t="s">
        <v>239</v>
      </c>
      <c r="C121" s="6" t="s">
        <v>240</v>
      </c>
    </row>
    <row r="122" spans="1:3">
      <c r="A122" s="5" t="str">
        <f>HYPERLINK("#'QD5_6'!A1", "QD5_6")</f>
        <v>QD5_6</v>
      </c>
      <c r="B122" s="6" t="s">
        <v>241</v>
      </c>
      <c r="C122" s="6" t="s">
        <v>242</v>
      </c>
    </row>
    <row r="123" spans="1:3">
      <c r="A123" s="5" t="str">
        <f>HYPERLINK("#'QD5_7'!A1", "QD5_7")</f>
        <v>QD5_7</v>
      </c>
      <c r="B123" s="6" t="s">
        <v>243</v>
      </c>
      <c r="C123" s="6" t="s">
        <v>244</v>
      </c>
    </row>
    <row r="124" spans="1:3">
      <c r="A124" s="5" t="str">
        <f>HYPERLINK("#'QD5_8'!A1", "QD5_8")</f>
        <v>QD5_8</v>
      </c>
      <c r="B124" s="6" t="s">
        <v>245</v>
      </c>
      <c r="C124" s="6" t="s">
        <v>246</v>
      </c>
    </row>
    <row r="125" spans="1:3">
      <c r="A125" s="5" t="str">
        <f>HYPERLINK("#'QD5_9'!A1", "QD5_9")</f>
        <v>QD5_9</v>
      </c>
      <c r="B125" s="6" t="s">
        <v>247</v>
      </c>
      <c r="C125" s="6" t="s">
        <v>248</v>
      </c>
    </row>
    <row r="126" spans="1:3">
      <c r="A126" s="5" t="str">
        <f>HYPERLINK("#'QD5T'!A1", "QD5T")</f>
        <v>QD5T</v>
      </c>
      <c r="B126" s="6" t="s">
        <v>249</v>
      </c>
      <c r="C126" s="6" t="s">
        <v>250</v>
      </c>
    </row>
    <row r="127" spans="1:3">
      <c r="A127" s="5" t="str">
        <f>HYPERLINK("#'QD6'!A1", "QD6")</f>
        <v>QD6</v>
      </c>
      <c r="B127" s="6" t="s">
        <v>251</v>
      </c>
      <c r="C127" s="6" t="s">
        <v>252</v>
      </c>
    </row>
    <row r="128" spans="1:3">
      <c r="A128" s="5" t="str">
        <f>HYPERLINK("#'QD7'!A1", "QD7")</f>
        <v>QD7</v>
      </c>
      <c r="B128" s="6" t="s">
        <v>253</v>
      </c>
      <c r="C128" s="6" t="s">
        <v>254</v>
      </c>
    </row>
    <row r="129" spans="1:3">
      <c r="A129" s="5" t="str">
        <f>HYPERLINK("#'QD8_1'!A1", "QD8_1")</f>
        <v>QD8_1</v>
      </c>
      <c r="B129" s="6" t="s">
        <v>255</v>
      </c>
      <c r="C129" s="6" t="s">
        <v>256</v>
      </c>
    </row>
    <row r="130" spans="1:3">
      <c r="A130" s="5" t="str">
        <f>HYPERLINK("#'QD8_2'!A1", "QD8_2")</f>
        <v>QD8_2</v>
      </c>
      <c r="B130" s="6" t="s">
        <v>257</v>
      </c>
      <c r="C130" s="6" t="s">
        <v>258</v>
      </c>
    </row>
    <row r="131" spans="1:3">
      <c r="A131" s="5" t="str">
        <f>HYPERLINK("#'QD9'!A1", "QD9")</f>
        <v>QD9</v>
      </c>
      <c r="B131" s="6" t="s">
        <v>259</v>
      </c>
      <c r="C131" s="6" t="s">
        <v>260</v>
      </c>
    </row>
    <row r="132" spans="1:3">
      <c r="A132" s="5" t="str">
        <f>HYPERLINK("#'D11'!A1", "D11")</f>
        <v>D11</v>
      </c>
      <c r="B132" s="6" t="s">
        <v>261</v>
      </c>
      <c r="C132" s="6" t="s">
        <v>262</v>
      </c>
    </row>
    <row r="133" spans="1:3">
      <c r="A133" s="5" t="str">
        <f>HYPERLINK("#'D11R'!A1", "D11R")</f>
        <v>D11R</v>
      </c>
      <c r="B133" s="6" t="s">
        <v>263</v>
      </c>
      <c r="C133" s="6" t="s">
        <v>264</v>
      </c>
    </row>
    <row r="134" spans="1:3">
      <c r="A134" s="5" t="str">
        <f>HYPERLINK("#'D11bis'!A1", "D11bis")</f>
        <v>D11bis</v>
      </c>
      <c r="B134" s="6" t="s">
        <v>265</v>
      </c>
      <c r="C134" s="6" t="s">
        <v>266</v>
      </c>
    </row>
    <row r="135" spans="1:3">
      <c r="A135" s="5" t="str">
        <f>HYPERLINK("#'D11G'!A1", "D11G")</f>
        <v>D11G</v>
      </c>
      <c r="B135" s="6" t="s">
        <v>267</v>
      </c>
      <c r="C135" s="6" t="s">
        <v>268</v>
      </c>
    </row>
    <row r="136" spans="1:3">
      <c r="A136" s="5" t="str">
        <f>HYPERLINK("#'D8'!A1", "D8")</f>
        <v>D8</v>
      </c>
      <c r="B136" s="6" t="s">
        <v>269</v>
      </c>
      <c r="C136" s="6" t="s">
        <v>270</v>
      </c>
    </row>
    <row r="137" spans="1:3">
      <c r="A137" s="5" t="str">
        <f>HYPERLINK("#'D8c'!A1", "D8c")</f>
        <v>D8c</v>
      </c>
      <c r="B137" s="6" t="s">
        <v>271</v>
      </c>
      <c r="C137" s="6" t="s">
        <v>272</v>
      </c>
    </row>
    <row r="138" spans="1:3">
      <c r="A138" s="5" t="str">
        <f>HYPERLINK("#'D8cR2'!A1", "D8cR2")</f>
        <v>D8cR2</v>
      </c>
      <c r="B138" s="6" t="s">
        <v>273</v>
      </c>
      <c r="C138" s="6" t="s">
        <v>274</v>
      </c>
    </row>
    <row r="139" spans="1:3">
      <c r="A139" s="5" t="str">
        <f>HYPERLINK("#'D10'!A1", "D10")</f>
        <v>D10</v>
      </c>
      <c r="B139" s="6" t="s">
        <v>275</v>
      </c>
      <c r="C139" s="6" t="s">
        <v>276</v>
      </c>
    </row>
    <row r="140" spans="1:3">
      <c r="A140" s="5" t="str">
        <f>HYPERLINK("#'D15a'!A1", "D15a")</f>
        <v>D15a</v>
      </c>
      <c r="B140" s="6" t="s">
        <v>277</v>
      </c>
      <c r="C140" s="6" t="s">
        <v>278</v>
      </c>
    </row>
    <row r="141" spans="1:3">
      <c r="A141" s="5" t="str">
        <f>HYPERLINK("#'D15a2'!A1", "D15a2")</f>
        <v>D15a2</v>
      </c>
      <c r="B141" s="6" t="s">
        <v>279</v>
      </c>
      <c r="C141" s="6" t="s">
        <v>280</v>
      </c>
    </row>
    <row r="142" spans="1:3">
      <c r="A142" s="5" t="str">
        <f>HYPERLINK("#'C14'!A1", "C14")</f>
        <v>C14</v>
      </c>
      <c r="B142" s="6" t="s">
        <v>281</v>
      </c>
      <c r="C142" s="6" t="s">
        <v>282</v>
      </c>
    </row>
    <row r="143" spans="1:3">
      <c r="A143" s="5" t="str">
        <f>HYPERLINK("#'D15b'!A1", "D15b")</f>
        <v>D15b</v>
      </c>
      <c r="B143" s="6" t="s">
        <v>283</v>
      </c>
      <c r="C143" s="6" t="s">
        <v>284</v>
      </c>
    </row>
    <row r="144" spans="1:3">
      <c r="A144" s="5" t="str">
        <f>HYPERLINK("#'D15b2'!A1", "D15b2")</f>
        <v>D15b2</v>
      </c>
      <c r="B144" s="6" t="s">
        <v>285</v>
      </c>
      <c r="C144" s="6" t="s">
        <v>286</v>
      </c>
    </row>
    <row r="145" spans="1:3">
      <c r="A145" s="5" t="str">
        <f>HYPERLINK("#'D25'!A1", "D25")</f>
        <v>D25</v>
      </c>
      <c r="B145" s="6" t="s">
        <v>287</v>
      </c>
      <c r="C145" s="6" t="s">
        <v>288</v>
      </c>
    </row>
    <row r="146" spans="1:3">
      <c r="A146" s="5" t="str">
        <f>HYPERLINK("#'D60'!A1", "D60")</f>
        <v>D60</v>
      </c>
      <c r="B146" s="6" t="s">
        <v>289</v>
      </c>
      <c r="C146" s="6" t="s">
        <v>290</v>
      </c>
    </row>
    <row r="147" spans="1:3">
      <c r="A147" s="5" t="str">
        <f>HYPERLINK("#'D70'!A1", "D70")</f>
        <v>D70</v>
      </c>
      <c r="B147" s="6" t="s">
        <v>291</v>
      </c>
      <c r="C147" s="6" t="s">
        <v>292</v>
      </c>
    </row>
    <row r="148" spans="1:3">
      <c r="A148" s="5" t="str">
        <f>HYPERLINK("#'D70a'!A1", "D70a")</f>
        <v>D70a</v>
      </c>
      <c r="B148" s="6" t="s">
        <v>293</v>
      </c>
      <c r="C148" s="6" t="s">
        <v>294</v>
      </c>
    </row>
    <row r="149" spans="1:3">
      <c r="A149" s="5" t="str">
        <f>HYPERLINK("#'D62_1'!A1", "D62_1")</f>
        <v>D62_1</v>
      </c>
      <c r="B149" s="6" t="s">
        <v>295</v>
      </c>
      <c r="C149" s="6" t="s">
        <v>296</v>
      </c>
    </row>
    <row r="150" spans="1:3">
      <c r="A150" s="5" t="str">
        <f>HYPERLINK("#'D62_2'!A1", "D62_2")</f>
        <v>D62_2</v>
      </c>
      <c r="B150" s="6" t="s">
        <v>297</v>
      </c>
      <c r="C150" s="6" t="s">
        <v>298</v>
      </c>
    </row>
    <row r="151" spans="1:3">
      <c r="A151" s="5" t="str">
        <f>HYPERLINK("#'D62_3'!A1", "D62_3")</f>
        <v>D62_3</v>
      </c>
      <c r="B151" s="6" t="s">
        <v>299</v>
      </c>
      <c r="C151" s="6" t="s">
        <v>300</v>
      </c>
    </row>
    <row r="152" spans="1:3">
      <c r="A152" s="5" t="str">
        <f>HYPERLINK("#'D62_4'!A1", "D62_4")</f>
        <v>D62_4</v>
      </c>
      <c r="B152" s="6" t="s">
        <v>301</v>
      </c>
      <c r="C152" s="6" t="s">
        <v>302</v>
      </c>
    </row>
    <row r="153" spans="1:3">
      <c r="A153" s="5" t="str">
        <f>HYPERLINK("#'D62R'!A1", "D62R")</f>
        <v>D62R</v>
      </c>
      <c r="B153" s="6" t="s">
        <v>303</v>
      </c>
      <c r="C153" s="6" t="s">
        <v>304</v>
      </c>
    </row>
    <row r="154" spans="1:3">
      <c r="A154" s="5" t="str">
        <f>HYPERLINK("#'D63'!A1", "D63")</f>
        <v>D63</v>
      </c>
      <c r="B154" s="6" t="s">
        <v>305</v>
      </c>
      <c r="C154" s="6" t="s">
        <v>306</v>
      </c>
    </row>
    <row r="155" spans="1:3">
      <c r="A155" s="5" t="str">
        <f>HYPERLINK("#'D73_1'!A1", "D73_1")</f>
        <v>D73_1</v>
      </c>
      <c r="B155" s="6" t="s">
        <v>307</v>
      </c>
      <c r="C155" s="6" t="s">
        <v>308</v>
      </c>
    </row>
    <row r="156" spans="1:3">
      <c r="A156" s="5" t="str">
        <f>HYPERLINK("#'D73_2'!A1", "D73_2")</f>
        <v>D73_2</v>
      </c>
      <c r="B156" s="6" t="s">
        <v>309</v>
      </c>
      <c r="C156" s="6" t="s">
        <v>310</v>
      </c>
    </row>
    <row r="157" spans="1:3">
      <c r="A157" s="5" t="str">
        <f>HYPERLINK("#'D73_3'!A1", "D73_3")</f>
        <v>D73_3</v>
      </c>
      <c r="B157" s="6" t="s">
        <v>311</v>
      </c>
      <c r="C157" s="6" t="s">
        <v>312</v>
      </c>
    </row>
    <row r="158" spans="1:3">
      <c r="A158" s="5" t="str">
        <f>HYPERLINK("#'D73_4'!A1", "D73_4")</f>
        <v>D73_4</v>
      </c>
      <c r="B158" s="6" t="s">
        <v>313</v>
      </c>
      <c r="C158" s="6" t="s">
        <v>314</v>
      </c>
    </row>
    <row r="159" spans="1:3">
      <c r="A159" s="5" t="str">
        <f>HYPERLINK("#'D71_1'!A1", "D71_1")</f>
        <v>D71_1</v>
      </c>
      <c r="B159" s="6" t="s">
        <v>315</v>
      </c>
      <c r="C159" s="6" t="s">
        <v>316</v>
      </c>
    </row>
    <row r="160" spans="1:3">
      <c r="A160" s="5" t="str">
        <f>HYPERLINK("#'D71_2'!A1", "D71_2")</f>
        <v>D71_2</v>
      </c>
      <c r="B160" s="6" t="s">
        <v>317</v>
      </c>
      <c r="C160" s="6" t="s">
        <v>318</v>
      </c>
    </row>
    <row r="161" spans="1:3">
      <c r="A161" s="5" t="str">
        <f>HYPERLINK("#'D71_3'!A1", "D71_3")</f>
        <v>D71_3</v>
      </c>
      <c r="B161" s="6" t="s">
        <v>319</v>
      </c>
      <c r="C161" s="6" t="s">
        <v>320</v>
      </c>
    </row>
    <row r="162" spans="1:3">
      <c r="A162" s="5" t="str">
        <f>HYPERLINK("#'C2'!A1", "C2")</f>
        <v>C2</v>
      </c>
      <c r="B162" s="6" t="s">
        <v>321</v>
      </c>
      <c r="C162" s="6" t="s">
        <v>322</v>
      </c>
    </row>
    <row r="163" spans="1:3">
      <c r="A163" s="5" t="str">
        <f>HYPERLINK("#'SD18a'!A1", "SD18a")</f>
        <v>SD18a</v>
      </c>
      <c r="B163" s="6" t="s">
        <v>323</v>
      </c>
      <c r="C163" s="6" t="s">
        <v>324</v>
      </c>
    </row>
    <row r="164" spans="1:3">
      <c r="A164" s="5" t="str">
        <f>HYPERLINK("#'SD18b'!A1", "SD18b")</f>
        <v>SD18b</v>
      </c>
      <c r="B164" s="6" t="s">
        <v>325</v>
      </c>
      <c r="C164" s="6" t="s">
        <v>326</v>
      </c>
    </row>
    <row r="165" spans="1:3">
      <c r="A165" s="5" t="str">
        <f>HYPERLINK("#'SD19a_1'!A1", "SD19a_1")</f>
        <v>SD19a_1</v>
      </c>
      <c r="B165" s="6" t="s">
        <v>327</v>
      </c>
      <c r="C165" s="6" t="s">
        <v>328</v>
      </c>
    </row>
    <row r="166" spans="1:3">
      <c r="A166" s="5" t="str">
        <f>HYPERLINK("#'SD19a_2'!A1", "SD19a_2")</f>
        <v>SD19a_2</v>
      </c>
      <c r="B166" s="6" t="s">
        <v>329</v>
      </c>
      <c r="C166" s="6" t="s">
        <v>330</v>
      </c>
    </row>
    <row r="167" spans="1:3">
      <c r="A167" s="5" t="str">
        <f>HYPERLINK("#'SD19a_3'!A1", "SD19a_3")</f>
        <v>SD19a_3</v>
      </c>
      <c r="B167" s="6" t="s">
        <v>331</v>
      </c>
      <c r="C167" s="6" t="s">
        <v>332</v>
      </c>
    </row>
    <row r="168" spans="1:3">
      <c r="A168" s="5" t="str">
        <f>HYPERLINK("#'D1'!A1", "D1")</f>
        <v>D1</v>
      </c>
      <c r="B168" s="6" t="s">
        <v>333</v>
      </c>
      <c r="C168" s="6" t="s">
        <v>334</v>
      </c>
    </row>
    <row r="169" spans="1:3">
      <c r="A169" s="5" t="str">
        <f>HYPERLINK("#'D1R1'!A1", "D1R1")</f>
        <v>D1R1</v>
      </c>
      <c r="B169" s="6" t="s">
        <v>335</v>
      </c>
      <c r="C169" s="6" t="s">
        <v>336</v>
      </c>
    </row>
    <row r="170" spans="1:3">
      <c r="A170" s="5" t="str">
        <f>HYPERLINK("#'D1R2'!A1", "D1R2")</f>
        <v>D1R2</v>
      </c>
      <c r="B170" s="6" t="s">
        <v>337</v>
      </c>
      <c r="C170" s="6" t="s">
        <v>338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9</v>
      </c>
      <c r="C3" s="17"/>
      <c r="D3" s="17"/>
      <c r="E3" s="17"/>
      <c r="F3" s="17"/>
      <c r="H3" s="17" t="s">
        <v>10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366</v>
      </c>
      <c r="C12" s="12">
        <v>541</v>
      </c>
      <c r="D12" s="12">
        <v>0</v>
      </c>
      <c r="E12" s="12">
        <v>0</v>
      </c>
      <c r="F12" s="12">
        <v>0</v>
      </c>
      <c r="G12" s="12">
        <v>0</v>
      </c>
      <c r="H12" s="12">
        <v>0</v>
      </c>
      <c r="I12" s="12">
        <v>0</v>
      </c>
      <c r="J12" s="12">
        <v>0</v>
      </c>
      <c r="K12" s="12">
        <v>0</v>
      </c>
      <c r="L12" s="12">
        <v>0</v>
      </c>
      <c r="M12" s="12">
        <v>0</v>
      </c>
      <c r="N12" s="12">
        <v>0</v>
      </c>
      <c r="O12" s="12">
        <v>0</v>
      </c>
      <c r="P12" s="12">
        <v>0</v>
      </c>
      <c r="Q12" s="12">
        <v>0</v>
      </c>
      <c r="R12" s="12">
        <v>0</v>
      </c>
      <c r="S12" s="12">
        <v>0</v>
      </c>
      <c r="T12" s="12">
        <v>0</v>
      </c>
      <c r="U12" s="12">
        <v>0</v>
      </c>
      <c r="V12" s="12">
        <v>0</v>
      </c>
      <c r="W12" s="12">
        <v>0</v>
      </c>
      <c r="X12" s="12">
        <v>0</v>
      </c>
      <c r="Y12" s="12">
        <v>1003</v>
      </c>
      <c r="Z12" s="12">
        <v>0</v>
      </c>
      <c r="AA12" s="12">
        <v>0</v>
      </c>
      <c r="AB12" s="12">
        <v>0</v>
      </c>
      <c r="AC12" s="12">
        <v>0</v>
      </c>
      <c r="AD12" s="12">
        <v>0</v>
      </c>
      <c r="AE12" s="12">
        <v>0</v>
      </c>
      <c r="AF12" s="12">
        <v>0</v>
      </c>
    </row>
    <row r="13" spans="1:32">
      <c r="A13" s="19"/>
      <c r="B13" s="13" t="s">
        <v>366</v>
      </c>
      <c r="C13" s="14">
        <v>0.02</v>
      </c>
      <c r="D13" s="15" t="s">
        <v>375</v>
      </c>
      <c r="E13" s="15" t="s">
        <v>375</v>
      </c>
      <c r="F13" s="15" t="s">
        <v>375</v>
      </c>
      <c r="G13" s="15" t="s">
        <v>375</v>
      </c>
      <c r="H13" s="15" t="s">
        <v>375</v>
      </c>
      <c r="I13" s="15" t="s">
        <v>375</v>
      </c>
      <c r="J13" s="15" t="s">
        <v>375</v>
      </c>
      <c r="K13" s="15" t="s">
        <v>375</v>
      </c>
      <c r="L13" s="15" t="s">
        <v>375</v>
      </c>
      <c r="M13" s="15" t="s">
        <v>375</v>
      </c>
      <c r="N13" s="15" t="s">
        <v>375</v>
      </c>
      <c r="O13" s="15" t="s">
        <v>375</v>
      </c>
      <c r="P13" s="15" t="s">
        <v>375</v>
      </c>
      <c r="Q13" s="15" t="s">
        <v>375</v>
      </c>
      <c r="R13" s="15" t="s">
        <v>375</v>
      </c>
      <c r="S13" s="15" t="s">
        <v>375</v>
      </c>
      <c r="T13" s="15" t="s">
        <v>375</v>
      </c>
      <c r="U13" s="15" t="s">
        <v>375</v>
      </c>
      <c r="V13" s="15" t="s">
        <v>375</v>
      </c>
      <c r="W13" s="15" t="s">
        <v>375</v>
      </c>
      <c r="X13" s="15" t="s">
        <v>375</v>
      </c>
      <c r="Y13" s="14">
        <v>1</v>
      </c>
      <c r="Z13" s="15" t="s">
        <v>375</v>
      </c>
      <c r="AA13" s="15" t="s">
        <v>375</v>
      </c>
      <c r="AB13" s="15" t="s">
        <v>375</v>
      </c>
      <c r="AC13" s="15" t="s">
        <v>375</v>
      </c>
      <c r="AD13" s="15" t="s">
        <v>375</v>
      </c>
      <c r="AE13" s="15" t="s">
        <v>375</v>
      </c>
      <c r="AF13" s="15" t="s">
        <v>375</v>
      </c>
    </row>
    <row r="14" spans="1:32">
      <c r="A14" s="19"/>
      <c r="B14" s="11" t="s">
        <v>345</v>
      </c>
      <c r="C14" s="12">
        <v>682</v>
      </c>
      <c r="D14" s="12">
        <v>1021</v>
      </c>
      <c r="E14" s="12">
        <v>0</v>
      </c>
      <c r="F14" s="12">
        <v>0</v>
      </c>
      <c r="G14" s="12">
        <v>0</v>
      </c>
      <c r="H14" s="12">
        <v>0</v>
      </c>
      <c r="I14" s="12">
        <v>0</v>
      </c>
      <c r="J14" s="12">
        <v>0</v>
      </c>
      <c r="K14" s="12">
        <v>0</v>
      </c>
      <c r="L14" s="12">
        <v>0</v>
      </c>
      <c r="M14" s="12">
        <v>0</v>
      </c>
      <c r="N14" s="12">
        <v>0</v>
      </c>
      <c r="O14" s="12">
        <v>0</v>
      </c>
      <c r="P14" s="12">
        <v>0</v>
      </c>
      <c r="Q14" s="12">
        <v>0</v>
      </c>
      <c r="R14" s="12">
        <v>0</v>
      </c>
      <c r="S14" s="12">
        <v>0</v>
      </c>
      <c r="T14" s="12">
        <v>0</v>
      </c>
      <c r="U14" s="12">
        <v>0</v>
      </c>
      <c r="V14" s="12">
        <v>0</v>
      </c>
      <c r="W14" s="12">
        <v>0</v>
      </c>
      <c r="X14" s="12">
        <v>0</v>
      </c>
      <c r="Y14" s="12">
        <v>0</v>
      </c>
      <c r="Z14" s="12">
        <v>0</v>
      </c>
      <c r="AA14" s="12">
        <v>0</v>
      </c>
      <c r="AB14" s="12">
        <v>0</v>
      </c>
      <c r="AC14" s="12">
        <v>0</v>
      </c>
      <c r="AD14" s="12">
        <v>0</v>
      </c>
      <c r="AE14" s="12">
        <v>0</v>
      </c>
      <c r="AF14" s="12">
        <v>0</v>
      </c>
    </row>
    <row r="15" spans="1:32">
      <c r="A15" s="19"/>
      <c r="B15" s="13" t="s">
        <v>345</v>
      </c>
      <c r="C15" s="14">
        <v>0.03</v>
      </c>
      <c r="D15" s="14">
        <v>1</v>
      </c>
      <c r="E15" s="15" t="s">
        <v>375</v>
      </c>
      <c r="F15" s="15" t="s">
        <v>375</v>
      </c>
      <c r="G15" s="15" t="s">
        <v>375</v>
      </c>
      <c r="H15" s="15" t="s">
        <v>375</v>
      </c>
      <c r="I15" s="15" t="s">
        <v>375</v>
      </c>
      <c r="J15" s="15" t="s">
        <v>375</v>
      </c>
      <c r="K15" s="15" t="s">
        <v>375</v>
      </c>
      <c r="L15" s="15" t="s">
        <v>375</v>
      </c>
      <c r="M15" s="15" t="s">
        <v>375</v>
      </c>
      <c r="N15" s="15" t="s">
        <v>375</v>
      </c>
      <c r="O15" s="15" t="s">
        <v>375</v>
      </c>
      <c r="P15" s="15" t="s">
        <v>375</v>
      </c>
      <c r="Q15" s="15" t="s">
        <v>375</v>
      </c>
      <c r="R15" s="15" t="s">
        <v>375</v>
      </c>
      <c r="S15" s="15" t="s">
        <v>375</v>
      </c>
      <c r="T15" s="15" t="s">
        <v>375</v>
      </c>
      <c r="U15" s="15" t="s">
        <v>375</v>
      </c>
      <c r="V15" s="15" t="s">
        <v>375</v>
      </c>
      <c r="W15" s="15" t="s">
        <v>375</v>
      </c>
      <c r="X15" s="15" t="s">
        <v>375</v>
      </c>
      <c r="Y15" s="15" t="s">
        <v>375</v>
      </c>
      <c r="Z15" s="15" t="s">
        <v>375</v>
      </c>
      <c r="AA15" s="15" t="s">
        <v>375</v>
      </c>
      <c r="AB15" s="15" t="s">
        <v>375</v>
      </c>
      <c r="AC15" s="15" t="s">
        <v>375</v>
      </c>
      <c r="AD15" s="15" t="s">
        <v>375</v>
      </c>
      <c r="AE15" s="15" t="s">
        <v>375</v>
      </c>
      <c r="AF15" s="15" t="s">
        <v>375</v>
      </c>
    </row>
    <row r="16" spans="1:32">
      <c r="A16" s="19"/>
      <c r="B16" s="11" t="s">
        <v>346</v>
      </c>
      <c r="C16" s="12">
        <v>382</v>
      </c>
      <c r="D16" s="12">
        <v>0</v>
      </c>
      <c r="E16" s="12">
        <v>1046</v>
      </c>
      <c r="F16" s="12">
        <v>0</v>
      </c>
      <c r="G16" s="12">
        <v>0</v>
      </c>
      <c r="H16" s="12">
        <v>0</v>
      </c>
      <c r="I16" s="12">
        <v>0</v>
      </c>
      <c r="J16" s="12">
        <v>0</v>
      </c>
      <c r="K16" s="12">
        <v>0</v>
      </c>
      <c r="L16" s="12">
        <v>0</v>
      </c>
      <c r="M16" s="12">
        <v>0</v>
      </c>
      <c r="N16" s="12">
        <v>0</v>
      </c>
      <c r="O16" s="12">
        <v>0</v>
      </c>
      <c r="P16" s="12">
        <v>0</v>
      </c>
      <c r="Q16" s="12">
        <v>0</v>
      </c>
      <c r="R16" s="12">
        <v>0</v>
      </c>
      <c r="S16" s="12">
        <v>0</v>
      </c>
      <c r="T16" s="12">
        <v>0</v>
      </c>
      <c r="U16" s="12">
        <v>0</v>
      </c>
      <c r="V16" s="12">
        <v>0</v>
      </c>
      <c r="W16" s="12">
        <v>0</v>
      </c>
      <c r="X16" s="12">
        <v>0</v>
      </c>
      <c r="Y16" s="12">
        <v>0</v>
      </c>
      <c r="Z16" s="12">
        <v>0</v>
      </c>
      <c r="AA16" s="12">
        <v>0</v>
      </c>
      <c r="AB16" s="12">
        <v>0</v>
      </c>
      <c r="AC16" s="12">
        <v>0</v>
      </c>
      <c r="AD16" s="12">
        <v>0</v>
      </c>
      <c r="AE16" s="12">
        <v>0</v>
      </c>
      <c r="AF16" s="12">
        <v>0</v>
      </c>
    </row>
    <row r="17" spans="1:32">
      <c r="A17" s="19"/>
      <c r="B17" s="13" t="s">
        <v>346</v>
      </c>
      <c r="C17" s="14">
        <v>0.02</v>
      </c>
      <c r="D17" s="15" t="s">
        <v>375</v>
      </c>
      <c r="E17" s="14">
        <v>1</v>
      </c>
      <c r="F17" s="15" t="s">
        <v>375</v>
      </c>
      <c r="G17" s="15" t="s">
        <v>375</v>
      </c>
      <c r="H17" s="15" t="s">
        <v>375</v>
      </c>
      <c r="I17" s="15" t="s">
        <v>375</v>
      </c>
      <c r="J17" s="15" t="s">
        <v>375</v>
      </c>
      <c r="K17" s="15" t="s">
        <v>375</v>
      </c>
      <c r="L17" s="15" t="s">
        <v>375</v>
      </c>
      <c r="M17" s="15" t="s">
        <v>375</v>
      </c>
      <c r="N17" s="15" t="s">
        <v>375</v>
      </c>
      <c r="O17" s="15" t="s">
        <v>375</v>
      </c>
      <c r="P17" s="15" t="s">
        <v>375</v>
      </c>
      <c r="Q17" s="15" t="s">
        <v>375</v>
      </c>
      <c r="R17" s="15" t="s">
        <v>375</v>
      </c>
      <c r="S17" s="15" t="s">
        <v>375</v>
      </c>
      <c r="T17" s="15" t="s">
        <v>375</v>
      </c>
      <c r="U17" s="15" t="s">
        <v>375</v>
      </c>
      <c r="V17" s="15" t="s">
        <v>375</v>
      </c>
      <c r="W17" s="15" t="s">
        <v>375</v>
      </c>
      <c r="X17" s="15" t="s">
        <v>375</v>
      </c>
      <c r="Y17" s="15" t="s">
        <v>375</v>
      </c>
      <c r="Z17" s="15" t="s">
        <v>375</v>
      </c>
      <c r="AA17" s="15" t="s">
        <v>375</v>
      </c>
      <c r="AB17" s="15" t="s">
        <v>375</v>
      </c>
      <c r="AC17" s="15" t="s">
        <v>375</v>
      </c>
      <c r="AD17" s="15" t="s">
        <v>375</v>
      </c>
      <c r="AE17" s="15" t="s">
        <v>375</v>
      </c>
      <c r="AF17" s="15" t="s">
        <v>375</v>
      </c>
    </row>
    <row r="18" spans="1:32">
      <c r="A18" s="19"/>
      <c r="B18" s="11" t="s">
        <v>359</v>
      </c>
      <c r="C18" s="12">
        <v>56</v>
      </c>
      <c r="D18" s="12">
        <v>0</v>
      </c>
      <c r="E18" s="12">
        <v>0</v>
      </c>
      <c r="F18" s="12">
        <v>0</v>
      </c>
      <c r="G18" s="12">
        <v>0</v>
      </c>
      <c r="H18" s="12">
        <v>0</v>
      </c>
      <c r="I18" s="12">
        <v>0</v>
      </c>
      <c r="J18" s="12">
        <v>0</v>
      </c>
      <c r="K18" s="12">
        <v>0</v>
      </c>
      <c r="L18" s="12">
        <v>0</v>
      </c>
      <c r="M18" s="12">
        <v>0</v>
      </c>
      <c r="N18" s="12">
        <v>0</v>
      </c>
      <c r="O18" s="12">
        <v>0</v>
      </c>
      <c r="P18" s="12">
        <v>0</v>
      </c>
      <c r="Q18" s="12">
        <v>0</v>
      </c>
      <c r="R18" s="12">
        <v>501</v>
      </c>
      <c r="S18" s="12">
        <v>0</v>
      </c>
      <c r="T18" s="12">
        <v>0</v>
      </c>
      <c r="U18" s="12">
        <v>0</v>
      </c>
      <c r="V18" s="12">
        <v>0</v>
      </c>
      <c r="W18" s="12">
        <v>0</v>
      </c>
      <c r="X18" s="12">
        <v>0</v>
      </c>
      <c r="Y18" s="12">
        <v>0</v>
      </c>
      <c r="Z18" s="12">
        <v>0</v>
      </c>
      <c r="AA18" s="12">
        <v>0</v>
      </c>
      <c r="AB18" s="12">
        <v>0</v>
      </c>
      <c r="AC18" s="12">
        <v>0</v>
      </c>
      <c r="AD18" s="12">
        <v>0</v>
      </c>
      <c r="AE18" s="12">
        <v>0</v>
      </c>
      <c r="AF18" s="12">
        <v>0</v>
      </c>
    </row>
    <row r="19" spans="1:32">
      <c r="A19" s="19"/>
      <c r="B19" s="13" t="s">
        <v>359</v>
      </c>
      <c r="C19" s="15" t="s">
        <v>375</v>
      </c>
      <c r="D19" s="15" t="s">
        <v>375</v>
      </c>
      <c r="E19" s="15" t="s">
        <v>375</v>
      </c>
      <c r="F19" s="15" t="s">
        <v>375</v>
      </c>
      <c r="G19" s="15" t="s">
        <v>375</v>
      </c>
      <c r="H19" s="15" t="s">
        <v>375</v>
      </c>
      <c r="I19" s="15" t="s">
        <v>375</v>
      </c>
      <c r="J19" s="15" t="s">
        <v>375</v>
      </c>
      <c r="K19" s="15" t="s">
        <v>375</v>
      </c>
      <c r="L19" s="15" t="s">
        <v>375</v>
      </c>
      <c r="M19" s="15" t="s">
        <v>375</v>
      </c>
      <c r="N19" s="15" t="s">
        <v>375</v>
      </c>
      <c r="O19" s="15" t="s">
        <v>375</v>
      </c>
      <c r="P19" s="15" t="s">
        <v>375</v>
      </c>
      <c r="Q19" s="15" t="s">
        <v>375</v>
      </c>
      <c r="R19" s="14">
        <v>1</v>
      </c>
      <c r="S19" s="15" t="s">
        <v>375</v>
      </c>
      <c r="T19" s="15" t="s">
        <v>375</v>
      </c>
      <c r="U19" s="15" t="s">
        <v>375</v>
      </c>
      <c r="V19" s="15" t="s">
        <v>375</v>
      </c>
      <c r="W19" s="15" t="s">
        <v>375</v>
      </c>
      <c r="X19" s="15" t="s">
        <v>375</v>
      </c>
      <c r="Y19" s="15" t="s">
        <v>375</v>
      </c>
      <c r="Z19" s="15" t="s">
        <v>375</v>
      </c>
      <c r="AA19" s="15" t="s">
        <v>375</v>
      </c>
      <c r="AB19" s="15" t="s">
        <v>375</v>
      </c>
      <c r="AC19" s="15" t="s">
        <v>375</v>
      </c>
      <c r="AD19" s="15" t="s">
        <v>375</v>
      </c>
      <c r="AE19" s="15" t="s">
        <v>375</v>
      </c>
      <c r="AF19" s="15" t="s">
        <v>375</v>
      </c>
    </row>
    <row r="20" spans="1:32">
      <c r="A20" s="19"/>
      <c r="B20" s="11" t="s">
        <v>347</v>
      </c>
      <c r="C20" s="12">
        <v>633</v>
      </c>
      <c r="D20" s="12">
        <v>0</v>
      </c>
      <c r="E20" s="12">
        <v>0</v>
      </c>
      <c r="F20" s="12">
        <v>1064</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0</v>
      </c>
      <c r="Y20" s="12">
        <v>0</v>
      </c>
      <c r="Z20" s="12">
        <v>0</v>
      </c>
      <c r="AA20" s="12">
        <v>0</v>
      </c>
      <c r="AB20" s="12">
        <v>0</v>
      </c>
      <c r="AC20" s="12">
        <v>0</v>
      </c>
      <c r="AD20" s="12">
        <v>0</v>
      </c>
      <c r="AE20" s="12">
        <v>0</v>
      </c>
      <c r="AF20" s="12">
        <v>0</v>
      </c>
    </row>
    <row r="21" spans="1:32">
      <c r="A21" s="19"/>
      <c r="B21" s="13" t="s">
        <v>347</v>
      </c>
      <c r="C21" s="14">
        <v>0.02</v>
      </c>
      <c r="D21" s="15" t="s">
        <v>375</v>
      </c>
      <c r="E21" s="15" t="s">
        <v>375</v>
      </c>
      <c r="F21" s="14">
        <v>1</v>
      </c>
      <c r="G21" s="15" t="s">
        <v>375</v>
      </c>
      <c r="H21" s="15" t="s">
        <v>375</v>
      </c>
      <c r="I21" s="15" t="s">
        <v>375</v>
      </c>
      <c r="J21" s="15" t="s">
        <v>375</v>
      </c>
      <c r="K21" s="15" t="s">
        <v>375</v>
      </c>
      <c r="L21" s="15" t="s">
        <v>375</v>
      </c>
      <c r="M21" s="15" t="s">
        <v>375</v>
      </c>
      <c r="N21" s="15" t="s">
        <v>375</v>
      </c>
      <c r="O21" s="15" t="s">
        <v>375</v>
      </c>
      <c r="P21" s="15" t="s">
        <v>375</v>
      </c>
      <c r="Q21" s="15" t="s">
        <v>375</v>
      </c>
      <c r="R21" s="15" t="s">
        <v>375</v>
      </c>
      <c r="S21" s="15" t="s">
        <v>375</v>
      </c>
      <c r="T21" s="15" t="s">
        <v>375</v>
      </c>
      <c r="U21" s="15" t="s">
        <v>375</v>
      </c>
      <c r="V21" s="15" t="s">
        <v>375</v>
      </c>
      <c r="W21" s="15" t="s">
        <v>375</v>
      </c>
      <c r="X21" s="15" t="s">
        <v>375</v>
      </c>
      <c r="Y21" s="15" t="s">
        <v>375</v>
      </c>
      <c r="Z21" s="15" t="s">
        <v>375</v>
      </c>
      <c r="AA21" s="15" t="s">
        <v>375</v>
      </c>
      <c r="AB21" s="15" t="s">
        <v>375</v>
      </c>
      <c r="AC21" s="15" t="s">
        <v>375</v>
      </c>
      <c r="AD21" s="15" t="s">
        <v>375</v>
      </c>
      <c r="AE21" s="15" t="s">
        <v>375</v>
      </c>
      <c r="AF21" s="15" t="s">
        <v>375</v>
      </c>
    </row>
    <row r="22" spans="1:32">
      <c r="A22" s="19"/>
      <c r="B22" s="11" t="s">
        <v>348</v>
      </c>
      <c r="C22" s="12">
        <v>346</v>
      </c>
      <c r="D22" s="12">
        <v>0</v>
      </c>
      <c r="E22" s="12">
        <v>0</v>
      </c>
      <c r="F22" s="12">
        <v>0</v>
      </c>
      <c r="G22" s="12">
        <v>1016</v>
      </c>
      <c r="H22" s="12">
        <v>0</v>
      </c>
      <c r="I22" s="12">
        <v>0</v>
      </c>
      <c r="J22" s="12">
        <v>0</v>
      </c>
      <c r="K22" s="12">
        <v>0</v>
      </c>
      <c r="L22" s="12">
        <v>0</v>
      </c>
      <c r="M22" s="12">
        <v>0</v>
      </c>
      <c r="N22" s="12">
        <v>0</v>
      </c>
      <c r="O22" s="12">
        <v>0</v>
      </c>
      <c r="P22" s="12">
        <v>0</v>
      </c>
      <c r="Q22" s="12">
        <v>0</v>
      </c>
      <c r="R22" s="12">
        <v>0</v>
      </c>
      <c r="S22" s="12">
        <v>0</v>
      </c>
      <c r="T22" s="12">
        <v>0</v>
      </c>
      <c r="U22" s="12">
        <v>0</v>
      </c>
      <c r="V22" s="12">
        <v>0</v>
      </c>
      <c r="W22" s="12">
        <v>0</v>
      </c>
      <c r="X22" s="12">
        <v>0</v>
      </c>
      <c r="Y22" s="12">
        <v>0</v>
      </c>
      <c r="Z22" s="12">
        <v>0</v>
      </c>
      <c r="AA22" s="12">
        <v>0</v>
      </c>
      <c r="AB22" s="12">
        <v>0</v>
      </c>
      <c r="AC22" s="12">
        <v>0</v>
      </c>
      <c r="AD22" s="12">
        <v>0</v>
      </c>
      <c r="AE22" s="12">
        <v>0</v>
      </c>
      <c r="AF22" s="12">
        <v>0</v>
      </c>
    </row>
    <row r="23" spans="1:32">
      <c r="A23" s="19"/>
      <c r="B23" s="13" t="s">
        <v>348</v>
      </c>
      <c r="C23" s="14">
        <v>0.01</v>
      </c>
      <c r="D23" s="15" t="s">
        <v>375</v>
      </c>
      <c r="E23" s="15" t="s">
        <v>375</v>
      </c>
      <c r="F23" s="15" t="s">
        <v>375</v>
      </c>
      <c r="G23" s="14">
        <v>1</v>
      </c>
      <c r="H23" s="15" t="s">
        <v>375</v>
      </c>
      <c r="I23" s="15" t="s">
        <v>375</v>
      </c>
      <c r="J23" s="15" t="s">
        <v>375</v>
      </c>
      <c r="K23" s="15" t="s">
        <v>375</v>
      </c>
      <c r="L23" s="15" t="s">
        <v>375</v>
      </c>
      <c r="M23" s="15" t="s">
        <v>375</v>
      </c>
      <c r="N23" s="15" t="s">
        <v>375</v>
      </c>
      <c r="O23" s="15" t="s">
        <v>375</v>
      </c>
      <c r="P23" s="15" t="s">
        <v>375</v>
      </c>
      <c r="Q23" s="15" t="s">
        <v>375</v>
      </c>
      <c r="R23" s="15" t="s">
        <v>375</v>
      </c>
      <c r="S23" s="15" t="s">
        <v>375</v>
      </c>
      <c r="T23" s="15" t="s">
        <v>375</v>
      </c>
      <c r="U23" s="15" t="s">
        <v>375</v>
      </c>
      <c r="V23" s="15" t="s">
        <v>375</v>
      </c>
      <c r="W23" s="15" t="s">
        <v>375</v>
      </c>
      <c r="X23" s="15" t="s">
        <v>375</v>
      </c>
      <c r="Y23" s="15" t="s">
        <v>375</v>
      </c>
      <c r="Z23" s="15" t="s">
        <v>375</v>
      </c>
      <c r="AA23" s="15" t="s">
        <v>375</v>
      </c>
      <c r="AB23" s="15" t="s">
        <v>375</v>
      </c>
      <c r="AC23" s="15" t="s">
        <v>375</v>
      </c>
      <c r="AD23" s="15" t="s">
        <v>375</v>
      </c>
      <c r="AE23" s="15" t="s">
        <v>375</v>
      </c>
      <c r="AF23" s="15" t="s">
        <v>375</v>
      </c>
    </row>
    <row r="24" spans="1:32">
      <c r="A24" s="19"/>
      <c r="B24" s="11" t="s">
        <v>352</v>
      </c>
      <c r="C24" s="12">
        <v>80</v>
      </c>
      <c r="D24" s="12">
        <v>0</v>
      </c>
      <c r="E24" s="12">
        <v>0</v>
      </c>
      <c r="F24" s="12">
        <v>0</v>
      </c>
      <c r="G24" s="12">
        <v>0</v>
      </c>
      <c r="H24" s="12">
        <v>0</v>
      </c>
      <c r="I24" s="12">
        <v>0</v>
      </c>
      <c r="J24" s="12">
        <v>0</v>
      </c>
      <c r="K24" s="12">
        <v>1006</v>
      </c>
      <c r="L24" s="12">
        <v>0</v>
      </c>
      <c r="M24" s="12">
        <v>0</v>
      </c>
      <c r="N24" s="12">
        <v>0</v>
      </c>
      <c r="O24" s="12">
        <v>0</v>
      </c>
      <c r="P24" s="12">
        <v>0</v>
      </c>
      <c r="Q24" s="12">
        <v>0</v>
      </c>
      <c r="R24" s="12">
        <v>0</v>
      </c>
      <c r="S24" s="12">
        <v>0</v>
      </c>
      <c r="T24" s="12">
        <v>0</v>
      </c>
      <c r="U24" s="12">
        <v>0</v>
      </c>
      <c r="V24" s="12">
        <v>0</v>
      </c>
      <c r="W24" s="12">
        <v>0</v>
      </c>
      <c r="X24" s="12">
        <v>0</v>
      </c>
      <c r="Y24" s="12">
        <v>0</v>
      </c>
      <c r="Z24" s="12">
        <v>0</v>
      </c>
      <c r="AA24" s="12">
        <v>0</v>
      </c>
      <c r="AB24" s="12">
        <v>0</v>
      </c>
      <c r="AC24" s="12">
        <v>0</v>
      </c>
      <c r="AD24" s="12">
        <v>0</v>
      </c>
      <c r="AE24" s="12">
        <v>0</v>
      </c>
      <c r="AF24" s="12">
        <v>0</v>
      </c>
    </row>
    <row r="25" spans="1:32">
      <c r="A25" s="19"/>
      <c r="B25" s="13" t="s">
        <v>352</v>
      </c>
      <c r="C25" s="15" t="s">
        <v>375</v>
      </c>
      <c r="D25" s="15" t="s">
        <v>375</v>
      </c>
      <c r="E25" s="15" t="s">
        <v>375</v>
      </c>
      <c r="F25" s="15" t="s">
        <v>375</v>
      </c>
      <c r="G25" s="15" t="s">
        <v>375</v>
      </c>
      <c r="H25" s="15" t="s">
        <v>375</v>
      </c>
      <c r="I25" s="15" t="s">
        <v>375</v>
      </c>
      <c r="J25" s="15" t="s">
        <v>375</v>
      </c>
      <c r="K25" s="14">
        <v>1</v>
      </c>
      <c r="L25" s="15" t="s">
        <v>375</v>
      </c>
      <c r="M25" s="15" t="s">
        <v>375</v>
      </c>
      <c r="N25" s="15" t="s">
        <v>375</v>
      </c>
      <c r="O25" s="15" t="s">
        <v>375</v>
      </c>
      <c r="P25" s="15" t="s">
        <v>375</v>
      </c>
      <c r="Q25" s="15" t="s">
        <v>375</v>
      </c>
      <c r="R25" s="15" t="s">
        <v>375</v>
      </c>
      <c r="S25" s="15" t="s">
        <v>375</v>
      </c>
      <c r="T25" s="15" t="s">
        <v>375</v>
      </c>
      <c r="U25" s="15" t="s">
        <v>375</v>
      </c>
      <c r="V25" s="15" t="s">
        <v>375</v>
      </c>
      <c r="W25" s="15" t="s">
        <v>375</v>
      </c>
      <c r="X25" s="15" t="s">
        <v>375</v>
      </c>
      <c r="Y25" s="15" t="s">
        <v>375</v>
      </c>
      <c r="Z25" s="15" t="s">
        <v>375</v>
      </c>
      <c r="AA25" s="15" t="s">
        <v>375</v>
      </c>
      <c r="AB25" s="15" t="s">
        <v>375</v>
      </c>
      <c r="AC25" s="15" t="s">
        <v>375</v>
      </c>
      <c r="AD25" s="15" t="s">
        <v>375</v>
      </c>
      <c r="AE25" s="15" t="s">
        <v>375</v>
      </c>
      <c r="AF25" s="15" t="s">
        <v>375</v>
      </c>
    </row>
    <row r="26" spans="1:32">
      <c r="A26" s="19"/>
      <c r="B26" s="11" t="s">
        <v>354</v>
      </c>
      <c r="C26" s="12">
        <v>623</v>
      </c>
      <c r="D26" s="12">
        <v>0</v>
      </c>
      <c r="E26" s="12">
        <v>0</v>
      </c>
      <c r="F26" s="12">
        <v>0</v>
      </c>
      <c r="G26" s="12">
        <v>0</v>
      </c>
      <c r="H26" s="12">
        <v>0</v>
      </c>
      <c r="I26" s="12">
        <v>0</v>
      </c>
      <c r="J26" s="12">
        <v>0</v>
      </c>
      <c r="K26" s="12">
        <v>0</v>
      </c>
      <c r="L26" s="12">
        <v>0</v>
      </c>
      <c r="M26" s="12">
        <v>1007</v>
      </c>
      <c r="N26" s="12">
        <v>0</v>
      </c>
      <c r="O26" s="12">
        <v>0</v>
      </c>
      <c r="P26" s="12">
        <v>0</v>
      </c>
      <c r="Q26" s="12">
        <v>0</v>
      </c>
      <c r="R26" s="12">
        <v>0</v>
      </c>
      <c r="S26" s="12">
        <v>0</v>
      </c>
      <c r="T26" s="12">
        <v>0</v>
      </c>
      <c r="U26" s="12">
        <v>0</v>
      </c>
      <c r="V26" s="12">
        <v>0</v>
      </c>
      <c r="W26" s="12">
        <v>0</v>
      </c>
      <c r="X26" s="12">
        <v>0</v>
      </c>
      <c r="Y26" s="12">
        <v>0</v>
      </c>
      <c r="Z26" s="12">
        <v>0</v>
      </c>
      <c r="AA26" s="12">
        <v>0</v>
      </c>
      <c r="AB26" s="12">
        <v>0</v>
      </c>
      <c r="AC26" s="12">
        <v>0</v>
      </c>
      <c r="AD26" s="12">
        <v>0</v>
      </c>
      <c r="AE26" s="12">
        <v>0</v>
      </c>
      <c r="AF26" s="12">
        <v>0</v>
      </c>
    </row>
    <row r="27" spans="1:32">
      <c r="A27" s="19"/>
      <c r="B27" s="13" t="s">
        <v>354</v>
      </c>
      <c r="C27" s="14">
        <v>0.02</v>
      </c>
      <c r="D27" s="15" t="s">
        <v>375</v>
      </c>
      <c r="E27" s="15" t="s">
        <v>375</v>
      </c>
      <c r="F27" s="15" t="s">
        <v>375</v>
      </c>
      <c r="G27" s="15" t="s">
        <v>375</v>
      </c>
      <c r="H27" s="15" t="s">
        <v>375</v>
      </c>
      <c r="I27" s="15" t="s">
        <v>375</v>
      </c>
      <c r="J27" s="15" t="s">
        <v>375</v>
      </c>
      <c r="K27" s="15" t="s">
        <v>375</v>
      </c>
      <c r="L27" s="15" t="s">
        <v>375</v>
      </c>
      <c r="M27" s="14">
        <v>1</v>
      </c>
      <c r="N27" s="15" t="s">
        <v>375</v>
      </c>
      <c r="O27" s="15" t="s">
        <v>375</v>
      </c>
      <c r="P27" s="15" t="s">
        <v>375</v>
      </c>
      <c r="Q27" s="15" t="s">
        <v>375</v>
      </c>
      <c r="R27" s="15" t="s">
        <v>375</v>
      </c>
      <c r="S27" s="15" t="s">
        <v>375</v>
      </c>
      <c r="T27" s="15" t="s">
        <v>375</v>
      </c>
      <c r="U27" s="15" t="s">
        <v>375</v>
      </c>
      <c r="V27" s="15" t="s">
        <v>375</v>
      </c>
      <c r="W27" s="15" t="s">
        <v>375</v>
      </c>
      <c r="X27" s="15" t="s">
        <v>375</v>
      </c>
      <c r="Y27" s="15" t="s">
        <v>375</v>
      </c>
      <c r="Z27" s="15" t="s">
        <v>375</v>
      </c>
      <c r="AA27" s="15" t="s">
        <v>375</v>
      </c>
      <c r="AB27" s="15" t="s">
        <v>375</v>
      </c>
      <c r="AC27" s="15" t="s">
        <v>375</v>
      </c>
      <c r="AD27" s="15" t="s">
        <v>375</v>
      </c>
      <c r="AE27" s="15" t="s">
        <v>375</v>
      </c>
      <c r="AF27" s="15" t="s">
        <v>375</v>
      </c>
    </row>
    <row r="28" spans="1:32">
      <c r="A28" s="19"/>
      <c r="B28" s="11" t="s">
        <v>355</v>
      </c>
      <c r="C28" s="12">
        <v>2909</v>
      </c>
      <c r="D28" s="12">
        <v>0</v>
      </c>
      <c r="E28" s="12">
        <v>0</v>
      </c>
      <c r="F28" s="12">
        <v>0</v>
      </c>
      <c r="G28" s="12">
        <v>0</v>
      </c>
      <c r="H28" s="12">
        <v>0</v>
      </c>
      <c r="I28" s="12">
        <v>0</v>
      </c>
      <c r="J28" s="12">
        <v>0</v>
      </c>
      <c r="K28" s="12">
        <v>0</v>
      </c>
      <c r="L28" s="12">
        <v>0</v>
      </c>
      <c r="M28" s="12">
        <v>0</v>
      </c>
      <c r="N28" s="12">
        <v>1011</v>
      </c>
      <c r="O28" s="12">
        <v>0</v>
      </c>
      <c r="P28" s="12">
        <v>0</v>
      </c>
      <c r="Q28" s="12">
        <v>0</v>
      </c>
      <c r="R28" s="12">
        <v>0</v>
      </c>
      <c r="S28" s="12">
        <v>0</v>
      </c>
      <c r="T28" s="12">
        <v>0</v>
      </c>
      <c r="U28" s="12">
        <v>0</v>
      </c>
      <c r="V28" s="12">
        <v>0</v>
      </c>
      <c r="W28" s="12">
        <v>0</v>
      </c>
      <c r="X28" s="12">
        <v>0</v>
      </c>
      <c r="Y28" s="12">
        <v>0</v>
      </c>
      <c r="Z28" s="12">
        <v>0</v>
      </c>
      <c r="AA28" s="12">
        <v>0</v>
      </c>
      <c r="AB28" s="12">
        <v>0</v>
      </c>
      <c r="AC28" s="12">
        <v>0</v>
      </c>
      <c r="AD28" s="12">
        <v>0</v>
      </c>
      <c r="AE28" s="12">
        <v>0</v>
      </c>
      <c r="AF28" s="12">
        <v>0</v>
      </c>
    </row>
    <row r="29" spans="1:32">
      <c r="A29" s="19"/>
      <c r="B29" s="13" t="s">
        <v>355</v>
      </c>
      <c r="C29" s="14">
        <v>0.11</v>
      </c>
      <c r="D29" s="15" t="s">
        <v>375</v>
      </c>
      <c r="E29" s="15" t="s">
        <v>375</v>
      </c>
      <c r="F29" s="15" t="s">
        <v>375</v>
      </c>
      <c r="G29" s="15" t="s">
        <v>375</v>
      </c>
      <c r="H29" s="15" t="s">
        <v>375</v>
      </c>
      <c r="I29" s="15" t="s">
        <v>375</v>
      </c>
      <c r="J29" s="15" t="s">
        <v>375</v>
      </c>
      <c r="K29" s="15" t="s">
        <v>375</v>
      </c>
      <c r="L29" s="15" t="s">
        <v>375</v>
      </c>
      <c r="M29" s="15" t="s">
        <v>375</v>
      </c>
      <c r="N29" s="14">
        <v>1</v>
      </c>
      <c r="O29" s="15" t="s">
        <v>375</v>
      </c>
      <c r="P29" s="15" t="s">
        <v>375</v>
      </c>
      <c r="Q29" s="15" t="s">
        <v>375</v>
      </c>
      <c r="R29" s="15" t="s">
        <v>375</v>
      </c>
      <c r="S29" s="15" t="s">
        <v>375</v>
      </c>
      <c r="T29" s="15" t="s">
        <v>375</v>
      </c>
      <c r="U29" s="15" t="s">
        <v>375</v>
      </c>
      <c r="V29" s="15" t="s">
        <v>375</v>
      </c>
      <c r="W29" s="15" t="s">
        <v>375</v>
      </c>
      <c r="X29" s="15" t="s">
        <v>375</v>
      </c>
      <c r="Y29" s="15" t="s">
        <v>375</v>
      </c>
      <c r="Z29" s="15" t="s">
        <v>375</v>
      </c>
      <c r="AA29" s="15" t="s">
        <v>375</v>
      </c>
      <c r="AB29" s="15" t="s">
        <v>375</v>
      </c>
      <c r="AC29" s="15" t="s">
        <v>375</v>
      </c>
      <c r="AD29" s="15" t="s">
        <v>375</v>
      </c>
      <c r="AE29" s="15" t="s">
        <v>375</v>
      </c>
      <c r="AF29" s="15" t="s">
        <v>375</v>
      </c>
    </row>
    <row r="30" spans="1:32">
      <c r="A30" s="19"/>
      <c r="B30" s="11" t="s">
        <v>372</v>
      </c>
      <c r="C30" s="12">
        <v>329</v>
      </c>
      <c r="D30" s="12">
        <v>0</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1001</v>
      </c>
      <c r="AF30" s="12">
        <v>0</v>
      </c>
    </row>
    <row r="31" spans="1:32">
      <c r="A31" s="19"/>
      <c r="B31" s="13" t="s">
        <v>372</v>
      </c>
      <c r="C31" s="14">
        <v>0.01</v>
      </c>
      <c r="D31" s="15" t="s">
        <v>375</v>
      </c>
      <c r="E31" s="15" t="s">
        <v>375</v>
      </c>
      <c r="F31" s="15" t="s">
        <v>375</v>
      </c>
      <c r="G31" s="15" t="s">
        <v>375</v>
      </c>
      <c r="H31" s="15" t="s">
        <v>375</v>
      </c>
      <c r="I31" s="15" t="s">
        <v>375</v>
      </c>
      <c r="J31" s="15" t="s">
        <v>375</v>
      </c>
      <c r="K31" s="15" t="s">
        <v>375</v>
      </c>
      <c r="L31" s="15" t="s">
        <v>375</v>
      </c>
      <c r="M31" s="15" t="s">
        <v>375</v>
      </c>
      <c r="N31" s="15" t="s">
        <v>375</v>
      </c>
      <c r="O31" s="15" t="s">
        <v>375</v>
      </c>
      <c r="P31" s="15" t="s">
        <v>375</v>
      </c>
      <c r="Q31" s="15" t="s">
        <v>375</v>
      </c>
      <c r="R31" s="15" t="s">
        <v>375</v>
      </c>
      <c r="S31" s="15" t="s">
        <v>375</v>
      </c>
      <c r="T31" s="15" t="s">
        <v>375</v>
      </c>
      <c r="U31" s="15" t="s">
        <v>375</v>
      </c>
      <c r="V31" s="15" t="s">
        <v>375</v>
      </c>
      <c r="W31" s="15" t="s">
        <v>375</v>
      </c>
      <c r="X31" s="15" t="s">
        <v>375</v>
      </c>
      <c r="Y31" s="15" t="s">
        <v>375</v>
      </c>
      <c r="Z31" s="15" t="s">
        <v>375</v>
      </c>
      <c r="AA31" s="15" t="s">
        <v>375</v>
      </c>
      <c r="AB31" s="15" t="s">
        <v>375</v>
      </c>
      <c r="AC31" s="15" t="s">
        <v>375</v>
      </c>
      <c r="AD31" s="15" t="s">
        <v>375</v>
      </c>
      <c r="AE31" s="14">
        <v>1</v>
      </c>
      <c r="AF31" s="15" t="s">
        <v>375</v>
      </c>
    </row>
    <row r="32" spans="1:32">
      <c r="A32" s="19"/>
      <c r="B32" s="11" t="s">
        <v>356</v>
      </c>
      <c r="C32" s="12">
        <v>3921</v>
      </c>
      <c r="D32" s="12">
        <v>0</v>
      </c>
      <c r="E32" s="12">
        <v>0</v>
      </c>
      <c r="F32" s="12">
        <v>0</v>
      </c>
      <c r="G32" s="12">
        <v>0</v>
      </c>
      <c r="H32" s="12">
        <v>0</v>
      </c>
      <c r="I32" s="12">
        <v>0</v>
      </c>
      <c r="J32" s="12">
        <v>0</v>
      </c>
      <c r="K32" s="12">
        <v>0</v>
      </c>
      <c r="L32" s="12">
        <v>0</v>
      </c>
      <c r="M32" s="12">
        <v>0</v>
      </c>
      <c r="N32" s="12">
        <v>0</v>
      </c>
      <c r="O32" s="12">
        <v>1004</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row>
    <row r="33" spans="1:32">
      <c r="A33" s="19"/>
      <c r="B33" s="13" t="s">
        <v>356</v>
      </c>
      <c r="C33" s="14">
        <v>0.15</v>
      </c>
      <c r="D33" s="15" t="s">
        <v>375</v>
      </c>
      <c r="E33" s="15" t="s">
        <v>375</v>
      </c>
      <c r="F33" s="15" t="s">
        <v>375</v>
      </c>
      <c r="G33" s="15" t="s">
        <v>375</v>
      </c>
      <c r="H33" s="15" t="s">
        <v>375</v>
      </c>
      <c r="I33" s="15" t="s">
        <v>375</v>
      </c>
      <c r="J33" s="15" t="s">
        <v>375</v>
      </c>
      <c r="K33" s="15" t="s">
        <v>375</v>
      </c>
      <c r="L33" s="15" t="s">
        <v>375</v>
      </c>
      <c r="M33" s="15" t="s">
        <v>375</v>
      </c>
      <c r="N33" s="15" t="s">
        <v>375</v>
      </c>
      <c r="O33" s="14">
        <v>1</v>
      </c>
      <c r="P33" s="15" t="s">
        <v>375</v>
      </c>
      <c r="Q33" s="15" t="s">
        <v>375</v>
      </c>
      <c r="R33" s="15" t="s">
        <v>375</v>
      </c>
      <c r="S33" s="15" t="s">
        <v>375</v>
      </c>
      <c r="T33" s="15" t="s">
        <v>375</v>
      </c>
      <c r="U33" s="15" t="s">
        <v>375</v>
      </c>
      <c r="V33" s="15" t="s">
        <v>375</v>
      </c>
      <c r="W33" s="15" t="s">
        <v>375</v>
      </c>
      <c r="X33" s="15" t="s">
        <v>375</v>
      </c>
      <c r="Y33" s="15" t="s">
        <v>375</v>
      </c>
      <c r="Z33" s="15" t="s">
        <v>375</v>
      </c>
      <c r="AA33" s="15" t="s">
        <v>375</v>
      </c>
      <c r="AB33" s="15" t="s">
        <v>375</v>
      </c>
      <c r="AC33" s="15" t="s">
        <v>375</v>
      </c>
      <c r="AD33" s="15" t="s">
        <v>375</v>
      </c>
      <c r="AE33" s="15" t="s">
        <v>375</v>
      </c>
      <c r="AF33" s="15" t="s">
        <v>375</v>
      </c>
    </row>
    <row r="34" spans="1:32">
      <c r="A34" s="19"/>
      <c r="B34" s="11" t="s">
        <v>357</v>
      </c>
      <c r="C34" s="12">
        <v>229</v>
      </c>
      <c r="D34" s="12">
        <v>0</v>
      </c>
      <c r="E34" s="12">
        <v>0</v>
      </c>
      <c r="F34" s="12">
        <v>0</v>
      </c>
      <c r="G34" s="12">
        <v>0</v>
      </c>
      <c r="H34" s="12">
        <v>0</v>
      </c>
      <c r="I34" s="12">
        <v>0</v>
      </c>
      <c r="J34" s="12">
        <v>0</v>
      </c>
      <c r="K34" s="12">
        <v>0</v>
      </c>
      <c r="L34" s="12">
        <v>0</v>
      </c>
      <c r="M34" s="12">
        <v>0</v>
      </c>
      <c r="N34" s="12">
        <v>0</v>
      </c>
      <c r="O34" s="12">
        <v>0</v>
      </c>
      <c r="P34" s="12">
        <v>1003</v>
      </c>
      <c r="Q34" s="12">
        <v>0</v>
      </c>
      <c r="R34" s="12">
        <v>0</v>
      </c>
      <c r="S34" s="12">
        <v>0</v>
      </c>
      <c r="T34" s="12">
        <v>0</v>
      </c>
      <c r="U34" s="12">
        <v>0</v>
      </c>
      <c r="V34" s="12">
        <v>0</v>
      </c>
      <c r="W34" s="12">
        <v>0</v>
      </c>
      <c r="X34" s="12">
        <v>0</v>
      </c>
      <c r="Y34" s="12">
        <v>0</v>
      </c>
      <c r="Z34" s="12">
        <v>0</v>
      </c>
      <c r="AA34" s="12">
        <v>0</v>
      </c>
      <c r="AB34" s="12">
        <v>0</v>
      </c>
      <c r="AC34" s="12">
        <v>0</v>
      </c>
      <c r="AD34" s="12">
        <v>0</v>
      </c>
      <c r="AE34" s="12">
        <v>0</v>
      </c>
      <c r="AF34" s="12">
        <v>0</v>
      </c>
    </row>
    <row r="35" spans="1:32">
      <c r="A35" s="19"/>
      <c r="B35" s="13" t="s">
        <v>357</v>
      </c>
      <c r="C35" s="14">
        <v>0.01</v>
      </c>
      <c r="D35" s="15" t="s">
        <v>375</v>
      </c>
      <c r="E35" s="15" t="s">
        <v>375</v>
      </c>
      <c r="F35" s="15" t="s">
        <v>375</v>
      </c>
      <c r="G35" s="15" t="s">
        <v>375</v>
      </c>
      <c r="H35" s="15" t="s">
        <v>375</v>
      </c>
      <c r="I35" s="15" t="s">
        <v>375</v>
      </c>
      <c r="J35" s="15" t="s">
        <v>375</v>
      </c>
      <c r="K35" s="15" t="s">
        <v>375</v>
      </c>
      <c r="L35" s="15" t="s">
        <v>375</v>
      </c>
      <c r="M35" s="15" t="s">
        <v>375</v>
      </c>
      <c r="N35" s="15" t="s">
        <v>375</v>
      </c>
      <c r="O35" s="15" t="s">
        <v>375</v>
      </c>
      <c r="P35" s="14">
        <v>1</v>
      </c>
      <c r="Q35" s="15" t="s">
        <v>375</v>
      </c>
      <c r="R35" s="15" t="s">
        <v>375</v>
      </c>
      <c r="S35" s="15" t="s">
        <v>375</v>
      </c>
      <c r="T35" s="15" t="s">
        <v>375</v>
      </c>
      <c r="U35" s="15" t="s">
        <v>375</v>
      </c>
      <c r="V35" s="15" t="s">
        <v>375</v>
      </c>
      <c r="W35" s="15" t="s">
        <v>375</v>
      </c>
      <c r="X35" s="15" t="s">
        <v>375</v>
      </c>
      <c r="Y35" s="15" t="s">
        <v>375</v>
      </c>
      <c r="Z35" s="15" t="s">
        <v>375</v>
      </c>
      <c r="AA35" s="15" t="s">
        <v>375</v>
      </c>
      <c r="AB35" s="15" t="s">
        <v>375</v>
      </c>
      <c r="AC35" s="15" t="s">
        <v>375</v>
      </c>
      <c r="AD35" s="15" t="s">
        <v>375</v>
      </c>
      <c r="AE35" s="15" t="s">
        <v>375</v>
      </c>
      <c r="AF35" s="15" t="s">
        <v>375</v>
      </c>
    </row>
    <row r="36" spans="1:32">
      <c r="A36" s="19"/>
      <c r="B36" s="11" t="s">
        <v>363</v>
      </c>
      <c r="C36" s="12">
        <v>565</v>
      </c>
      <c r="D36" s="12">
        <v>0</v>
      </c>
      <c r="E36" s="12">
        <v>0</v>
      </c>
      <c r="F36" s="12">
        <v>0</v>
      </c>
      <c r="G36" s="12">
        <v>0</v>
      </c>
      <c r="H36" s="12">
        <v>0</v>
      </c>
      <c r="I36" s="12">
        <v>0</v>
      </c>
      <c r="J36" s="12">
        <v>0</v>
      </c>
      <c r="K36" s="12">
        <v>0</v>
      </c>
      <c r="L36" s="12">
        <v>0</v>
      </c>
      <c r="M36" s="12">
        <v>0</v>
      </c>
      <c r="N36" s="12">
        <v>0</v>
      </c>
      <c r="O36" s="12">
        <v>0</v>
      </c>
      <c r="P36" s="12">
        <v>0</v>
      </c>
      <c r="Q36" s="12">
        <v>0</v>
      </c>
      <c r="R36" s="12">
        <v>0</v>
      </c>
      <c r="S36" s="12">
        <v>0</v>
      </c>
      <c r="T36" s="12">
        <v>0</v>
      </c>
      <c r="U36" s="12">
        <v>0</v>
      </c>
      <c r="V36" s="12">
        <v>1026</v>
      </c>
      <c r="W36" s="12">
        <v>0</v>
      </c>
      <c r="X36" s="12">
        <v>0</v>
      </c>
      <c r="Y36" s="12">
        <v>0</v>
      </c>
      <c r="Z36" s="12">
        <v>0</v>
      </c>
      <c r="AA36" s="12">
        <v>0</v>
      </c>
      <c r="AB36" s="12">
        <v>0</v>
      </c>
      <c r="AC36" s="12">
        <v>0</v>
      </c>
      <c r="AD36" s="12">
        <v>0</v>
      </c>
      <c r="AE36" s="12">
        <v>0</v>
      </c>
      <c r="AF36" s="12">
        <v>0</v>
      </c>
    </row>
    <row r="37" spans="1:32">
      <c r="A37" s="19"/>
      <c r="B37" s="13" t="s">
        <v>363</v>
      </c>
      <c r="C37" s="14">
        <v>0.02</v>
      </c>
      <c r="D37" s="15" t="s">
        <v>375</v>
      </c>
      <c r="E37" s="15" t="s">
        <v>375</v>
      </c>
      <c r="F37" s="15" t="s">
        <v>375</v>
      </c>
      <c r="G37" s="15" t="s">
        <v>375</v>
      </c>
      <c r="H37" s="15" t="s">
        <v>375</v>
      </c>
      <c r="I37" s="15" t="s">
        <v>375</v>
      </c>
      <c r="J37" s="15" t="s">
        <v>375</v>
      </c>
      <c r="K37" s="15" t="s">
        <v>375</v>
      </c>
      <c r="L37" s="15" t="s">
        <v>375</v>
      </c>
      <c r="M37" s="15" t="s">
        <v>375</v>
      </c>
      <c r="N37" s="15" t="s">
        <v>375</v>
      </c>
      <c r="O37" s="15" t="s">
        <v>375</v>
      </c>
      <c r="P37" s="15" t="s">
        <v>375</v>
      </c>
      <c r="Q37" s="15" t="s">
        <v>375</v>
      </c>
      <c r="R37" s="15" t="s">
        <v>375</v>
      </c>
      <c r="S37" s="15" t="s">
        <v>375</v>
      </c>
      <c r="T37" s="15" t="s">
        <v>375</v>
      </c>
      <c r="U37" s="15" t="s">
        <v>375</v>
      </c>
      <c r="V37" s="14">
        <v>1</v>
      </c>
      <c r="W37" s="15" t="s">
        <v>375</v>
      </c>
      <c r="X37" s="15" t="s">
        <v>375</v>
      </c>
      <c r="Y37" s="15" t="s">
        <v>375</v>
      </c>
      <c r="Z37" s="15" t="s">
        <v>375</v>
      </c>
      <c r="AA37" s="15" t="s">
        <v>375</v>
      </c>
      <c r="AB37" s="15" t="s">
        <v>375</v>
      </c>
      <c r="AC37" s="15" t="s">
        <v>375</v>
      </c>
      <c r="AD37" s="15" t="s">
        <v>375</v>
      </c>
      <c r="AE37" s="15" t="s">
        <v>375</v>
      </c>
      <c r="AF37" s="15" t="s">
        <v>375</v>
      </c>
    </row>
    <row r="38" spans="1:32">
      <c r="A38" s="19"/>
      <c r="B38" s="11" t="s">
        <v>353</v>
      </c>
      <c r="C38" s="12">
        <v>299</v>
      </c>
      <c r="D38" s="12">
        <v>0</v>
      </c>
      <c r="E38" s="12">
        <v>0</v>
      </c>
      <c r="F38" s="12">
        <v>0</v>
      </c>
      <c r="G38" s="12">
        <v>0</v>
      </c>
      <c r="H38" s="12">
        <v>0</v>
      </c>
      <c r="I38" s="12">
        <v>0</v>
      </c>
      <c r="J38" s="12">
        <v>0</v>
      </c>
      <c r="K38" s="12">
        <v>0</v>
      </c>
      <c r="L38" s="12">
        <v>1006</v>
      </c>
      <c r="M38" s="12">
        <v>0</v>
      </c>
      <c r="N38" s="12">
        <v>0</v>
      </c>
      <c r="O38" s="12">
        <v>0</v>
      </c>
      <c r="P38" s="12">
        <v>0</v>
      </c>
      <c r="Q38" s="12">
        <v>0</v>
      </c>
      <c r="R38" s="12">
        <v>0</v>
      </c>
      <c r="S38" s="12">
        <v>0</v>
      </c>
      <c r="T38" s="12">
        <v>0</v>
      </c>
      <c r="U38" s="12">
        <v>0</v>
      </c>
      <c r="V38" s="12">
        <v>0</v>
      </c>
      <c r="W38" s="12">
        <v>0</v>
      </c>
      <c r="X38" s="12">
        <v>0</v>
      </c>
      <c r="Y38" s="12">
        <v>0</v>
      </c>
      <c r="Z38" s="12">
        <v>0</v>
      </c>
      <c r="AA38" s="12">
        <v>0</v>
      </c>
      <c r="AB38" s="12">
        <v>0</v>
      </c>
      <c r="AC38" s="12">
        <v>0</v>
      </c>
      <c r="AD38" s="12">
        <v>0</v>
      </c>
      <c r="AE38" s="12">
        <v>0</v>
      </c>
      <c r="AF38" s="12">
        <v>0</v>
      </c>
    </row>
    <row r="39" spans="1:32">
      <c r="A39" s="19"/>
      <c r="B39" s="13" t="s">
        <v>353</v>
      </c>
      <c r="C39" s="14">
        <v>0.01</v>
      </c>
      <c r="D39" s="15" t="s">
        <v>375</v>
      </c>
      <c r="E39" s="15" t="s">
        <v>375</v>
      </c>
      <c r="F39" s="15" t="s">
        <v>375</v>
      </c>
      <c r="G39" s="15" t="s">
        <v>375</v>
      </c>
      <c r="H39" s="15" t="s">
        <v>375</v>
      </c>
      <c r="I39" s="15" t="s">
        <v>375</v>
      </c>
      <c r="J39" s="15" t="s">
        <v>375</v>
      </c>
      <c r="K39" s="15" t="s">
        <v>375</v>
      </c>
      <c r="L39" s="14">
        <v>1</v>
      </c>
      <c r="M39" s="15" t="s">
        <v>375</v>
      </c>
      <c r="N39" s="15" t="s">
        <v>375</v>
      </c>
      <c r="O39" s="15" t="s">
        <v>375</v>
      </c>
      <c r="P39" s="15" t="s">
        <v>375</v>
      </c>
      <c r="Q39" s="15" t="s">
        <v>375</v>
      </c>
      <c r="R39" s="15" t="s">
        <v>375</v>
      </c>
      <c r="S39" s="15" t="s">
        <v>375</v>
      </c>
      <c r="T39" s="15" t="s">
        <v>375</v>
      </c>
      <c r="U39" s="15" t="s">
        <v>375</v>
      </c>
      <c r="V39" s="15" t="s">
        <v>375</v>
      </c>
      <c r="W39" s="15" t="s">
        <v>375</v>
      </c>
      <c r="X39" s="15" t="s">
        <v>375</v>
      </c>
      <c r="Y39" s="15" t="s">
        <v>375</v>
      </c>
      <c r="Z39" s="15" t="s">
        <v>375</v>
      </c>
      <c r="AA39" s="15" t="s">
        <v>375</v>
      </c>
      <c r="AB39" s="15" t="s">
        <v>375</v>
      </c>
      <c r="AC39" s="15" t="s">
        <v>375</v>
      </c>
      <c r="AD39" s="15" t="s">
        <v>375</v>
      </c>
      <c r="AE39" s="15" t="s">
        <v>375</v>
      </c>
      <c r="AF39" s="15" t="s">
        <v>375</v>
      </c>
    </row>
    <row r="40" spans="1:32">
      <c r="A40" s="19"/>
      <c r="B40" s="11" t="s">
        <v>358</v>
      </c>
      <c r="C40" s="12">
        <v>3571</v>
      </c>
      <c r="D40" s="12">
        <v>0</v>
      </c>
      <c r="E40" s="12">
        <v>0</v>
      </c>
      <c r="F40" s="12">
        <v>0</v>
      </c>
      <c r="G40" s="12">
        <v>0</v>
      </c>
      <c r="H40" s="12">
        <v>0</v>
      </c>
      <c r="I40" s="12">
        <v>0</v>
      </c>
      <c r="J40" s="12">
        <v>0</v>
      </c>
      <c r="K40" s="12">
        <v>0</v>
      </c>
      <c r="L40" s="12">
        <v>0</v>
      </c>
      <c r="M40" s="12">
        <v>0</v>
      </c>
      <c r="N40" s="12">
        <v>0</v>
      </c>
      <c r="O40" s="12">
        <v>0</v>
      </c>
      <c r="P40" s="12">
        <v>0</v>
      </c>
      <c r="Q40" s="12">
        <v>1031</v>
      </c>
      <c r="R40" s="12">
        <v>0</v>
      </c>
      <c r="S40" s="12">
        <v>0</v>
      </c>
      <c r="T40" s="12">
        <v>0</v>
      </c>
      <c r="U40" s="12">
        <v>0</v>
      </c>
      <c r="V40" s="12">
        <v>0</v>
      </c>
      <c r="W40" s="12">
        <v>0</v>
      </c>
      <c r="X40" s="12">
        <v>0</v>
      </c>
      <c r="Y40" s="12">
        <v>0</v>
      </c>
      <c r="Z40" s="12">
        <v>0</v>
      </c>
      <c r="AA40" s="12">
        <v>0</v>
      </c>
      <c r="AB40" s="12">
        <v>0</v>
      </c>
      <c r="AC40" s="12">
        <v>0</v>
      </c>
      <c r="AD40" s="12">
        <v>0</v>
      </c>
      <c r="AE40" s="12">
        <v>0</v>
      </c>
      <c r="AF40" s="12">
        <v>0</v>
      </c>
    </row>
    <row r="41" spans="1:32">
      <c r="A41" s="19"/>
      <c r="B41" s="13" t="s">
        <v>358</v>
      </c>
      <c r="C41" s="14">
        <v>0.14000000000000001</v>
      </c>
      <c r="D41" s="15" t="s">
        <v>375</v>
      </c>
      <c r="E41" s="15" t="s">
        <v>375</v>
      </c>
      <c r="F41" s="15" t="s">
        <v>375</v>
      </c>
      <c r="G41" s="15" t="s">
        <v>375</v>
      </c>
      <c r="H41" s="15" t="s">
        <v>375</v>
      </c>
      <c r="I41" s="15" t="s">
        <v>375</v>
      </c>
      <c r="J41" s="15" t="s">
        <v>375</v>
      </c>
      <c r="K41" s="15" t="s">
        <v>375</v>
      </c>
      <c r="L41" s="15" t="s">
        <v>375</v>
      </c>
      <c r="M41" s="15" t="s">
        <v>375</v>
      </c>
      <c r="N41" s="15" t="s">
        <v>375</v>
      </c>
      <c r="O41" s="15" t="s">
        <v>375</v>
      </c>
      <c r="P41" s="15" t="s">
        <v>375</v>
      </c>
      <c r="Q41" s="14">
        <v>1</v>
      </c>
      <c r="R41" s="15" t="s">
        <v>375</v>
      </c>
      <c r="S41" s="15" t="s">
        <v>375</v>
      </c>
      <c r="T41" s="15" t="s">
        <v>375</v>
      </c>
      <c r="U41" s="15" t="s">
        <v>375</v>
      </c>
      <c r="V41" s="15" t="s">
        <v>375</v>
      </c>
      <c r="W41" s="15" t="s">
        <v>375</v>
      </c>
      <c r="X41" s="15" t="s">
        <v>375</v>
      </c>
      <c r="Y41" s="15" t="s">
        <v>375</v>
      </c>
      <c r="Z41" s="15" t="s">
        <v>375</v>
      </c>
      <c r="AA41" s="15" t="s">
        <v>375</v>
      </c>
      <c r="AB41" s="15" t="s">
        <v>375</v>
      </c>
      <c r="AC41" s="15" t="s">
        <v>375</v>
      </c>
      <c r="AD41" s="15" t="s">
        <v>375</v>
      </c>
      <c r="AE41" s="15" t="s">
        <v>375</v>
      </c>
      <c r="AF41" s="15" t="s">
        <v>375</v>
      </c>
    </row>
    <row r="42" spans="1:32">
      <c r="A42" s="19"/>
      <c r="B42" s="11" t="s">
        <v>361</v>
      </c>
      <c r="C42" s="12">
        <v>170</v>
      </c>
      <c r="D42" s="12">
        <v>0</v>
      </c>
      <c r="E42" s="12">
        <v>0</v>
      </c>
      <c r="F42" s="12">
        <v>0</v>
      </c>
      <c r="G42" s="12">
        <v>0</v>
      </c>
      <c r="H42" s="12">
        <v>0</v>
      </c>
      <c r="I42" s="12">
        <v>0</v>
      </c>
      <c r="J42" s="12">
        <v>0</v>
      </c>
      <c r="K42" s="12">
        <v>0</v>
      </c>
      <c r="L42" s="12">
        <v>0</v>
      </c>
      <c r="M42" s="12">
        <v>0</v>
      </c>
      <c r="N42" s="12">
        <v>0</v>
      </c>
      <c r="O42" s="12">
        <v>0</v>
      </c>
      <c r="P42" s="12">
        <v>0</v>
      </c>
      <c r="Q42" s="12">
        <v>0</v>
      </c>
      <c r="R42" s="12">
        <v>0</v>
      </c>
      <c r="S42" s="12">
        <v>0</v>
      </c>
      <c r="T42" s="12">
        <v>1023</v>
      </c>
      <c r="U42" s="12">
        <v>0</v>
      </c>
      <c r="V42" s="12">
        <v>0</v>
      </c>
      <c r="W42" s="12">
        <v>0</v>
      </c>
      <c r="X42" s="12">
        <v>0</v>
      </c>
      <c r="Y42" s="12">
        <v>0</v>
      </c>
      <c r="Z42" s="12">
        <v>0</v>
      </c>
      <c r="AA42" s="12">
        <v>0</v>
      </c>
      <c r="AB42" s="12">
        <v>0</v>
      </c>
      <c r="AC42" s="12">
        <v>0</v>
      </c>
      <c r="AD42" s="12">
        <v>0</v>
      </c>
      <c r="AE42" s="12">
        <v>0</v>
      </c>
      <c r="AF42" s="12">
        <v>0</v>
      </c>
    </row>
    <row r="43" spans="1:32">
      <c r="A43" s="19"/>
      <c r="B43" s="13" t="s">
        <v>361</v>
      </c>
      <c r="C43" s="14">
        <v>0.01</v>
      </c>
      <c r="D43" s="15" t="s">
        <v>375</v>
      </c>
      <c r="E43" s="15" t="s">
        <v>375</v>
      </c>
      <c r="F43" s="15" t="s">
        <v>375</v>
      </c>
      <c r="G43" s="15" t="s">
        <v>375</v>
      </c>
      <c r="H43" s="15" t="s">
        <v>375</v>
      </c>
      <c r="I43" s="15" t="s">
        <v>375</v>
      </c>
      <c r="J43" s="15" t="s">
        <v>375</v>
      </c>
      <c r="K43" s="15" t="s">
        <v>375</v>
      </c>
      <c r="L43" s="15" t="s">
        <v>375</v>
      </c>
      <c r="M43" s="15" t="s">
        <v>375</v>
      </c>
      <c r="N43" s="15" t="s">
        <v>375</v>
      </c>
      <c r="O43" s="15" t="s">
        <v>375</v>
      </c>
      <c r="P43" s="15" t="s">
        <v>375</v>
      </c>
      <c r="Q43" s="15" t="s">
        <v>375</v>
      </c>
      <c r="R43" s="15" t="s">
        <v>375</v>
      </c>
      <c r="S43" s="15" t="s">
        <v>375</v>
      </c>
      <c r="T43" s="14">
        <v>1</v>
      </c>
      <c r="U43" s="15" t="s">
        <v>375</v>
      </c>
      <c r="V43" s="15" t="s">
        <v>375</v>
      </c>
      <c r="W43" s="15" t="s">
        <v>375</v>
      </c>
      <c r="X43" s="15" t="s">
        <v>375</v>
      </c>
      <c r="Y43" s="15" t="s">
        <v>375</v>
      </c>
      <c r="Z43" s="15" t="s">
        <v>375</v>
      </c>
      <c r="AA43" s="15" t="s">
        <v>375</v>
      </c>
      <c r="AB43" s="15" t="s">
        <v>375</v>
      </c>
      <c r="AC43" s="15" t="s">
        <v>375</v>
      </c>
      <c r="AD43" s="15" t="s">
        <v>375</v>
      </c>
      <c r="AE43" s="15" t="s">
        <v>375</v>
      </c>
      <c r="AF43" s="15" t="s">
        <v>375</v>
      </c>
    </row>
    <row r="44" spans="1:32">
      <c r="A44" s="19"/>
      <c r="B44" s="11" t="s">
        <v>362</v>
      </c>
      <c r="C44" s="12">
        <v>39</v>
      </c>
      <c r="D44" s="12">
        <v>0</v>
      </c>
      <c r="E44" s="12">
        <v>0</v>
      </c>
      <c r="F44" s="12">
        <v>0</v>
      </c>
      <c r="G44" s="12">
        <v>0</v>
      </c>
      <c r="H44" s="12">
        <v>0</v>
      </c>
      <c r="I44" s="12">
        <v>0</v>
      </c>
      <c r="J44" s="12">
        <v>0</v>
      </c>
      <c r="K44" s="12">
        <v>0</v>
      </c>
      <c r="L44" s="12">
        <v>0</v>
      </c>
      <c r="M44" s="12">
        <v>0</v>
      </c>
      <c r="N44" s="12">
        <v>0</v>
      </c>
      <c r="O44" s="12">
        <v>0</v>
      </c>
      <c r="P44" s="12">
        <v>0</v>
      </c>
      <c r="Q44" s="12">
        <v>0</v>
      </c>
      <c r="R44" s="12">
        <v>0</v>
      </c>
      <c r="S44" s="12">
        <v>0</v>
      </c>
      <c r="T44" s="12">
        <v>0</v>
      </c>
      <c r="U44" s="12">
        <v>508</v>
      </c>
      <c r="V44" s="12">
        <v>0</v>
      </c>
      <c r="W44" s="12">
        <v>0</v>
      </c>
      <c r="X44" s="12">
        <v>0</v>
      </c>
      <c r="Y44" s="12">
        <v>0</v>
      </c>
      <c r="Z44" s="12">
        <v>0</v>
      </c>
      <c r="AA44" s="12">
        <v>0</v>
      </c>
      <c r="AB44" s="12">
        <v>0</v>
      </c>
      <c r="AC44" s="12">
        <v>0</v>
      </c>
      <c r="AD44" s="12">
        <v>0</v>
      </c>
      <c r="AE44" s="12">
        <v>0</v>
      </c>
      <c r="AF44" s="12">
        <v>0</v>
      </c>
    </row>
    <row r="45" spans="1:32">
      <c r="A45" s="19"/>
      <c r="B45" s="13" t="s">
        <v>362</v>
      </c>
      <c r="C45" s="15" t="s">
        <v>375</v>
      </c>
      <c r="D45" s="15" t="s">
        <v>375</v>
      </c>
      <c r="E45" s="15" t="s">
        <v>375</v>
      </c>
      <c r="F45" s="15" t="s">
        <v>375</v>
      </c>
      <c r="G45" s="15" t="s">
        <v>375</v>
      </c>
      <c r="H45" s="15" t="s">
        <v>375</v>
      </c>
      <c r="I45" s="15" t="s">
        <v>375</v>
      </c>
      <c r="J45" s="15" t="s">
        <v>375</v>
      </c>
      <c r="K45" s="15" t="s">
        <v>375</v>
      </c>
      <c r="L45" s="15" t="s">
        <v>375</v>
      </c>
      <c r="M45" s="15" t="s">
        <v>375</v>
      </c>
      <c r="N45" s="15" t="s">
        <v>375</v>
      </c>
      <c r="O45" s="15" t="s">
        <v>375</v>
      </c>
      <c r="P45" s="15" t="s">
        <v>375</v>
      </c>
      <c r="Q45" s="15" t="s">
        <v>375</v>
      </c>
      <c r="R45" s="15" t="s">
        <v>375</v>
      </c>
      <c r="S45" s="15" t="s">
        <v>375</v>
      </c>
      <c r="T45" s="15" t="s">
        <v>375</v>
      </c>
      <c r="U45" s="14">
        <v>1</v>
      </c>
      <c r="V45" s="15" t="s">
        <v>375</v>
      </c>
      <c r="W45" s="15" t="s">
        <v>375</v>
      </c>
      <c r="X45" s="15" t="s">
        <v>375</v>
      </c>
      <c r="Y45" s="15" t="s">
        <v>375</v>
      </c>
      <c r="Z45" s="15" t="s">
        <v>375</v>
      </c>
      <c r="AA45" s="15" t="s">
        <v>375</v>
      </c>
      <c r="AB45" s="15" t="s">
        <v>375</v>
      </c>
      <c r="AC45" s="15" t="s">
        <v>375</v>
      </c>
      <c r="AD45" s="15" t="s">
        <v>375</v>
      </c>
      <c r="AE45" s="15" t="s">
        <v>375</v>
      </c>
      <c r="AF45" s="15" t="s">
        <v>375</v>
      </c>
    </row>
    <row r="46" spans="1:32">
      <c r="A46" s="19"/>
      <c r="B46" s="11" t="s">
        <v>360</v>
      </c>
      <c r="C46" s="12">
        <v>109</v>
      </c>
      <c r="D46" s="12">
        <v>0</v>
      </c>
      <c r="E46" s="12">
        <v>0</v>
      </c>
      <c r="F46" s="12">
        <v>0</v>
      </c>
      <c r="G46" s="12">
        <v>0</v>
      </c>
      <c r="H46" s="12">
        <v>0</v>
      </c>
      <c r="I46" s="12">
        <v>0</v>
      </c>
      <c r="J46" s="12">
        <v>0</v>
      </c>
      <c r="K46" s="12">
        <v>0</v>
      </c>
      <c r="L46" s="12">
        <v>0</v>
      </c>
      <c r="M46" s="12">
        <v>0</v>
      </c>
      <c r="N46" s="12">
        <v>0</v>
      </c>
      <c r="O46" s="12">
        <v>0</v>
      </c>
      <c r="P46" s="12">
        <v>0</v>
      </c>
      <c r="Q46" s="12">
        <v>0</v>
      </c>
      <c r="R46" s="12">
        <v>0</v>
      </c>
      <c r="S46" s="12">
        <v>1004</v>
      </c>
      <c r="T46" s="12">
        <v>0</v>
      </c>
      <c r="U46" s="12">
        <v>0</v>
      </c>
      <c r="V46" s="12">
        <v>0</v>
      </c>
      <c r="W46" s="12">
        <v>0</v>
      </c>
      <c r="X46" s="12">
        <v>0</v>
      </c>
      <c r="Y46" s="12">
        <v>0</v>
      </c>
      <c r="Z46" s="12">
        <v>0</v>
      </c>
      <c r="AA46" s="12">
        <v>0</v>
      </c>
      <c r="AB46" s="12">
        <v>0</v>
      </c>
      <c r="AC46" s="12">
        <v>0</v>
      </c>
      <c r="AD46" s="12">
        <v>0</v>
      </c>
      <c r="AE46" s="12">
        <v>0</v>
      </c>
      <c r="AF46" s="12">
        <v>0</v>
      </c>
    </row>
    <row r="47" spans="1:32">
      <c r="A47" s="19"/>
      <c r="B47" s="13" t="s">
        <v>360</v>
      </c>
      <c r="C47" s="15" t="s">
        <v>375</v>
      </c>
      <c r="D47" s="15" t="s">
        <v>375</v>
      </c>
      <c r="E47" s="15" t="s">
        <v>375</v>
      </c>
      <c r="F47" s="15" t="s">
        <v>375</v>
      </c>
      <c r="G47" s="15" t="s">
        <v>375</v>
      </c>
      <c r="H47" s="15" t="s">
        <v>375</v>
      </c>
      <c r="I47" s="15" t="s">
        <v>375</v>
      </c>
      <c r="J47" s="15" t="s">
        <v>375</v>
      </c>
      <c r="K47" s="15" t="s">
        <v>375</v>
      </c>
      <c r="L47" s="15" t="s">
        <v>375</v>
      </c>
      <c r="M47" s="15" t="s">
        <v>375</v>
      </c>
      <c r="N47" s="15" t="s">
        <v>375</v>
      </c>
      <c r="O47" s="15" t="s">
        <v>375</v>
      </c>
      <c r="P47" s="15" t="s">
        <v>375</v>
      </c>
      <c r="Q47" s="15" t="s">
        <v>375</v>
      </c>
      <c r="R47" s="15" t="s">
        <v>375</v>
      </c>
      <c r="S47" s="14">
        <v>1</v>
      </c>
      <c r="T47" s="15" t="s">
        <v>375</v>
      </c>
      <c r="U47" s="15" t="s">
        <v>375</v>
      </c>
      <c r="V47" s="15" t="s">
        <v>375</v>
      </c>
      <c r="W47" s="15" t="s">
        <v>375</v>
      </c>
      <c r="X47" s="15" t="s">
        <v>375</v>
      </c>
      <c r="Y47" s="15" t="s">
        <v>375</v>
      </c>
      <c r="Z47" s="15" t="s">
        <v>375</v>
      </c>
      <c r="AA47" s="15" t="s">
        <v>375</v>
      </c>
      <c r="AB47" s="15" t="s">
        <v>375</v>
      </c>
      <c r="AC47" s="15" t="s">
        <v>375</v>
      </c>
      <c r="AD47" s="15" t="s">
        <v>375</v>
      </c>
      <c r="AE47" s="15" t="s">
        <v>375</v>
      </c>
      <c r="AF47" s="15" t="s">
        <v>375</v>
      </c>
    </row>
    <row r="48" spans="1:32">
      <c r="A48" s="19"/>
      <c r="B48" s="11" t="s">
        <v>364</v>
      </c>
      <c r="C48" s="12">
        <v>34</v>
      </c>
      <c r="D48" s="12">
        <v>0</v>
      </c>
      <c r="E48" s="12">
        <v>0</v>
      </c>
      <c r="F48" s="12">
        <v>0</v>
      </c>
      <c r="G48" s="12">
        <v>0</v>
      </c>
      <c r="H48" s="12">
        <v>0</v>
      </c>
      <c r="I48" s="12">
        <v>0</v>
      </c>
      <c r="J48" s="12">
        <v>0</v>
      </c>
      <c r="K48" s="12">
        <v>0</v>
      </c>
      <c r="L48" s="12">
        <v>0</v>
      </c>
      <c r="M48" s="12">
        <v>0</v>
      </c>
      <c r="N48" s="12">
        <v>0</v>
      </c>
      <c r="O48" s="12">
        <v>0</v>
      </c>
      <c r="P48" s="12">
        <v>0</v>
      </c>
      <c r="Q48" s="12">
        <v>0</v>
      </c>
      <c r="R48" s="12">
        <v>0</v>
      </c>
      <c r="S48" s="12">
        <v>0</v>
      </c>
      <c r="T48" s="12">
        <v>0</v>
      </c>
      <c r="U48" s="12">
        <v>0</v>
      </c>
      <c r="V48" s="12">
        <v>0</v>
      </c>
      <c r="W48" s="12">
        <v>502</v>
      </c>
      <c r="X48" s="12">
        <v>0</v>
      </c>
      <c r="Y48" s="12">
        <v>0</v>
      </c>
      <c r="Z48" s="12">
        <v>0</v>
      </c>
      <c r="AA48" s="12">
        <v>0</v>
      </c>
      <c r="AB48" s="12">
        <v>0</v>
      </c>
      <c r="AC48" s="12">
        <v>0</v>
      </c>
      <c r="AD48" s="12">
        <v>0</v>
      </c>
      <c r="AE48" s="12">
        <v>0</v>
      </c>
      <c r="AF48" s="12">
        <v>0</v>
      </c>
    </row>
    <row r="49" spans="1:32">
      <c r="A49" s="19"/>
      <c r="B49" s="13" t="s">
        <v>364</v>
      </c>
      <c r="C49" s="15" t="s">
        <v>375</v>
      </c>
      <c r="D49" s="15" t="s">
        <v>375</v>
      </c>
      <c r="E49" s="15" t="s">
        <v>375</v>
      </c>
      <c r="F49" s="15" t="s">
        <v>375</v>
      </c>
      <c r="G49" s="15" t="s">
        <v>375</v>
      </c>
      <c r="H49" s="15" t="s">
        <v>375</v>
      </c>
      <c r="I49" s="15" t="s">
        <v>375</v>
      </c>
      <c r="J49" s="15" t="s">
        <v>375</v>
      </c>
      <c r="K49" s="15" t="s">
        <v>375</v>
      </c>
      <c r="L49" s="15" t="s">
        <v>375</v>
      </c>
      <c r="M49" s="15" t="s">
        <v>375</v>
      </c>
      <c r="N49" s="15" t="s">
        <v>375</v>
      </c>
      <c r="O49" s="15" t="s">
        <v>375</v>
      </c>
      <c r="P49" s="15" t="s">
        <v>375</v>
      </c>
      <c r="Q49" s="15" t="s">
        <v>375</v>
      </c>
      <c r="R49" s="15" t="s">
        <v>375</v>
      </c>
      <c r="S49" s="15" t="s">
        <v>375</v>
      </c>
      <c r="T49" s="15" t="s">
        <v>375</v>
      </c>
      <c r="U49" s="15" t="s">
        <v>375</v>
      </c>
      <c r="V49" s="15" t="s">
        <v>375</v>
      </c>
      <c r="W49" s="14">
        <v>1</v>
      </c>
      <c r="X49" s="15" t="s">
        <v>375</v>
      </c>
      <c r="Y49" s="15" t="s">
        <v>375</v>
      </c>
      <c r="Z49" s="15" t="s">
        <v>375</v>
      </c>
      <c r="AA49" s="15" t="s">
        <v>375</v>
      </c>
      <c r="AB49" s="15" t="s">
        <v>375</v>
      </c>
      <c r="AC49" s="15" t="s">
        <v>375</v>
      </c>
      <c r="AD49" s="15" t="s">
        <v>375</v>
      </c>
      <c r="AE49" s="15" t="s">
        <v>375</v>
      </c>
      <c r="AF49" s="15" t="s">
        <v>375</v>
      </c>
    </row>
    <row r="50" spans="1:32">
      <c r="A50" s="19"/>
      <c r="B50" s="11" t="s">
        <v>365</v>
      </c>
      <c r="C50" s="12">
        <v>1050</v>
      </c>
      <c r="D50" s="12">
        <v>0</v>
      </c>
      <c r="E50" s="12">
        <v>0</v>
      </c>
      <c r="F50" s="12">
        <v>0</v>
      </c>
      <c r="G50" s="12">
        <v>0</v>
      </c>
      <c r="H50" s="12">
        <v>0</v>
      </c>
      <c r="I50" s="12">
        <v>0</v>
      </c>
      <c r="J50" s="12">
        <v>0</v>
      </c>
      <c r="K50" s="12">
        <v>0</v>
      </c>
      <c r="L50" s="12">
        <v>0</v>
      </c>
      <c r="M50" s="12">
        <v>0</v>
      </c>
      <c r="N50" s="12">
        <v>0</v>
      </c>
      <c r="O50" s="12">
        <v>0</v>
      </c>
      <c r="P50" s="12">
        <v>0</v>
      </c>
      <c r="Q50" s="12">
        <v>0</v>
      </c>
      <c r="R50" s="12">
        <v>0</v>
      </c>
      <c r="S50" s="12">
        <v>0</v>
      </c>
      <c r="T50" s="12">
        <v>0</v>
      </c>
      <c r="U50" s="12">
        <v>0</v>
      </c>
      <c r="V50" s="12">
        <v>0</v>
      </c>
      <c r="W50" s="12">
        <v>0</v>
      </c>
      <c r="X50" s="12">
        <v>1010</v>
      </c>
      <c r="Y50" s="12">
        <v>0</v>
      </c>
      <c r="Z50" s="12">
        <v>0</v>
      </c>
      <c r="AA50" s="12">
        <v>0</v>
      </c>
      <c r="AB50" s="12">
        <v>0</v>
      </c>
      <c r="AC50" s="12">
        <v>0</v>
      </c>
      <c r="AD50" s="12">
        <v>0</v>
      </c>
      <c r="AE50" s="12">
        <v>0</v>
      </c>
      <c r="AF50" s="12">
        <v>0</v>
      </c>
    </row>
    <row r="51" spans="1:32">
      <c r="A51" s="19"/>
      <c r="B51" s="13" t="s">
        <v>365</v>
      </c>
      <c r="C51" s="14">
        <v>0.04</v>
      </c>
      <c r="D51" s="15" t="s">
        <v>375</v>
      </c>
      <c r="E51" s="15" t="s">
        <v>375</v>
      </c>
      <c r="F51" s="15" t="s">
        <v>375</v>
      </c>
      <c r="G51" s="15" t="s">
        <v>375</v>
      </c>
      <c r="H51" s="15" t="s">
        <v>375</v>
      </c>
      <c r="I51" s="15" t="s">
        <v>375</v>
      </c>
      <c r="J51" s="15" t="s">
        <v>375</v>
      </c>
      <c r="K51" s="15" t="s">
        <v>375</v>
      </c>
      <c r="L51" s="15" t="s">
        <v>375</v>
      </c>
      <c r="M51" s="15" t="s">
        <v>375</v>
      </c>
      <c r="N51" s="15" t="s">
        <v>375</v>
      </c>
      <c r="O51" s="15" t="s">
        <v>375</v>
      </c>
      <c r="P51" s="15" t="s">
        <v>375</v>
      </c>
      <c r="Q51" s="15" t="s">
        <v>375</v>
      </c>
      <c r="R51" s="15" t="s">
        <v>375</v>
      </c>
      <c r="S51" s="15" t="s">
        <v>375</v>
      </c>
      <c r="T51" s="15" t="s">
        <v>375</v>
      </c>
      <c r="U51" s="15" t="s">
        <v>375</v>
      </c>
      <c r="V51" s="15" t="s">
        <v>375</v>
      </c>
      <c r="W51" s="15" t="s">
        <v>375</v>
      </c>
      <c r="X51" s="14">
        <v>1</v>
      </c>
      <c r="Y51" s="15" t="s">
        <v>375</v>
      </c>
      <c r="Z51" s="15" t="s">
        <v>375</v>
      </c>
      <c r="AA51" s="15" t="s">
        <v>375</v>
      </c>
      <c r="AB51" s="15" t="s">
        <v>375</v>
      </c>
      <c r="AC51" s="15" t="s">
        <v>375</v>
      </c>
      <c r="AD51" s="15" t="s">
        <v>375</v>
      </c>
      <c r="AE51" s="15" t="s">
        <v>375</v>
      </c>
      <c r="AF51" s="15" t="s">
        <v>375</v>
      </c>
    </row>
    <row r="52" spans="1:32">
      <c r="A52" s="19"/>
      <c r="B52" s="11" t="s">
        <v>367</v>
      </c>
      <c r="C52" s="12">
        <v>2143</v>
      </c>
      <c r="D52" s="12">
        <v>0</v>
      </c>
      <c r="E52" s="12">
        <v>0</v>
      </c>
      <c r="F52" s="12">
        <v>0</v>
      </c>
      <c r="G52" s="12">
        <v>0</v>
      </c>
      <c r="H52" s="12">
        <v>0</v>
      </c>
      <c r="I52" s="12">
        <v>0</v>
      </c>
      <c r="J52" s="12">
        <v>0</v>
      </c>
      <c r="K52" s="12">
        <v>0</v>
      </c>
      <c r="L52" s="12">
        <v>0</v>
      </c>
      <c r="M52" s="12">
        <v>0</v>
      </c>
      <c r="N52" s="12">
        <v>0</v>
      </c>
      <c r="O52" s="12">
        <v>0</v>
      </c>
      <c r="P52" s="12">
        <v>0</v>
      </c>
      <c r="Q52" s="12">
        <v>0</v>
      </c>
      <c r="R52" s="12">
        <v>0</v>
      </c>
      <c r="S52" s="12">
        <v>0</v>
      </c>
      <c r="T52" s="12">
        <v>0</v>
      </c>
      <c r="U52" s="12">
        <v>0</v>
      </c>
      <c r="V52" s="12">
        <v>0</v>
      </c>
      <c r="W52" s="12">
        <v>0</v>
      </c>
      <c r="X52" s="12">
        <v>0</v>
      </c>
      <c r="Y52" s="12">
        <v>0</v>
      </c>
      <c r="Z52" s="12">
        <v>1016</v>
      </c>
      <c r="AA52" s="12">
        <v>0</v>
      </c>
      <c r="AB52" s="12">
        <v>0</v>
      </c>
      <c r="AC52" s="12">
        <v>0</v>
      </c>
      <c r="AD52" s="12">
        <v>0</v>
      </c>
      <c r="AE52" s="12">
        <v>0</v>
      </c>
      <c r="AF52" s="12">
        <v>0</v>
      </c>
    </row>
    <row r="53" spans="1:32">
      <c r="A53" s="19"/>
      <c r="B53" s="13" t="s">
        <v>367</v>
      </c>
      <c r="C53" s="14">
        <v>0.08</v>
      </c>
      <c r="D53" s="15" t="s">
        <v>375</v>
      </c>
      <c r="E53" s="15" t="s">
        <v>375</v>
      </c>
      <c r="F53" s="15" t="s">
        <v>375</v>
      </c>
      <c r="G53" s="15" t="s">
        <v>375</v>
      </c>
      <c r="H53" s="15" t="s">
        <v>375</v>
      </c>
      <c r="I53" s="15" t="s">
        <v>375</v>
      </c>
      <c r="J53" s="15" t="s">
        <v>375</v>
      </c>
      <c r="K53" s="15" t="s">
        <v>375</v>
      </c>
      <c r="L53" s="15" t="s">
        <v>375</v>
      </c>
      <c r="M53" s="15" t="s">
        <v>375</v>
      </c>
      <c r="N53" s="15" t="s">
        <v>375</v>
      </c>
      <c r="O53" s="15" t="s">
        <v>375</v>
      </c>
      <c r="P53" s="15" t="s">
        <v>375</v>
      </c>
      <c r="Q53" s="15" t="s">
        <v>375</v>
      </c>
      <c r="R53" s="15" t="s">
        <v>375</v>
      </c>
      <c r="S53" s="15" t="s">
        <v>375</v>
      </c>
      <c r="T53" s="15" t="s">
        <v>375</v>
      </c>
      <c r="U53" s="15" t="s">
        <v>375</v>
      </c>
      <c r="V53" s="15" t="s">
        <v>375</v>
      </c>
      <c r="W53" s="15" t="s">
        <v>375</v>
      </c>
      <c r="X53" s="15" t="s">
        <v>375</v>
      </c>
      <c r="Y53" s="15" t="s">
        <v>375</v>
      </c>
      <c r="Z53" s="14">
        <v>1</v>
      </c>
      <c r="AA53" s="15" t="s">
        <v>375</v>
      </c>
      <c r="AB53" s="15" t="s">
        <v>375</v>
      </c>
      <c r="AC53" s="15" t="s">
        <v>375</v>
      </c>
      <c r="AD53" s="15" t="s">
        <v>375</v>
      </c>
      <c r="AE53" s="15" t="s">
        <v>375</v>
      </c>
      <c r="AF53" s="15" t="s">
        <v>375</v>
      </c>
    </row>
    <row r="54" spans="1:32">
      <c r="A54" s="19"/>
      <c r="B54" s="11" t="s">
        <v>368</v>
      </c>
      <c r="C54" s="12">
        <v>640</v>
      </c>
      <c r="D54" s="12">
        <v>0</v>
      </c>
      <c r="E54" s="12">
        <v>0</v>
      </c>
      <c r="F54" s="12">
        <v>0</v>
      </c>
      <c r="G54" s="12">
        <v>0</v>
      </c>
      <c r="H54" s="12">
        <v>0</v>
      </c>
      <c r="I54" s="12">
        <v>0</v>
      </c>
      <c r="J54" s="12">
        <v>0</v>
      </c>
      <c r="K54" s="12">
        <v>0</v>
      </c>
      <c r="L54" s="12">
        <v>0</v>
      </c>
      <c r="M54" s="12">
        <v>0</v>
      </c>
      <c r="N54" s="12">
        <v>0</v>
      </c>
      <c r="O54" s="12">
        <v>0</v>
      </c>
      <c r="P54" s="12">
        <v>0</v>
      </c>
      <c r="Q54" s="12">
        <v>0</v>
      </c>
      <c r="R54" s="12">
        <v>0</v>
      </c>
      <c r="S54" s="12">
        <v>0</v>
      </c>
      <c r="T54" s="12">
        <v>0</v>
      </c>
      <c r="U54" s="12">
        <v>0</v>
      </c>
      <c r="V54" s="12">
        <v>0</v>
      </c>
      <c r="W54" s="12">
        <v>0</v>
      </c>
      <c r="X54" s="12">
        <v>0</v>
      </c>
      <c r="Y54" s="12">
        <v>0</v>
      </c>
      <c r="Z54" s="12">
        <v>0</v>
      </c>
      <c r="AA54" s="12">
        <v>1037</v>
      </c>
      <c r="AB54" s="12">
        <v>0</v>
      </c>
      <c r="AC54" s="12">
        <v>0</v>
      </c>
      <c r="AD54" s="12">
        <v>0</v>
      </c>
      <c r="AE54" s="12">
        <v>0</v>
      </c>
      <c r="AF54" s="12">
        <v>0</v>
      </c>
    </row>
    <row r="55" spans="1:32">
      <c r="A55" s="19"/>
      <c r="B55" s="13" t="s">
        <v>368</v>
      </c>
      <c r="C55" s="14">
        <v>0.03</v>
      </c>
      <c r="D55" s="15" t="s">
        <v>375</v>
      </c>
      <c r="E55" s="15" t="s">
        <v>375</v>
      </c>
      <c r="F55" s="15" t="s">
        <v>375</v>
      </c>
      <c r="G55" s="15" t="s">
        <v>375</v>
      </c>
      <c r="H55" s="15" t="s">
        <v>375</v>
      </c>
      <c r="I55" s="15" t="s">
        <v>375</v>
      </c>
      <c r="J55" s="15" t="s">
        <v>375</v>
      </c>
      <c r="K55" s="15" t="s">
        <v>375</v>
      </c>
      <c r="L55" s="15" t="s">
        <v>375</v>
      </c>
      <c r="M55" s="15" t="s">
        <v>375</v>
      </c>
      <c r="N55" s="15" t="s">
        <v>375</v>
      </c>
      <c r="O55" s="15" t="s">
        <v>375</v>
      </c>
      <c r="P55" s="15" t="s">
        <v>375</v>
      </c>
      <c r="Q55" s="15" t="s">
        <v>375</v>
      </c>
      <c r="R55" s="15" t="s">
        <v>375</v>
      </c>
      <c r="S55" s="15" t="s">
        <v>375</v>
      </c>
      <c r="T55" s="15" t="s">
        <v>375</v>
      </c>
      <c r="U55" s="15" t="s">
        <v>375</v>
      </c>
      <c r="V55" s="15" t="s">
        <v>375</v>
      </c>
      <c r="W55" s="15" t="s">
        <v>375</v>
      </c>
      <c r="X55" s="15" t="s">
        <v>375</v>
      </c>
      <c r="Y55" s="15" t="s">
        <v>375</v>
      </c>
      <c r="Z55" s="15" t="s">
        <v>375</v>
      </c>
      <c r="AA55" s="14">
        <v>1</v>
      </c>
      <c r="AB55" s="15" t="s">
        <v>375</v>
      </c>
      <c r="AC55" s="15" t="s">
        <v>375</v>
      </c>
      <c r="AD55" s="15" t="s">
        <v>375</v>
      </c>
      <c r="AE55" s="15" t="s">
        <v>375</v>
      </c>
      <c r="AF55" s="15" t="s">
        <v>375</v>
      </c>
    </row>
    <row r="56" spans="1:32">
      <c r="A56" s="19"/>
      <c r="B56" s="11" t="s">
        <v>369</v>
      </c>
      <c r="C56" s="12">
        <v>1106</v>
      </c>
      <c r="D56" s="12">
        <v>0</v>
      </c>
      <c r="E56" s="12">
        <v>0</v>
      </c>
      <c r="F56" s="12">
        <v>0</v>
      </c>
      <c r="G56" s="12">
        <v>0</v>
      </c>
      <c r="H56" s="12">
        <v>0</v>
      </c>
      <c r="I56" s="12">
        <v>0</v>
      </c>
      <c r="J56" s="12">
        <v>0</v>
      </c>
      <c r="K56" s="12">
        <v>0</v>
      </c>
      <c r="L56" s="12">
        <v>0</v>
      </c>
      <c r="M56" s="12">
        <v>0</v>
      </c>
      <c r="N56" s="12">
        <v>0</v>
      </c>
      <c r="O56" s="12">
        <v>0</v>
      </c>
      <c r="P56" s="12">
        <v>0</v>
      </c>
      <c r="Q56" s="12">
        <v>0</v>
      </c>
      <c r="R56" s="12">
        <v>0</v>
      </c>
      <c r="S56" s="12">
        <v>0</v>
      </c>
      <c r="T56" s="12">
        <v>0</v>
      </c>
      <c r="U56" s="12">
        <v>0</v>
      </c>
      <c r="V56" s="12">
        <v>0</v>
      </c>
      <c r="W56" s="12">
        <v>0</v>
      </c>
      <c r="X56" s="12">
        <v>0</v>
      </c>
      <c r="Y56" s="12">
        <v>0</v>
      </c>
      <c r="Z56" s="12">
        <v>0</v>
      </c>
      <c r="AA56" s="12">
        <v>0</v>
      </c>
      <c r="AB56" s="12">
        <v>1041</v>
      </c>
      <c r="AC56" s="12">
        <v>0</v>
      </c>
      <c r="AD56" s="12">
        <v>0</v>
      </c>
      <c r="AE56" s="12">
        <v>0</v>
      </c>
      <c r="AF56" s="12">
        <v>0</v>
      </c>
    </row>
    <row r="57" spans="1:32">
      <c r="A57" s="19"/>
      <c r="B57" s="13" t="s">
        <v>369</v>
      </c>
      <c r="C57" s="14">
        <v>0.04</v>
      </c>
      <c r="D57" s="15" t="s">
        <v>375</v>
      </c>
      <c r="E57" s="15" t="s">
        <v>375</v>
      </c>
      <c r="F57" s="15" t="s">
        <v>375</v>
      </c>
      <c r="G57" s="15" t="s">
        <v>375</v>
      </c>
      <c r="H57" s="15" t="s">
        <v>375</v>
      </c>
      <c r="I57" s="15" t="s">
        <v>375</v>
      </c>
      <c r="J57" s="15" t="s">
        <v>375</v>
      </c>
      <c r="K57" s="15" t="s">
        <v>375</v>
      </c>
      <c r="L57" s="15" t="s">
        <v>375</v>
      </c>
      <c r="M57" s="15" t="s">
        <v>375</v>
      </c>
      <c r="N57" s="15" t="s">
        <v>375</v>
      </c>
      <c r="O57" s="15" t="s">
        <v>375</v>
      </c>
      <c r="P57" s="15" t="s">
        <v>375</v>
      </c>
      <c r="Q57" s="15" t="s">
        <v>375</v>
      </c>
      <c r="R57" s="15" t="s">
        <v>375</v>
      </c>
      <c r="S57" s="15" t="s">
        <v>375</v>
      </c>
      <c r="T57" s="15" t="s">
        <v>375</v>
      </c>
      <c r="U57" s="15" t="s">
        <v>375</v>
      </c>
      <c r="V57" s="15" t="s">
        <v>375</v>
      </c>
      <c r="W57" s="15" t="s">
        <v>375</v>
      </c>
      <c r="X57" s="15" t="s">
        <v>375</v>
      </c>
      <c r="Y57" s="15" t="s">
        <v>375</v>
      </c>
      <c r="Z57" s="15" t="s">
        <v>375</v>
      </c>
      <c r="AA57" s="15" t="s">
        <v>375</v>
      </c>
      <c r="AB57" s="14">
        <v>1</v>
      </c>
      <c r="AC57" s="15" t="s">
        <v>375</v>
      </c>
      <c r="AD57" s="15" t="s">
        <v>375</v>
      </c>
      <c r="AE57" s="15" t="s">
        <v>375</v>
      </c>
      <c r="AF57" s="15" t="s">
        <v>375</v>
      </c>
    </row>
    <row r="58" spans="1:32">
      <c r="A58" s="19"/>
      <c r="B58" s="11" t="s">
        <v>373</v>
      </c>
      <c r="C58" s="12">
        <v>603</v>
      </c>
      <c r="D58" s="12">
        <v>0</v>
      </c>
      <c r="E58" s="12">
        <v>0</v>
      </c>
      <c r="F58" s="12">
        <v>0</v>
      </c>
      <c r="G58" s="12">
        <v>0</v>
      </c>
      <c r="H58" s="12">
        <v>0</v>
      </c>
      <c r="I58" s="12">
        <v>0</v>
      </c>
      <c r="J58" s="12">
        <v>0</v>
      </c>
      <c r="K58" s="12">
        <v>0</v>
      </c>
      <c r="L58" s="12">
        <v>0</v>
      </c>
      <c r="M58" s="12">
        <v>0</v>
      </c>
      <c r="N58" s="12">
        <v>0</v>
      </c>
      <c r="O58" s="12">
        <v>0</v>
      </c>
      <c r="P58" s="12">
        <v>0</v>
      </c>
      <c r="Q58" s="12">
        <v>0</v>
      </c>
      <c r="R58" s="12">
        <v>0</v>
      </c>
      <c r="S58" s="12">
        <v>0</v>
      </c>
      <c r="T58" s="12">
        <v>0</v>
      </c>
      <c r="U58" s="12">
        <v>0</v>
      </c>
      <c r="V58" s="12">
        <v>0</v>
      </c>
      <c r="W58" s="12">
        <v>0</v>
      </c>
      <c r="X58" s="12">
        <v>0</v>
      </c>
      <c r="Y58" s="12">
        <v>0</v>
      </c>
      <c r="Z58" s="12">
        <v>0</v>
      </c>
      <c r="AA58" s="12">
        <v>0</v>
      </c>
      <c r="AB58" s="12">
        <v>0</v>
      </c>
      <c r="AC58" s="12">
        <v>0</v>
      </c>
      <c r="AD58" s="12">
        <v>0</v>
      </c>
      <c r="AE58" s="12">
        <v>0</v>
      </c>
      <c r="AF58" s="12">
        <v>1031</v>
      </c>
    </row>
    <row r="59" spans="1:32">
      <c r="A59" s="19"/>
      <c r="B59" s="13" t="s">
        <v>373</v>
      </c>
      <c r="C59" s="14">
        <v>0.02</v>
      </c>
      <c r="D59" s="15" t="s">
        <v>375</v>
      </c>
      <c r="E59" s="15" t="s">
        <v>375</v>
      </c>
      <c r="F59" s="15" t="s">
        <v>375</v>
      </c>
      <c r="G59" s="15" t="s">
        <v>375</v>
      </c>
      <c r="H59" s="15" t="s">
        <v>375</v>
      </c>
      <c r="I59" s="15" t="s">
        <v>375</v>
      </c>
      <c r="J59" s="15" t="s">
        <v>375</v>
      </c>
      <c r="K59" s="15" t="s">
        <v>375</v>
      </c>
      <c r="L59" s="15" t="s">
        <v>375</v>
      </c>
      <c r="M59" s="15" t="s">
        <v>375</v>
      </c>
      <c r="N59" s="15" t="s">
        <v>375</v>
      </c>
      <c r="O59" s="15" t="s">
        <v>375</v>
      </c>
      <c r="P59" s="15" t="s">
        <v>375</v>
      </c>
      <c r="Q59" s="15" t="s">
        <v>375</v>
      </c>
      <c r="R59" s="15" t="s">
        <v>375</v>
      </c>
      <c r="S59" s="15" t="s">
        <v>375</v>
      </c>
      <c r="T59" s="15" t="s">
        <v>375</v>
      </c>
      <c r="U59" s="15" t="s">
        <v>375</v>
      </c>
      <c r="V59" s="15" t="s">
        <v>375</v>
      </c>
      <c r="W59" s="15" t="s">
        <v>375</v>
      </c>
      <c r="X59" s="15" t="s">
        <v>375</v>
      </c>
      <c r="Y59" s="15" t="s">
        <v>375</v>
      </c>
      <c r="Z59" s="15" t="s">
        <v>375</v>
      </c>
      <c r="AA59" s="15" t="s">
        <v>375</v>
      </c>
      <c r="AB59" s="15" t="s">
        <v>375</v>
      </c>
      <c r="AC59" s="15" t="s">
        <v>375</v>
      </c>
      <c r="AD59" s="15" t="s">
        <v>375</v>
      </c>
      <c r="AE59" s="15" t="s">
        <v>375</v>
      </c>
      <c r="AF59" s="14">
        <v>1</v>
      </c>
    </row>
    <row r="60" spans="1:32">
      <c r="A60" s="19"/>
      <c r="B60" s="11" t="s">
        <v>370</v>
      </c>
      <c r="C60" s="12">
        <v>125</v>
      </c>
      <c r="D60" s="12">
        <v>0</v>
      </c>
      <c r="E60" s="12">
        <v>0</v>
      </c>
      <c r="F60" s="12">
        <v>0</v>
      </c>
      <c r="G60" s="12">
        <v>0</v>
      </c>
      <c r="H60" s="12">
        <v>0</v>
      </c>
      <c r="I60" s="12">
        <v>0</v>
      </c>
      <c r="J60" s="12">
        <v>0</v>
      </c>
      <c r="K60" s="12">
        <v>0</v>
      </c>
      <c r="L60" s="12">
        <v>0</v>
      </c>
      <c r="M60" s="12">
        <v>0</v>
      </c>
      <c r="N60" s="12">
        <v>0</v>
      </c>
      <c r="O60" s="12">
        <v>0</v>
      </c>
      <c r="P60" s="12">
        <v>0</v>
      </c>
      <c r="Q60" s="12">
        <v>0</v>
      </c>
      <c r="R60" s="12">
        <v>0</v>
      </c>
      <c r="S60" s="12">
        <v>0</v>
      </c>
      <c r="T60" s="12">
        <v>0</v>
      </c>
      <c r="U60" s="12">
        <v>0</v>
      </c>
      <c r="V60" s="12">
        <v>0</v>
      </c>
      <c r="W60" s="12">
        <v>0</v>
      </c>
      <c r="X60" s="12">
        <v>0</v>
      </c>
      <c r="Y60" s="12">
        <v>0</v>
      </c>
      <c r="Z60" s="12">
        <v>0</v>
      </c>
      <c r="AA60" s="12">
        <v>0</v>
      </c>
      <c r="AB60" s="12">
        <v>0</v>
      </c>
      <c r="AC60" s="12">
        <v>1005</v>
      </c>
      <c r="AD60" s="12">
        <v>0</v>
      </c>
      <c r="AE60" s="12">
        <v>0</v>
      </c>
      <c r="AF60" s="12">
        <v>0</v>
      </c>
    </row>
    <row r="61" spans="1:32">
      <c r="A61" s="19"/>
      <c r="B61" s="13" t="s">
        <v>370</v>
      </c>
      <c r="C61" s="14">
        <v>0.01</v>
      </c>
      <c r="D61" s="15" t="s">
        <v>375</v>
      </c>
      <c r="E61" s="15" t="s">
        <v>375</v>
      </c>
      <c r="F61" s="15" t="s">
        <v>375</v>
      </c>
      <c r="G61" s="15" t="s">
        <v>375</v>
      </c>
      <c r="H61" s="15" t="s">
        <v>375</v>
      </c>
      <c r="I61" s="15" t="s">
        <v>375</v>
      </c>
      <c r="J61" s="15" t="s">
        <v>375</v>
      </c>
      <c r="K61" s="15" t="s">
        <v>375</v>
      </c>
      <c r="L61" s="15" t="s">
        <v>375</v>
      </c>
      <c r="M61" s="15" t="s">
        <v>375</v>
      </c>
      <c r="N61" s="15" t="s">
        <v>375</v>
      </c>
      <c r="O61" s="15" t="s">
        <v>375</v>
      </c>
      <c r="P61" s="15" t="s">
        <v>375</v>
      </c>
      <c r="Q61" s="15" t="s">
        <v>375</v>
      </c>
      <c r="R61" s="15" t="s">
        <v>375</v>
      </c>
      <c r="S61" s="15" t="s">
        <v>375</v>
      </c>
      <c r="T61" s="15" t="s">
        <v>375</v>
      </c>
      <c r="U61" s="15" t="s">
        <v>375</v>
      </c>
      <c r="V61" s="15" t="s">
        <v>375</v>
      </c>
      <c r="W61" s="15" t="s">
        <v>375</v>
      </c>
      <c r="X61" s="15" t="s">
        <v>375</v>
      </c>
      <c r="Y61" s="15" t="s">
        <v>375</v>
      </c>
      <c r="Z61" s="15" t="s">
        <v>375</v>
      </c>
      <c r="AA61" s="15" t="s">
        <v>375</v>
      </c>
      <c r="AB61" s="15" t="s">
        <v>375</v>
      </c>
      <c r="AC61" s="14">
        <v>1</v>
      </c>
      <c r="AD61" s="15" t="s">
        <v>375</v>
      </c>
      <c r="AE61" s="15" t="s">
        <v>375</v>
      </c>
      <c r="AF61" s="15" t="s">
        <v>375</v>
      </c>
    </row>
    <row r="62" spans="1:32">
      <c r="A62" s="19"/>
      <c r="B62" s="11" t="s">
        <v>371</v>
      </c>
      <c r="C62" s="12">
        <v>314</v>
      </c>
      <c r="D62" s="12">
        <v>0</v>
      </c>
      <c r="E62" s="12">
        <v>0</v>
      </c>
      <c r="F62" s="12">
        <v>0</v>
      </c>
      <c r="G62" s="12">
        <v>0</v>
      </c>
      <c r="H62" s="12">
        <v>0</v>
      </c>
      <c r="I62" s="12">
        <v>0</v>
      </c>
      <c r="J62" s="12">
        <v>0</v>
      </c>
      <c r="K62" s="12">
        <v>0</v>
      </c>
      <c r="L62" s="12">
        <v>0</v>
      </c>
      <c r="M62" s="12">
        <v>0</v>
      </c>
      <c r="N62" s="12">
        <v>0</v>
      </c>
      <c r="O62" s="12">
        <v>0</v>
      </c>
      <c r="P62" s="12">
        <v>0</v>
      </c>
      <c r="Q62" s="12">
        <v>0</v>
      </c>
      <c r="R62" s="12">
        <v>0</v>
      </c>
      <c r="S62" s="12">
        <v>0</v>
      </c>
      <c r="T62" s="12">
        <v>0</v>
      </c>
      <c r="U62" s="12">
        <v>0</v>
      </c>
      <c r="V62" s="12">
        <v>0</v>
      </c>
      <c r="W62" s="12">
        <v>0</v>
      </c>
      <c r="X62" s="12">
        <v>0</v>
      </c>
      <c r="Y62" s="12">
        <v>0</v>
      </c>
      <c r="Z62" s="12">
        <v>0</v>
      </c>
      <c r="AA62" s="12">
        <v>0</v>
      </c>
      <c r="AB62" s="12">
        <v>0</v>
      </c>
      <c r="AC62" s="12">
        <v>0</v>
      </c>
      <c r="AD62" s="12">
        <v>1003</v>
      </c>
      <c r="AE62" s="12">
        <v>0</v>
      </c>
      <c r="AF62" s="12">
        <v>0</v>
      </c>
    </row>
    <row r="63" spans="1:32">
      <c r="A63" s="19"/>
      <c r="B63" s="13" t="s">
        <v>371</v>
      </c>
      <c r="C63" s="14">
        <v>0.01</v>
      </c>
      <c r="D63" s="15" t="s">
        <v>375</v>
      </c>
      <c r="E63" s="15" t="s">
        <v>375</v>
      </c>
      <c r="F63" s="15" t="s">
        <v>375</v>
      </c>
      <c r="G63" s="15" t="s">
        <v>375</v>
      </c>
      <c r="H63" s="15" t="s">
        <v>375</v>
      </c>
      <c r="I63" s="15" t="s">
        <v>375</v>
      </c>
      <c r="J63" s="15" t="s">
        <v>375</v>
      </c>
      <c r="K63" s="15" t="s">
        <v>375</v>
      </c>
      <c r="L63" s="15" t="s">
        <v>375</v>
      </c>
      <c r="M63" s="15" t="s">
        <v>375</v>
      </c>
      <c r="N63" s="15" t="s">
        <v>375</v>
      </c>
      <c r="O63" s="15" t="s">
        <v>375</v>
      </c>
      <c r="P63" s="15" t="s">
        <v>375</v>
      </c>
      <c r="Q63" s="15" t="s">
        <v>375</v>
      </c>
      <c r="R63" s="15" t="s">
        <v>375</v>
      </c>
      <c r="S63" s="15" t="s">
        <v>375</v>
      </c>
      <c r="T63" s="15" t="s">
        <v>375</v>
      </c>
      <c r="U63" s="15" t="s">
        <v>375</v>
      </c>
      <c r="V63" s="15" t="s">
        <v>375</v>
      </c>
      <c r="W63" s="15" t="s">
        <v>375</v>
      </c>
      <c r="X63" s="15" t="s">
        <v>375</v>
      </c>
      <c r="Y63" s="15" t="s">
        <v>375</v>
      </c>
      <c r="Z63" s="15" t="s">
        <v>375</v>
      </c>
      <c r="AA63" s="15" t="s">
        <v>375</v>
      </c>
      <c r="AB63" s="15" t="s">
        <v>375</v>
      </c>
      <c r="AC63" s="15" t="s">
        <v>375</v>
      </c>
      <c r="AD63" s="14">
        <v>1</v>
      </c>
      <c r="AE63" s="15" t="s">
        <v>375</v>
      </c>
      <c r="AF63" s="15" t="s">
        <v>375</v>
      </c>
    </row>
    <row r="64" spans="1:32">
      <c r="A64" s="19"/>
      <c r="B64" s="11" t="s">
        <v>349</v>
      </c>
      <c r="C64" s="12">
        <v>3989</v>
      </c>
      <c r="D64" s="12">
        <v>0</v>
      </c>
      <c r="E64" s="12">
        <v>0</v>
      </c>
      <c r="F64" s="12">
        <v>0</v>
      </c>
      <c r="G64" s="12">
        <v>0</v>
      </c>
      <c r="H64" s="12">
        <v>1230</v>
      </c>
      <c r="I64" s="12">
        <v>1230</v>
      </c>
      <c r="J64" s="12">
        <v>0</v>
      </c>
      <c r="K64" s="12">
        <v>0</v>
      </c>
      <c r="L64" s="12">
        <v>0</v>
      </c>
      <c r="M64" s="12">
        <v>0</v>
      </c>
      <c r="N64" s="12">
        <v>0</v>
      </c>
      <c r="O64" s="12">
        <v>0</v>
      </c>
      <c r="P64" s="12">
        <v>0</v>
      </c>
      <c r="Q64" s="12">
        <v>0</v>
      </c>
      <c r="R64" s="12">
        <v>0</v>
      </c>
      <c r="S64" s="12">
        <v>0</v>
      </c>
      <c r="T64" s="12">
        <v>0</v>
      </c>
      <c r="U64" s="12">
        <v>0</v>
      </c>
      <c r="V64" s="12">
        <v>0</v>
      </c>
      <c r="W64" s="12">
        <v>0</v>
      </c>
      <c r="X64" s="12">
        <v>0</v>
      </c>
      <c r="Y64" s="12">
        <v>0</v>
      </c>
      <c r="Z64" s="12">
        <v>0</v>
      </c>
      <c r="AA64" s="12">
        <v>0</v>
      </c>
      <c r="AB64" s="12">
        <v>0</v>
      </c>
      <c r="AC64" s="12">
        <v>0</v>
      </c>
      <c r="AD64" s="12">
        <v>0</v>
      </c>
      <c r="AE64" s="12">
        <v>0</v>
      </c>
      <c r="AF64" s="12">
        <v>0</v>
      </c>
    </row>
    <row r="65" spans="1:32">
      <c r="A65" s="19"/>
      <c r="B65" s="13" t="s">
        <v>349</v>
      </c>
      <c r="C65" s="14">
        <v>0.15</v>
      </c>
      <c r="D65" s="15" t="s">
        <v>375</v>
      </c>
      <c r="E65" s="15" t="s">
        <v>375</v>
      </c>
      <c r="F65" s="15" t="s">
        <v>375</v>
      </c>
      <c r="G65" s="15" t="s">
        <v>375</v>
      </c>
      <c r="H65" s="14">
        <v>1</v>
      </c>
      <c r="I65" s="14">
        <v>0.81</v>
      </c>
      <c r="J65" s="15" t="s">
        <v>375</v>
      </c>
      <c r="K65" s="15" t="s">
        <v>375</v>
      </c>
      <c r="L65" s="15" t="s">
        <v>375</v>
      </c>
      <c r="M65" s="15" t="s">
        <v>375</v>
      </c>
      <c r="N65" s="15" t="s">
        <v>375</v>
      </c>
      <c r="O65" s="15" t="s">
        <v>375</v>
      </c>
      <c r="P65" s="15" t="s">
        <v>375</v>
      </c>
      <c r="Q65" s="15" t="s">
        <v>375</v>
      </c>
      <c r="R65" s="15" t="s">
        <v>375</v>
      </c>
      <c r="S65" s="15" t="s">
        <v>375</v>
      </c>
      <c r="T65" s="15" t="s">
        <v>375</v>
      </c>
      <c r="U65" s="15" t="s">
        <v>375</v>
      </c>
      <c r="V65" s="15" t="s">
        <v>375</v>
      </c>
      <c r="W65" s="15" t="s">
        <v>375</v>
      </c>
      <c r="X65" s="15" t="s">
        <v>375</v>
      </c>
      <c r="Y65" s="15" t="s">
        <v>375</v>
      </c>
      <c r="Z65" s="15" t="s">
        <v>375</v>
      </c>
      <c r="AA65" s="15" t="s">
        <v>375</v>
      </c>
      <c r="AB65" s="15" t="s">
        <v>375</v>
      </c>
      <c r="AC65" s="15" t="s">
        <v>375</v>
      </c>
      <c r="AD65" s="15" t="s">
        <v>375</v>
      </c>
      <c r="AE65" s="15" t="s">
        <v>375</v>
      </c>
      <c r="AF65" s="15" t="s">
        <v>375</v>
      </c>
    </row>
    <row r="66" spans="1:32">
      <c r="A66" s="19"/>
      <c r="B66" s="11" t="s">
        <v>351</v>
      </c>
      <c r="C66" s="12">
        <v>964</v>
      </c>
      <c r="D66" s="12">
        <v>0</v>
      </c>
      <c r="E66" s="12">
        <v>0</v>
      </c>
      <c r="F66" s="12">
        <v>0</v>
      </c>
      <c r="G66" s="12">
        <v>0</v>
      </c>
      <c r="H66" s="12">
        <v>0</v>
      </c>
      <c r="I66" s="12">
        <v>297</v>
      </c>
      <c r="J66" s="12">
        <v>297</v>
      </c>
      <c r="K66" s="12">
        <v>0</v>
      </c>
      <c r="L66" s="12">
        <v>0</v>
      </c>
      <c r="M66" s="12">
        <v>0</v>
      </c>
      <c r="N66" s="12">
        <v>0</v>
      </c>
      <c r="O66" s="12">
        <v>0</v>
      </c>
      <c r="P66" s="12">
        <v>0</v>
      </c>
      <c r="Q66" s="12">
        <v>0</v>
      </c>
      <c r="R66" s="12">
        <v>0</v>
      </c>
      <c r="S66" s="12">
        <v>0</v>
      </c>
      <c r="T66" s="12">
        <v>0</v>
      </c>
      <c r="U66" s="12">
        <v>0</v>
      </c>
      <c r="V66" s="12">
        <v>0</v>
      </c>
      <c r="W66" s="12">
        <v>0</v>
      </c>
      <c r="X66" s="12">
        <v>0</v>
      </c>
      <c r="Y66" s="12">
        <v>0</v>
      </c>
      <c r="Z66" s="12">
        <v>0</v>
      </c>
      <c r="AA66" s="12">
        <v>0</v>
      </c>
      <c r="AB66" s="12">
        <v>0</v>
      </c>
      <c r="AC66" s="12">
        <v>0</v>
      </c>
      <c r="AD66" s="12">
        <v>0</v>
      </c>
      <c r="AE66" s="12">
        <v>0</v>
      </c>
      <c r="AF66" s="12">
        <v>0</v>
      </c>
    </row>
    <row r="67" spans="1:32">
      <c r="A67" s="19"/>
      <c r="B67" s="13" t="s">
        <v>351</v>
      </c>
      <c r="C67" s="14">
        <v>0.04</v>
      </c>
      <c r="D67" s="15" t="s">
        <v>375</v>
      </c>
      <c r="E67" s="15" t="s">
        <v>375</v>
      </c>
      <c r="F67" s="15" t="s">
        <v>375</v>
      </c>
      <c r="G67" s="15" t="s">
        <v>375</v>
      </c>
      <c r="H67" s="15" t="s">
        <v>375</v>
      </c>
      <c r="I67" s="14">
        <v>0.19</v>
      </c>
      <c r="J67" s="14">
        <v>1</v>
      </c>
      <c r="K67" s="15" t="s">
        <v>375</v>
      </c>
      <c r="L67" s="15" t="s">
        <v>375</v>
      </c>
      <c r="M67" s="15" t="s">
        <v>375</v>
      </c>
      <c r="N67" s="15" t="s">
        <v>375</v>
      </c>
      <c r="O67" s="15" t="s">
        <v>375</v>
      </c>
      <c r="P67" s="15" t="s">
        <v>375</v>
      </c>
      <c r="Q67" s="15" t="s">
        <v>375</v>
      </c>
      <c r="R67" s="15" t="s">
        <v>375</v>
      </c>
      <c r="S67" s="15" t="s">
        <v>375</v>
      </c>
      <c r="T67" s="15" t="s">
        <v>375</v>
      </c>
      <c r="U67" s="15" t="s">
        <v>375</v>
      </c>
      <c r="V67" s="15" t="s">
        <v>375</v>
      </c>
      <c r="W67" s="15" t="s">
        <v>375</v>
      </c>
      <c r="X67" s="15" t="s">
        <v>375</v>
      </c>
      <c r="Y67" s="15" t="s">
        <v>375</v>
      </c>
      <c r="Z67" s="15" t="s">
        <v>375</v>
      </c>
      <c r="AA67" s="15" t="s">
        <v>375</v>
      </c>
      <c r="AB67" s="15" t="s">
        <v>375</v>
      </c>
      <c r="AC67" s="15" t="s">
        <v>375</v>
      </c>
      <c r="AD67" s="15" t="s">
        <v>375</v>
      </c>
      <c r="AE67" s="15" t="s">
        <v>375</v>
      </c>
      <c r="AF67" s="15" t="s">
        <v>375</v>
      </c>
    </row>
  </sheetData>
  <mergeCells count="9">
    <mergeCell ref="B10:B11"/>
    <mergeCell ref="H4:L4"/>
    <mergeCell ref="A10:A67"/>
    <mergeCell ref="B4:F4"/>
    <mergeCell ref="H3:L3"/>
    <mergeCell ref="C8:AF8"/>
    <mergeCell ref="B3:F3"/>
    <mergeCell ref="B5:F5"/>
    <mergeCell ref="H5:L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11</v>
      </c>
      <c r="C3" s="17"/>
      <c r="D3" s="17"/>
      <c r="E3" s="17"/>
      <c r="F3" s="17"/>
      <c r="H3" s="17" t="s">
        <v>12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376</v>
      </c>
      <c r="C12" s="12">
        <v>1202</v>
      </c>
      <c r="D12" s="12">
        <v>39</v>
      </c>
      <c r="E12" s="12">
        <v>120</v>
      </c>
      <c r="F12" s="12">
        <v>44</v>
      </c>
      <c r="G12" s="12">
        <v>97</v>
      </c>
      <c r="H12" s="12">
        <v>25</v>
      </c>
      <c r="I12" s="12">
        <v>31</v>
      </c>
      <c r="J12" s="12">
        <v>6</v>
      </c>
      <c r="K12" s="12">
        <v>30</v>
      </c>
      <c r="L12" s="12">
        <v>159</v>
      </c>
      <c r="M12" s="12">
        <v>25</v>
      </c>
      <c r="N12" s="12">
        <v>46</v>
      </c>
      <c r="O12" s="12">
        <v>20</v>
      </c>
      <c r="P12" s="12">
        <v>74</v>
      </c>
      <c r="Q12" s="12">
        <v>63</v>
      </c>
      <c r="R12" s="12">
        <v>12</v>
      </c>
      <c r="S12" s="12">
        <v>20</v>
      </c>
      <c r="T12" s="12">
        <v>34</v>
      </c>
      <c r="U12" s="12">
        <v>40</v>
      </c>
      <c r="V12" s="12">
        <v>42</v>
      </c>
      <c r="W12" s="12">
        <v>47</v>
      </c>
      <c r="X12" s="12">
        <v>37</v>
      </c>
      <c r="Y12" s="12">
        <v>56</v>
      </c>
      <c r="Z12" s="12">
        <v>114</v>
      </c>
      <c r="AA12" s="12">
        <v>37</v>
      </c>
      <c r="AB12" s="12">
        <v>25</v>
      </c>
      <c r="AC12" s="12">
        <v>22</v>
      </c>
      <c r="AD12" s="12">
        <v>68</v>
      </c>
      <c r="AE12" s="12">
        <v>33</v>
      </c>
      <c r="AF12" s="12">
        <v>46</v>
      </c>
    </row>
    <row r="13" spans="1:32">
      <c r="A13" s="19"/>
      <c r="B13" s="13" t="s">
        <v>377</v>
      </c>
      <c r="C13" s="14">
        <v>0.04</v>
      </c>
      <c r="D13" s="14">
        <v>0.04</v>
      </c>
      <c r="E13" s="14">
        <v>0.11</v>
      </c>
      <c r="F13" s="14">
        <v>0.04</v>
      </c>
      <c r="G13" s="14">
        <v>0.1</v>
      </c>
      <c r="H13" s="14">
        <v>0.02</v>
      </c>
      <c r="I13" s="14">
        <v>0.02</v>
      </c>
      <c r="J13" s="14">
        <v>0.02</v>
      </c>
      <c r="K13" s="14">
        <v>0.03</v>
      </c>
      <c r="L13" s="14">
        <v>0.16</v>
      </c>
      <c r="M13" s="14">
        <v>0.02</v>
      </c>
      <c r="N13" s="14">
        <v>0.04</v>
      </c>
      <c r="O13" s="14">
        <v>0.02</v>
      </c>
      <c r="P13" s="14">
        <v>7.0000000000000007E-2</v>
      </c>
      <c r="Q13" s="14">
        <v>0.06</v>
      </c>
      <c r="R13" s="14">
        <v>0.02</v>
      </c>
      <c r="S13" s="14">
        <v>0.02</v>
      </c>
      <c r="T13" s="14">
        <v>0.03</v>
      </c>
      <c r="U13" s="14">
        <v>0.08</v>
      </c>
      <c r="V13" s="14">
        <v>0.04</v>
      </c>
      <c r="W13" s="14">
        <v>0.1</v>
      </c>
      <c r="X13" s="14">
        <v>0.04</v>
      </c>
      <c r="Y13" s="14">
        <v>0.05</v>
      </c>
      <c r="Z13" s="14">
        <v>0.11</v>
      </c>
      <c r="AA13" s="14">
        <v>0.04</v>
      </c>
      <c r="AB13" s="14">
        <v>0.02</v>
      </c>
      <c r="AC13" s="14">
        <v>0.02</v>
      </c>
      <c r="AD13" s="14">
        <v>7.0000000000000007E-2</v>
      </c>
      <c r="AE13" s="14">
        <v>0.03</v>
      </c>
      <c r="AF13" s="14">
        <v>0.04</v>
      </c>
    </row>
    <row r="14" spans="1:32">
      <c r="A14" s="19"/>
      <c r="B14" s="11" t="s">
        <v>378</v>
      </c>
      <c r="C14" s="12">
        <v>8897</v>
      </c>
      <c r="D14" s="12">
        <v>331</v>
      </c>
      <c r="E14" s="12">
        <v>314</v>
      </c>
      <c r="F14" s="12">
        <v>263</v>
      </c>
      <c r="G14" s="12">
        <v>467</v>
      </c>
      <c r="H14" s="12">
        <v>460</v>
      </c>
      <c r="I14" s="12">
        <v>528</v>
      </c>
      <c r="J14" s="12">
        <v>68</v>
      </c>
      <c r="K14" s="12">
        <v>318</v>
      </c>
      <c r="L14" s="12">
        <v>363</v>
      </c>
      <c r="M14" s="12">
        <v>288</v>
      </c>
      <c r="N14" s="12">
        <v>300</v>
      </c>
      <c r="O14" s="12">
        <v>238</v>
      </c>
      <c r="P14" s="12">
        <v>340</v>
      </c>
      <c r="Q14" s="12">
        <v>387</v>
      </c>
      <c r="R14" s="12">
        <v>140</v>
      </c>
      <c r="S14" s="12">
        <v>219</v>
      </c>
      <c r="T14" s="12">
        <v>310</v>
      </c>
      <c r="U14" s="12">
        <v>216</v>
      </c>
      <c r="V14" s="12">
        <v>354</v>
      </c>
      <c r="W14" s="12">
        <v>181</v>
      </c>
      <c r="X14" s="12">
        <v>460</v>
      </c>
      <c r="Y14" s="12">
        <v>309</v>
      </c>
      <c r="Z14" s="12">
        <v>354</v>
      </c>
      <c r="AA14" s="12">
        <v>547</v>
      </c>
      <c r="AB14" s="12">
        <v>417</v>
      </c>
      <c r="AC14" s="12">
        <v>251</v>
      </c>
      <c r="AD14" s="12">
        <v>358</v>
      </c>
      <c r="AE14" s="12">
        <v>329</v>
      </c>
      <c r="AF14" s="12">
        <v>463</v>
      </c>
    </row>
    <row r="15" spans="1:32">
      <c r="A15" s="19"/>
      <c r="B15" s="13" t="s">
        <v>379</v>
      </c>
      <c r="C15" s="14">
        <v>0.34</v>
      </c>
      <c r="D15" s="14">
        <v>0.32</v>
      </c>
      <c r="E15" s="14">
        <v>0.3</v>
      </c>
      <c r="F15" s="14">
        <v>0.25</v>
      </c>
      <c r="G15" s="14">
        <v>0.46</v>
      </c>
      <c r="H15" s="14">
        <v>0.37</v>
      </c>
      <c r="I15" s="14">
        <v>0.35</v>
      </c>
      <c r="J15" s="14">
        <v>0.23</v>
      </c>
      <c r="K15" s="14">
        <v>0.32</v>
      </c>
      <c r="L15" s="14">
        <v>0.36</v>
      </c>
      <c r="M15" s="14">
        <v>0.28999999999999998</v>
      </c>
      <c r="N15" s="14">
        <v>0.3</v>
      </c>
      <c r="O15" s="14">
        <v>0.24</v>
      </c>
      <c r="P15" s="14">
        <v>0.34</v>
      </c>
      <c r="Q15" s="14">
        <v>0.37</v>
      </c>
      <c r="R15" s="14">
        <v>0.28000000000000003</v>
      </c>
      <c r="S15" s="14">
        <v>0.22</v>
      </c>
      <c r="T15" s="14">
        <v>0.3</v>
      </c>
      <c r="U15" s="14">
        <v>0.42</v>
      </c>
      <c r="V15" s="14">
        <v>0.35</v>
      </c>
      <c r="W15" s="14">
        <v>0.36</v>
      </c>
      <c r="X15" s="14">
        <v>0.46</v>
      </c>
      <c r="Y15" s="14">
        <v>0.31</v>
      </c>
      <c r="Z15" s="14">
        <v>0.35</v>
      </c>
      <c r="AA15" s="14">
        <v>0.53</v>
      </c>
      <c r="AB15" s="14">
        <v>0.4</v>
      </c>
      <c r="AC15" s="14">
        <v>0.25</v>
      </c>
      <c r="AD15" s="14">
        <v>0.36</v>
      </c>
      <c r="AE15" s="14">
        <v>0.33</v>
      </c>
      <c r="AF15" s="14">
        <v>0.45</v>
      </c>
    </row>
    <row r="16" spans="1:32">
      <c r="A16" s="19"/>
      <c r="B16" s="11" t="s">
        <v>380</v>
      </c>
      <c r="C16" s="12">
        <v>10737</v>
      </c>
      <c r="D16" s="12">
        <v>387</v>
      </c>
      <c r="E16" s="12">
        <v>301</v>
      </c>
      <c r="F16" s="12">
        <v>480</v>
      </c>
      <c r="G16" s="12">
        <v>350</v>
      </c>
      <c r="H16" s="12">
        <v>552</v>
      </c>
      <c r="I16" s="12">
        <v>690</v>
      </c>
      <c r="J16" s="12">
        <v>138</v>
      </c>
      <c r="K16" s="12">
        <v>455</v>
      </c>
      <c r="L16" s="12">
        <v>323</v>
      </c>
      <c r="M16" s="12">
        <v>389</v>
      </c>
      <c r="N16" s="12">
        <v>421</v>
      </c>
      <c r="O16" s="12">
        <v>411</v>
      </c>
      <c r="P16" s="12">
        <v>389</v>
      </c>
      <c r="Q16" s="12">
        <v>408</v>
      </c>
      <c r="R16" s="12">
        <v>265</v>
      </c>
      <c r="S16" s="12">
        <v>582</v>
      </c>
      <c r="T16" s="12">
        <v>529</v>
      </c>
      <c r="U16" s="12">
        <v>178</v>
      </c>
      <c r="V16" s="12">
        <v>458</v>
      </c>
      <c r="W16" s="12">
        <v>223</v>
      </c>
      <c r="X16" s="12">
        <v>352</v>
      </c>
      <c r="Y16" s="12">
        <v>369</v>
      </c>
      <c r="Z16" s="12">
        <v>426</v>
      </c>
      <c r="AA16" s="12">
        <v>335</v>
      </c>
      <c r="AB16" s="12">
        <v>303</v>
      </c>
      <c r="AC16" s="12">
        <v>520</v>
      </c>
      <c r="AD16" s="12">
        <v>373</v>
      </c>
      <c r="AE16" s="12">
        <v>492</v>
      </c>
      <c r="AF16" s="12">
        <v>408</v>
      </c>
    </row>
    <row r="17" spans="1:32">
      <c r="A17" s="19"/>
      <c r="B17" s="13" t="s">
        <v>381</v>
      </c>
      <c r="C17" s="14">
        <v>0.41</v>
      </c>
      <c r="D17" s="14">
        <v>0.38</v>
      </c>
      <c r="E17" s="14">
        <v>0.28999999999999998</v>
      </c>
      <c r="F17" s="14">
        <v>0.45</v>
      </c>
      <c r="G17" s="14">
        <v>0.34</v>
      </c>
      <c r="H17" s="14">
        <v>0.45</v>
      </c>
      <c r="I17" s="14">
        <v>0.45</v>
      </c>
      <c r="J17" s="14">
        <v>0.47</v>
      </c>
      <c r="K17" s="14">
        <v>0.45</v>
      </c>
      <c r="L17" s="14">
        <v>0.32</v>
      </c>
      <c r="M17" s="14">
        <v>0.39</v>
      </c>
      <c r="N17" s="14">
        <v>0.42</v>
      </c>
      <c r="O17" s="14">
        <v>0.41</v>
      </c>
      <c r="P17" s="14">
        <v>0.39</v>
      </c>
      <c r="Q17" s="14">
        <v>0.4</v>
      </c>
      <c r="R17" s="14">
        <v>0.53</v>
      </c>
      <c r="S17" s="14">
        <v>0.57999999999999996</v>
      </c>
      <c r="T17" s="14">
        <v>0.52</v>
      </c>
      <c r="U17" s="14">
        <v>0.35</v>
      </c>
      <c r="V17" s="14">
        <v>0.45</v>
      </c>
      <c r="W17" s="14">
        <v>0.45</v>
      </c>
      <c r="X17" s="14">
        <v>0.35</v>
      </c>
      <c r="Y17" s="14">
        <v>0.37</v>
      </c>
      <c r="Z17" s="14">
        <v>0.42</v>
      </c>
      <c r="AA17" s="14">
        <v>0.32</v>
      </c>
      <c r="AB17" s="14">
        <v>0.28999999999999998</v>
      </c>
      <c r="AC17" s="14">
        <v>0.52</v>
      </c>
      <c r="AD17" s="14">
        <v>0.37</v>
      </c>
      <c r="AE17" s="14">
        <v>0.49</v>
      </c>
      <c r="AF17" s="14">
        <v>0.4</v>
      </c>
    </row>
    <row r="18" spans="1:32">
      <c r="A18" s="19"/>
      <c r="B18" s="11" t="s">
        <v>382</v>
      </c>
      <c r="C18" s="12">
        <v>4084</v>
      </c>
      <c r="D18" s="12">
        <v>204</v>
      </c>
      <c r="E18" s="12">
        <v>179</v>
      </c>
      <c r="F18" s="12">
        <v>212</v>
      </c>
      <c r="G18" s="12">
        <v>66</v>
      </c>
      <c r="H18" s="12">
        <v>155</v>
      </c>
      <c r="I18" s="12">
        <v>219</v>
      </c>
      <c r="J18" s="12">
        <v>63</v>
      </c>
      <c r="K18" s="12">
        <v>118</v>
      </c>
      <c r="L18" s="12">
        <v>80</v>
      </c>
      <c r="M18" s="12">
        <v>181</v>
      </c>
      <c r="N18" s="12">
        <v>159</v>
      </c>
      <c r="O18" s="12">
        <v>237</v>
      </c>
      <c r="P18" s="12">
        <v>137</v>
      </c>
      <c r="Q18" s="12">
        <v>143</v>
      </c>
      <c r="R18" s="12">
        <v>49</v>
      </c>
      <c r="S18" s="12">
        <v>117</v>
      </c>
      <c r="T18" s="12">
        <v>93</v>
      </c>
      <c r="U18" s="12">
        <v>44</v>
      </c>
      <c r="V18" s="12">
        <v>135</v>
      </c>
      <c r="W18" s="12">
        <v>42</v>
      </c>
      <c r="X18" s="12">
        <v>125</v>
      </c>
      <c r="Y18" s="12">
        <v>183</v>
      </c>
      <c r="Z18" s="12">
        <v>95</v>
      </c>
      <c r="AA18" s="12">
        <v>75</v>
      </c>
      <c r="AB18" s="12">
        <v>218</v>
      </c>
      <c r="AC18" s="12">
        <v>140</v>
      </c>
      <c r="AD18" s="12">
        <v>137</v>
      </c>
      <c r="AE18" s="12">
        <v>123</v>
      </c>
      <c r="AF18" s="12">
        <v>88</v>
      </c>
    </row>
    <row r="19" spans="1:32">
      <c r="A19" s="19"/>
      <c r="B19" s="13" t="s">
        <v>383</v>
      </c>
      <c r="C19" s="14">
        <v>0.15</v>
      </c>
      <c r="D19" s="14">
        <v>0.2</v>
      </c>
      <c r="E19" s="14">
        <v>0.17</v>
      </c>
      <c r="F19" s="14">
        <v>0.2</v>
      </c>
      <c r="G19" s="14">
        <v>7.0000000000000007E-2</v>
      </c>
      <c r="H19" s="14">
        <v>0.13</v>
      </c>
      <c r="I19" s="14">
        <v>0.14000000000000001</v>
      </c>
      <c r="J19" s="14">
        <v>0.21</v>
      </c>
      <c r="K19" s="14">
        <v>0.12</v>
      </c>
      <c r="L19" s="14">
        <v>0.08</v>
      </c>
      <c r="M19" s="14">
        <v>0.18</v>
      </c>
      <c r="N19" s="14">
        <v>0.16</v>
      </c>
      <c r="O19" s="14">
        <v>0.24</v>
      </c>
      <c r="P19" s="14">
        <v>0.14000000000000001</v>
      </c>
      <c r="Q19" s="14">
        <v>0.14000000000000001</v>
      </c>
      <c r="R19" s="14">
        <v>0.1</v>
      </c>
      <c r="S19" s="14">
        <v>0.12</v>
      </c>
      <c r="T19" s="14">
        <v>0.09</v>
      </c>
      <c r="U19" s="14">
        <v>0.09</v>
      </c>
      <c r="V19" s="14">
        <v>0.13</v>
      </c>
      <c r="W19" s="14">
        <v>0.08</v>
      </c>
      <c r="X19" s="14">
        <v>0.12</v>
      </c>
      <c r="Y19" s="14">
        <v>0.18</v>
      </c>
      <c r="Z19" s="14">
        <v>0.09</v>
      </c>
      <c r="AA19" s="14">
        <v>7.0000000000000007E-2</v>
      </c>
      <c r="AB19" s="14">
        <v>0.21</v>
      </c>
      <c r="AC19" s="14">
        <v>0.14000000000000001</v>
      </c>
      <c r="AD19" s="14">
        <v>0.13</v>
      </c>
      <c r="AE19" s="14">
        <v>0.12</v>
      </c>
      <c r="AF19" s="14">
        <v>0.08</v>
      </c>
    </row>
    <row r="20" spans="1:32">
      <c r="A20" s="19"/>
      <c r="B20" s="11" t="s">
        <v>384</v>
      </c>
      <c r="C20" s="12">
        <v>1228</v>
      </c>
      <c r="D20" s="12">
        <v>58</v>
      </c>
      <c r="E20" s="12">
        <v>104</v>
      </c>
      <c r="F20" s="12">
        <v>64</v>
      </c>
      <c r="G20" s="12">
        <v>24</v>
      </c>
      <c r="H20" s="12">
        <v>35</v>
      </c>
      <c r="I20" s="12">
        <v>54</v>
      </c>
      <c r="J20" s="12">
        <v>19</v>
      </c>
      <c r="K20" s="12">
        <v>51</v>
      </c>
      <c r="L20" s="12">
        <v>56</v>
      </c>
      <c r="M20" s="12">
        <v>103</v>
      </c>
      <c r="N20" s="12">
        <v>72</v>
      </c>
      <c r="O20" s="12">
        <v>74</v>
      </c>
      <c r="P20" s="12">
        <v>60</v>
      </c>
      <c r="Q20" s="12">
        <v>22</v>
      </c>
      <c r="R20" s="12">
        <v>20</v>
      </c>
      <c r="S20" s="12">
        <v>24</v>
      </c>
      <c r="T20" s="12">
        <v>32</v>
      </c>
      <c r="U20" s="12">
        <v>18</v>
      </c>
      <c r="V20" s="12">
        <v>34</v>
      </c>
      <c r="W20" s="12">
        <v>7</v>
      </c>
      <c r="X20" s="12">
        <v>34</v>
      </c>
      <c r="Y20" s="12">
        <v>79</v>
      </c>
      <c r="Z20" s="12">
        <v>23</v>
      </c>
      <c r="AA20" s="12">
        <v>4</v>
      </c>
      <c r="AB20" s="12">
        <v>58</v>
      </c>
      <c r="AC20" s="12">
        <v>54</v>
      </c>
      <c r="AD20" s="12">
        <v>57</v>
      </c>
      <c r="AE20" s="12">
        <v>20</v>
      </c>
      <c r="AF20" s="12">
        <v>19</v>
      </c>
    </row>
    <row r="21" spans="1:32">
      <c r="A21" s="19"/>
      <c r="B21" s="13" t="s">
        <v>385</v>
      </c>
      <c r="C21" s="14">
        <v>0.05</v>
      </c>
      <c r="D21" s="14">
        <v>0.06</v>
      </c>
      <c r="E21" s="14">
        <v>0.1</v>
      </c>
      <c r="F21" s="14">
        <v>0.06</v>
      </c>
      <c r="G21" s="14">
        <v>0.02</v>
      </c>
      <c r="H21" s="14">
        <v>0.03</v>
      </c>
      <c r="I21" s="14">
        <v>0.04</v>
      </c>
      <c r="J21" s="14">
        <v>0.06</v>
      </c>
      <c r="K21" s="14">
        <v>0.05</v>
      </c>
      <c r="L21" s="14">
        <v>0.06</v>
      </c>
      <c r="M21" s="14">
        <v>0.1</v>
      </c>
      <c r="N21" s="14">
        <v>7.0000000000000007E-2</v>
      </c>
      <c r="O21" s="14">
        <v>7.0000000000000007E-2</v>
      </c>
      <c r="P21" s="14">
        <v>0.06</v>
      </c>
      <c r="Q21" s="14">
        <v>0.02</v>
      </c>
      <c r="R21" s="14">
        <v>0.04</v>
      </c>
      <c r="S21" s="14">
        <v>0.02</v>
      </c>
      <c r="T21" s="14">
        <v>0.03</v>
      </c>
      <c r="U21" s="14">
        <v>0.04</v>
      </c>
      <c r="V21" s="14">
        <v>0.03</v>
      </c>
      <c r="W21" s="14">
        <v>0.01</v>
      </c>
      <c r="X21" s="14">
        <v>0.03</v>
      </c>
      <c r="Y21" s="14">
        <v>0.08</v>
      </c>
      <c r="Z21" s="14">
        <v>0.02</v>
      </c>
      <c r="AA21" s="15" t="s">
        <v>375</v>
      </c>
      <c r="AB21" s="14">
        <v>0.06</v>
      </c>
      <c r="AC21" s="14">
        <v>0.05</v>
      </c>
      <c r="AD21" s="14">
        <v>0.06</v>
      </c>
      <c r="AE21" s="14">
        <v>0.02</v>
      </c>
      <c r="AF21" s="14">
        <v>0.02</v>
      </c>
    </row>
    <row r="22" spans="1:32">
      <c r="A22" s="19"/>
      <c r="B22" s="11" t="s">
        <v>386</v>
      </c>
      <c r="C22" s="12">
        <v>305</v>
      </c>
      <c r="D22" s="12">
        <v>2</v>
      </c>
      <c r="E22" s="12">
        <v>28</v>
      </c>
      <c r="F22" s="12">
        <v>1</v>
      </c>
      <c r="G22" s="12">
        <v>12</v>
      </c>
      <c r="H22" s="12">
        <v>2</v>
      </c>
      <c r="I22" s="12">
        <v>4</v>
      </c>
      <c r="J22" s="12">
        <v>2</v>
      </c>
      <c r="K22" s="12">
        <v>35</v>
      </c>
      <c r="L22" s="12">
        <v>25</v>
      </c>
      <c r="M22" s="12">
        <v>22</v>
      </c>
      <c r="N22" s="12">
        <v>13</v>
      </c>
      <c r="O22" s="12">
        <v>25</v>
      </c>
      <c r="P22" s="12">
        <v>2</v>
      </c>
      <c r="Q22" s="12">
        <v>9</v>
      </c>
      <c r="R22" s="12">
        <v>15</v>
      </c>
      <c r="S22" s="12">
        <v>42</v>
      </c>
      <c r="T22" s="12">
        <v>25</v>
      </c>
      <c r="U22" s="12">
        <v>11</v>
      </c>
      <c r="V22" s="12">
        <v>2</v>
      </c>
      <c r="W22" s="12">
        <v>1</v>
      </c>
      <c r="X22" s="12">
        <v>2</v>
      </c>
      <c r="Y22" s="12">
        <v>7</v>
      </c>
      <c r="Z22" s="12">
        <v>5</v>
      </c>
      <c r="AA22" s="12">
        <v>39</v>
      </c>
      <c r="AB22" s="12">
        <v>19</v>
      </c>
      <c r="AC22" s="12">
        <v>18</v>
      </c>
      <c r="AD22" s="12">
        <v>10</v>
      </c>
      <c r="AE22" s="12">
        <v>4</v>
      </c>
      <c r="AF22" s="12">
        <v>7</v>
      </c>
    </row>
    <row r="23" spans="1:32">
      <c r="A23" s="19"/>
      <c r="B23" s="13" t="s">
        <v>387</v>
      </c>
      <c r="C23" s="14">
        <v>0.01</v>
      </c>
      <c r="D23" s="15" t="s">
        <v>375</v>
      </c>
      <c r="E23" s="14">
        <v>0.03</v>
      </c>
      <c r="F23" s="15" t="s">
        <v>375</v>
      </c>
      <c r="G23" s="14">
        <v>0.01</v>
      </c>
      <c r="H23" s="15" t="s">
        <v>375</v>
      </c>
      <c r="I23" s="15" t="s">
        <v>375</v>
      </c>
      <c r="J23" s="14">
        <v>0.01</v>
      </c>
      <c r="K23" s="14">
        <v>0.03</v>
      </c>
      <c r="L23" s="14">
        <v>0.02</v>
      </c>
      <c r="M23" s="14">
        <v>0.02</v>
      </c>
      <c r="N23" s="14">
        <v>0.01</v>
      </c>
      <c r="O23" s="14">
        <v>0.02</v>
      </c>
      <c r="P23" s="15" t="s">
        <v>375</v>
      </c>
      <c r="Q23" s="14">
        <v>0.01</v>
      </c>
      <c r="R23" s="14">
        <v>0.03</v>
      </c>
      <c r="S23" s="14">
        <v>0.04</v>
      </c>
      <c r="T23" s="14">
        <v>0.03</v>
      </c>
      <c r="U23" s="14">
        <v>0.02</v>
      </c>
      <c r="V23" s="15" t="s">
        <v>375</v>
      </c>
      <c r="W23" s="15" t="s">
        <v>375</v>
      </c>
      <c r="X23" s="15" t="s">
        <v>375</v>
      </c>
      <c r="Y23" s="14">
        <v>0.01</v>
      </c>
      <c r="Z23" s="14">
        <v>0.01</v>
      </c>
      <c r="AA23" s="14">
        <v>0.04</v>
      </c>
      <c r="AB23" s="14">
        <v>0.02</v>
      </c>
      <c r="AC23" s="14">
        <v>0.02</v>
      </c>
      <c r="AD23" s="14">
        <v>0.01</v>
      </c>
      <c r="AE23" s="14">
        <v>0.01</v>
      </c>
      <c r="AF23" s="14">
        <v>0.01</v>
      </c>
    </row>
    <row r="24" spans="1:32">
      <c r="A24" s="19"/>
      <c r="B24" s="11" t="s">
        <v>388</v>
      </c>
      <c r="C24" s="12">
        <v>10099</v>
      </c>
      <c r="D24" s="12">
        <v>370</v>
      </c>
      <c r="E24" s="12">
        <v>434</v>
      </c>
      <c r="F24" s="12">
        <v>307</v>
      </c>
      <c r="G24" s="12">
        <v>564</v>
      </c>
      <c r="H24" s="12">
        <v>485</v>
      </c>
      <c r="I24" s="12">
        <v>559</v>
      </c>
      <c r="J24" s="12">
        <v>74</v>
      </c>
      <c r="K24" s="12">
        <v>348</v>
      </c>
      <c r="L24" s="12">
        <v>522</v>
      </c>
      <c r="M24" s="12">
        <v>313</v>
      </c>
      <c r="N24" s="12">
        <v>346</v>
      </c>
      <c r="O24" s="12">
        <v>258</v>
      </c>
      <c r="P24" s="12">
        <v>414</v>
      </c>
      <c r="Q24" s="12">
        <v>450</v>
      </c>
      <c r="R24" s="12">
        <v>152</v>
      </c>
      <c r="S24" s="12">
        <v>239</v>
      </c>
      <c r="T24" s="12">
        <v>344</v>
      </c>
      <c r="U24" s="12">
        <v>256</v>
      </c>
      <c r="V24" s="12">
        <v>396</v>
      </c>
      <c r="W24" s="12">
        <v>228</v>
      </c>
      <c r="X24" s="12">
        <v>497</v>
      </c>
      <c r="Y24" s="12">
        <v>365</v>
      </c>
      <c r="Z24" s="12">
        <v>468</v>
      </c>
      <c r="AA24" s="12">
        <v>584</v>
      </c>
      <c r="AB24" s="12">
        <v>442</v>
      </c>
      <c r="AC24" s="12">
        <v>273</v>
      </c>
      <c r="AD24" s="12">
        <v>426</v>
      </c>
      <c r="AE24" s="12">
        <v>362</v>
      </c>
      <c r="AF24" s="12">
        <v>509</v>
      </c>
    </row>
    <row r="25" spans="1:32">
      <c r="A25" s="19"/>
      <c r="B25" s="13" t="s">
        <v>388</v>
      </c>
      <c r="C25" s="14">
        <v>0.38</v>
      </c>
      <c r="D25" s="14">
        <v>0.36</v>
      </c>
      <c r="E25" s="14">
        <v>0.41</v>
      </c>
      <c r="F25" s="14">
        <v>0.28999999999999998</v>
      </c>
      <c r="G25" s="14">
        <v>0.56000000000000005</v>
      </c>
      <c r="H25" s="14">
        <v>0.39</v>
      </c>
      <c r="I25" s="14">
        <v>0.37</v>
      </c>
      <c r="J25" s="14">
        <v>0.25</v>
      </c>
      <c r="K25" s="14">
        <v>0.35</v>
      </c>
      <c r="L25" s="14">
        <v>0.52</v>
      </c>
      <c r="M25" s="14">
        <v>0.31</v>
      </c>
      <c r="N25" s="14">
        <v>0.34</v>
      </c>
      <c r="O25" s="14">
        <v>0.26</v>
      </c>
      <c r="P25" s="14">
        <v>0.41</v>
      </c>
      <c r="Q25" s="14">
        <v>0.43</v>
      </c>
      <c r="R25" s="14">
        <v>0.3</v>
      </c>
      <c r="S25" s="14">
        <v>0.24</v>
      </c>
      <c r="T25" s="14">
        <v>0.33</v>
      </c>
      <c r="U25" s="14">
        <v>0.5</v>
      </c>
      <c r="V25" s="14">
        <v>0.39</v>
      </c>
      <c r="W25" s="14">
        <v>0.46</v>
      </c>
      <c r="X25" s="14">
        <v>0.5</v>
      </c>
      <c r="Y25" s="14">
        <v>0.36</v>
      </c>
      <c r="Z25" s="14">
        <v>0.46</v>
      </c>
      <c r="AA25" s="14">
        <v>0.57000000000000006</v>
      </c>
      <c r="AB25" s="14">
        <v>0.42</v>
      </c>
      <c r="AC25" s="14">
        <v>0.27</v>
      </c>
      <c r="AD25" s="14">
        <v>0.43</v>
      </c>
      <c r="AE25" s="14">
        <v>0.36</v>
      </c>
      <c r="AF25" s="14">
        <v>0.49</v>
      </c>
    </row>
    <row r="26" spans="1:32">
      <c r="A26" s="19"/>
      <c r="B26" s="11" t="s">
        <v>380</v>
      </c>
      <c r="C26" s="12">
        <v>10737</v>
      </c>
      <c r="D26" s="12">
        <v>387</v>
      </c>
      <c r="E26" s="12">
        <v>301</v>
      </c>
      <c r="F26" s="12">
        <v>480</v>
      </c>
      <c r="G26" s="12">
        <v>350</v>
      </c>
      <c r="H26" s="12">
        <v>552</v>
      </c>
      <c r="I26" s="12">
        <v>690</v>
      </c>
      <c r="J26" s="12">
        <v>138</v>
      </c>
      <c r="K26" s="12">
        <v>455</v>
      </c>
      <c r="L26" s="12">
        <v>323</v>
      </c>
      <c r="M26" s="12">
        <v>389</v>
      </c>
      <c r="N26" s="12">
        <v>421</v>
      </c>
      <c r="O26" s="12">
        <v>411</v>
      </c>
      <c r="P26" s="12">
        <v>389</v>
      </c>
      <c r="Q26" s="12">
        <v>408</v>
      </c>
      <c r="R26" s="12">
        <v>265</v>
      </c>
      <c r="S26" s="12">
        <v>582</v>
      </c>
      <c r="T26" s="12">
        <v>529</v>
      </c>
      <c r="U26" s="12">
        <v>178</v>
      </c>
      <c r="V26" s="12">
        <v>458</v>
      </c>
      <c r="W26" s="12">
        <v>223</v>
      </c>
      <c r="X26" s="12">
        <v>352</v>
      </c>
      <c r="Y26" s="12">
        <v>369</v>
      </c>
      <c r="Z26" s="12">
        <v>426</v>
      </c>
      <c r="AA26" s="12">
        <v>335</v>
      </c>
      <c r="AB26" s="12">
        <v>303</v>
      </c>
      <c r="AC26" s="12">
        <v>520</v>
      </c>
      <c r="AD26" s="12">
        <v>373</v>
      </c>
      <c r="AE26" s="12">
        <v>492</v>
      </c>
      <c r="AF26" s="12">
        <v>408</v>
      </c>
    </row>
    <row r="27" spans="1:32">
      <c r="A27" s="19"/>
      <c r="B27" s="13" t="s">
        <v>381</v>
      </c>
      <c r="C27" s="14">
        <v>0.41</v>
      </c>
      <c r="D27" s="14">
        <v>0.38</v>
      </c>
      <c r="E27" s="14">
        <v>0.28999999999999998</v>
      </c>
      <c r="F27" s="14">
        <v>0.45</v>
      </c>
      <c r="G27" s="14">
        <v>0.34</v>
      </c>
      <c r="H27" s="14">
        <v>0.45</v>
      </c>
      <c r="I27" s="14">
        <v>0.45</v>
      </c>
      <c r="J27" s="14">
        <v>0.47</v>
      </c>
      <c r="K27" s="14">
        <v>0.45</v>
      </c>
      <c r="L27" s="14">
        <v>0.32</v>
      </c>
      <c r="M27" s="14">
        <v>0.39</v>
      </c>
      <c r="N27" s="14">
        <v>0.42</v>
      </c>
      <c r="O27" s="14">
        <v>0.41</v>
      </c>
      <c r="P27" s="14">
        <v>0.39</v>
      </c>
      <c r="Q27" s="14">
        <v>0.4</v>
      </c>
      <c r="R27" s="14">
        <v>0.53</v>
      </c>
      <c r="S27" s="14">
        <v>0.57999999999999996</v>
      </c>
      <c r="T27" s="14">
        <v>0.52</v>
      </c>
      <c r="U27" s="14">
        <v>0.35</v>
      </c>
      <c r="V27" s="14">
        <v>0.45</v>
      </c>
      <c r="W27" s="14">
        <v>0.45</v>
      </c>
      <c r="X27" s="14">
        <v>0.35</v>
      </c>
      <c r="Y27" s="14">
        <v>0.37</v>
      </c>
      <c r="Z27" s="14">
        <v>0.42</v>
      </c>
      <c r="AA27" s="14">
        <v>0.32</v>
      </c>
      <c r="AB27" s="14">
        <v>0.28999999999999998</v>
      </c>
      <c r="AC27" s="14">
        <v>0.52</v>
      </c>
      <c r="AD27" s="14">
        <v>0.37</v>
      </c>
      <c r="AE27" s="14">
        <v>0.49</v>
      </c>
      <c r="AF27" s="14">
        <v>0.4</v>
      </c>
    </row>
    <row r="28" spans="1:32">
      <c r="A28" s="19"/>
      <c r="B28" s="11" t="s">
        <v>389</v>
      </c>
      <c r="C28" s="12">
        <v>5312</v>
      </c>
      <c r="D28" s="12">
        <v>262</v>
      </c>
      <c r="E28" s="12">
        <v>283</v>
      </c>
      <c r="F28" s="12">
        <v>276</v>
      </c>
      <c r="G28" s="12">
        <v>90</v>
      </c>
      <c r="H28" s="12">
        <v>190</v>
      </c>
      <c r="I28" s="12">
        <v>273</v>
      </c>
      <c r="J28" s="12">
        <v>82</v>
      </c>
      <c r="K28" s="12">
        <v>169</v>
      </c>
      <c r="L28" s="12">
        <v>136</v>
      </c>
      <c r="M28" s="12">
        <v>284</v>
      </c>
      <c r="N28" s="12">
        <v>231</v>
      </c>
      <c r="O28" s="12">
        <v>311</v>
      </c>
      <c r="P28" s="12">
        <v>197</v>
      </c>
      <c r="Q28" s="12">
        <v>165</v>
      </c>
      <c r="R28" s="12">
        <v>69</v>
      </c>
      <c r="S28" s="12">
        <v>141</v>
      </c>
      <c r="T28" s="12">
        <v>125</v>
      </c>
      <c r="U28" s="12">
        <v>62</v>
      </c>
      <c r="V28" s="12">
        <v>169</v>
      </c>
      <c r="W28" s="12">
        <v>49</v>
      </c>
      <c r="X28" s="12">
        <v>159</v>
      </c>
      <c r="Y28" s="12">
        <v>262</v>
      </c>
      <c r="Z28" s="12">
        <v>118</v>
      </c>
      <c r="AA28" s="12">
        <v>79</v>
      </c>
      <c r="AB28" s="12">
        <v>276</v>
      </c>
      <c r="AC28" s="12">
        <v>194</v>
      </c>
      <c r="AD28" s="12">
        <v>194</v>
      </c>
      <c r="AE28" s="12">
        <v>143</v>
      </c>
      <c r="AF28" s="12">
        <v>107</v>
      </c>
    </row>
    <row r="29" spans="1:32">
      <c r="A29" s="19"/>
      <c r="B29" s="13" t="s">
        <v>390</v>
      </c>
      <c r="C29" s="14">
        <v>0.2</v>
      </c>
      <c r="D29" s="14">
        <v>0.26</v>
      </c>
      <c r="E29" s="14">
        <v>0.27</v>
      </c>
      <c r="F29" s="14">
        <v>0.26</v>
      </c>
      <c r="G29" s="14">
        <v>0.09</v>
      </c>
      <c r="H29" s="14">
        <v>0.16</v>
      </c>
      <c r="I29" s="14">
        <v>0.18</v>
      </c>
      <c r="J29" s="14">
        <v>0.27</v>
      </c>
      <c r="K29" s="14">
        <v>0.17</v>
      </c>
      <c r="L29" s="14">
        <v>0.14000000000000001</v>
      </c>
      <c r="M29" s="14">
        <v>0.28000000000000003</v>
      </c>
      <c r="N29" s="14">
        <v>0.23</v>
      </c>
      <c r="O29" s="14">
        <v>0.31</v>
      </c>
      <c r="P29" s="14">
        <v>0.2</v>
      </c>
      <c r="Q29" s="14">
        <v>0.16</v>
      </c>
      <c r="R29" s="14">
        <v>0.14000000000000001</v>
      </c>
      <c r="S29" s="14">
        <v>0.14000000000000001</v>
      </c>
      <c r="T29" s="14">
        <v>0.12</v>
      </c>
      <c r="U29" s="14">
        <v>0.13</v>
      </c>
      <c r="V29" s="14">
        <v>0.16</v>
      </c>
      <c r="W29" s="14">
        <v>0.09</v>
      </c>
      <c r="X29" s="14">
        <v>0.15</v>
      </c>
      <c r="Y29" s="14">
        <v>0.26</v>
      </c>
      <c r="Z29" s="14">
        <v>0.11</v>
      </c>
      <c r="AA29" s="14">
        <v>7.0000000000000007E-2</v>
      </c>
      <c r="AB29" s="14">
        <v>0.27</v>
      </c>
      <c r="AC29" s="14">
        <v>0.19</v>
      </c>
      <c r="AD29" s="14">
        <v>0.19</v>
      </c>
      <c r="AE29" s="14">
        <v>0.14000000000000001</v>
      </c>
      <c r="AF29" s="14">
        <v>0.1</v>
      </c>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13</v>
      </c>
      <c r="C3" s="17"/>
      <c r="D3" s="17"/>
      <c r="E3" s="17"/>
      <c r="F3" s="17"/>
      <c r="H3" s="17" t="s">
        <v>14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391</v>
      </c>
      <c r="C12" s="12">
        <v>15631</v>
      </c>
      <c r="D12" s="12">
        <v>710</v>
      </c>
      <c r="E12" s="12">
        <v>424</v>
      </c>
      <c r="F12" s="12">
        <v>407</v>
      </c>
      <c r="G12" s="12">
        <v>379</v>
      </c>
      <c r="H12" s="12">
        <v>750</v>
      </c>
      <c r="I12" s="12">
        <v>896</v>
      </c>
      <c r="J12" s="12">
        <v>145</v>
      </c>
      <c r="K12" s="12">
        <v>390</v>
      </c>
      <c r="L12" s="12">
        <v>586</v>
      </c>
      <c r="M12" s="12">
        <v>774</v>
      </c>
      <c r="N12" s="12">
        <v>783</v>
      </c>
      <c r="O12" s="12">
        <v>478</v>
      </c>
      <c r="P12" s="12">
        <v>612</v>
      </c>
      <c r="Q12" s="12">
        <v>688</v>
      </c>
      <c r="R12" s="12">
        <v>448</v>
      </c>
      <c r="S12" s="12">
        <v>573</v>
      </c>
      <c r="T12" s="12">
        <v>692</v>
      </c>
      <c r="U12" s="12">
        <v>344</v>
      </c>
      <c r="V12" s="12">
        <v>603</v>
      </c>
      <c r="W12" s="12">
        <v>389</v>
      </c>
      <c r="X12" s="12">
        <v>674</v>
      </c>
      <c r="Y12" s="12">
        <v>465</v>
      </c>
      <c r="Z12" s="12">
        <v>516</v>
      </c>
      <c r="AA12" s="12">
        <v>715</v>
      </c>
      <c r="AB12" s="12">
        <v>609</v>
      </c>
      <c r="AC12" s="12">
        <v>629</v>
      </c>
      <c r="AD12" s="12">
        <v>486</v>
      </c>
      <c r="AE12" s="12">
        <v>509</v>
      </c>
      <c r="AF12" s="12">
        <v>444</v>
      </c>
    </row>
    <row r="13" spans="1:32">
      <c r="A13" s="19"/>
      <c r="B13" s="13" t="s">
        <v>392</v>
      </c>
      <c r="C13" s="14">
        <v>0.59</v>
      </c>
      <c r="D13" s="14">
        <v>0.69000000000000006</v>
      </c>
      <c r="E13" s="14">
        <v>0.41</v>
      </c>
      <c r="F13" s="14">
        <v>0.38</v>
      </c>
      <c r="G13" s="14">
        <v>0.37</v>
      </c>
      <c r="H13" s="14">
        <v>0.61</v>
      </c>
      <c r="I13" s="14">
        <v>0.59</v>
      </c>
      <c r="J13" s="14">
        <v>0.49</v>
      </c>
      <c r="K13" s="14">
        <v>0.39</v>
      </c>
      <c r="L13" s="14">
        <v>0.57999999999999996</v>
      </c>
      <c r="M13" s="14">
        <v>0.77</v>
      </c>
      <c r="N13" s="14">
        <v>0.77</v>
      </c>
      <c r="O13" s="14">
        <v>0.48</v>
      </c>
      <c r="P13" s="14">
        <v>0.61</v>
      </c>
      <c r="Q13" s="14">
        <v>0.67</v>
      </c>
      <c r="R13" s="14">
        <v>0.9</v>
      </c>
      <c r="S13" s="14">
        <v>0.57000000000000006</v>
      </c>
      <c r="T13" s="14">
        <v>0.68</v>
      </c>
      <c r="U13" s="14">
        <v>0.68</v>
      </c>
      <c r="V13" s="14">
        <v>0.59</v>
      </c>
      <c r="W13" s="14">
        <v>0.77</v>
      </c>
      <c r="X13" s="14">
        <v>0.67</v>
      </c>
      <c r="Y13" s="14">
        <v>0.46</v>
      </c>
      <c r="Z13" s="14">
        <v>0.51</v>
      </c>
      <c r="AA13" s="14">
        <v>0.69000000000000006</v>
      </c>
      <c r="AB13" s="14">
        <v>0.59</v>
      </c>
      <c r="AC13" s="14">
        <v>0.62</v>
      </c>
      <c r="AD13" s="14">
        <v>0.48</v>
      </c>
      <c r="AE13" s="14">
        <v>0.51</v>
      </c>
      <c r="AF13" s="14">
        <v>0.43</v>
      </c>
    </row>
    <row r="14" spans="1:32">
      <c r="A14" s="19"/>
      <c r="B14" s="11" t="s">
        <v>393</v>
      </c>
      <c r="C14" s="12">
        <v>6929</v>
      </c>
      <c r="D14" s="12">
        <v>251</v>
      </c>
      <c r="E14" s="12">
        <v>405</v>
      </c>
      <c r="F14" s="12">
        <v>524</v>
      </c>
      <c r="G14" s="12">
        <v>320</v>
      </c>
      <c r="H14" s="12">
        <v>305</v>
      </c>
      <c r="I14" s="12">
        <v>428</v>
      </c>
      <c r="J14" s="12">
        <v>123</v>
      </c>
      <c r="K14" s="12">
        <v>327</v>
      </c>
      <c r="L14" s="12">
        <v>229</v>
      </c>
      <c r="M14" s="12">
        <v>152</v>
      </c>
      <c r="N14" s="12">
        <v>103</v>
      </c>
      <c r="O14" s="12">
        <v>324</v>
      </c>
      <c r="P14" s="12">
        <v>333</v>
      </c>
      <c r="Q14" s="12">
        <v>218</v>
      </c>
      <c r="R14" s="12">
        <v>32</v>
      </c>
      <c r="S14" s="12">
        <v>247</v>
      </c>
      <c r="T14" s="12">
        <v>150</v>
      </c>
      <c r="U14" s="12">
        <v>81</v>
      </c>
      <c r="V14" s="12">
        <v>325</v>
      </c>
      <c r="W14" s="12">
        <v>71</v>
      </c>
      <c r="X14" s="12">
        <v>250</v>
      </c>
      <c r="Y14" s="12">
        <v>352</v>
      </c>
      <c r="Z14" s="12">
        <v>345</v>
      </c>
      <c r="AA14" s="12">
        <v>43</v>
      </c>
      <c r="AB14" s="12">
        <v>312</v>
      </c>
      <c r="AC14" s="12">
        <v>191</v>
      </c>
      <c r="AD14" s="12">
        <v>328</v>
      </c>
      <c r="AE14" s="12">
        <v>304</v>
      </c>
      <c r="AF14" s="12">
        <v>370</v>
      </c>
    </row>
    <row r="15" spans="1:32">
      <c r="A15" s="19"/>
      <c r="B15" s="13" t="s">
        <v>394</v>
      </c>
      <c r="C15" s="14">
        <v>0.26</v>
      </c>
      <c r="D15" s="14">
        <v>0.25</v>
      </c>
      <c r="E15" s="14">
        <v>0.39</v>
      </c>
      <c r="F15" s="14">
        <v>0.49</v>
      </c>
      <c r="G15" s="14">
        <v>0.31</v>
      </c>
      <c r="H15" s="14">
        <v>0.25</v>
      </c>
      <c r="I15" s="14">
        <v>0.28000000000000003</v>
      </c>
      <c r="J15" s="14">
        <v>0.41</v>
      </c>
      <c r="K15" s="14">
        <v>0.33</v>
      </c>
      <c r="L15" s="14">
        <v>0.23</v>
      </c>
      <c r="M15" s="14">
        <v>0.15</v>
      </c>
      <c r="N15" s="14">
        <v>0.1</v>
      </c>
      <c r="O15" s="14">
        <v>0.32</v>
      </c>
      <c r="P15" s="14">
        <v>0.33</v>
      </c>
      <c r="Q15" s="14">
        <v>0.21</v>
      </c>
      <c r="R15" s="14">
        <v>0.06</v>
      </c>
      <c r="S15" s="14">
        <v>0.24</v>
      </c>
      <c r="T15" s="14">
        <v>0.15</v>
      </c>
      <c r="U15" s="14">
        <v>0.16</v>
      </c>
      <c r="V15" s="14">
        <v>0.32</v>
      </c>
      <c r="W15" s="14">
        <v>0.14000000000000001</v>
      </c>
      <c r="X15" s="14">
        <v>0.25</v>
      </c>
      <c r="Y15" s="14">
        <v>0.35</v>
      </c>
      <c r="Z15" s="14">
        <v>0.34</v>
      </c>
      <c r="AA15" s="14">
        <v>0.04</v>
      </c>
      <c r="AB15" s="14">
        <v>0.3</v>
      </c>
      <c r="AC15" s="14">
        <v>0.19</v>
      </c>
      <c r="AD15" s="14">
        <v>0.33</v>
      </c>
      <c r="AE15" s="14">
        <v>0.3</v>
      </c>
      <c r="AF15" s="14">
        <v>0.36</v>
      </c>
    </row>
    <row r="16" spans="1:32">
      <c r="A16" s="19"/>
      <c r="B16" s="11" t="s">
        <v>395</v>
      </c>
      <c r="C16" s="12">
        <v>2717</v>
      </c>
      <c r="D16" s="12">
        <v>43</v>
      </c>
      <c r="E16" s="12">
        <v>149</v>
      </c>
      <c r="F16" s="12">
        <v>104</v>
      </c>
      <c r="G16" s="12">
        <v>249</v>
      </c>
      <c r="H16" s="12">
        <v>156</v>
      </c>
      <c r="I16" s="12">
        <v>182</v>
      </c>
      <c r="J16" s="12">
        <v>27</v>
      </c>
      <c r="K16" s="12">
        <v>225</v>
      </c>
      <c r="L16" s="12">
        <v>138</v>
      </c>
      <c r="M16" s="12">
        <v>51</v>
      </c>
      <c r="N16" s="12">
        <v>67</v>
      </c>
      <c r="O16" s="12">
        <v>102</v>
      </c>
      <c r="P16" s="12">
        <v>42</v>
      </c>
      <c r="Q16" s="12">
        <v>85</v>
      </c>
      <c r="R16" s="12">
        <v>12</v>
      </c>
      <c r="S16" s="12">
        <v>87</v>
      </c>
      <c r="T16" s="12">
        <v>138</v>
      </c>
      <c r="U16" s="12">
        <v>60</v>
      </c>
      <c r="V16" s="12">
        <v>71</v>
      </c>
      <c r="W16" s="12">
        <v>35</v>
      </c>
      <c r="X16" s="12">
        <v>66</v>
      </c>
      <c r="Y16" s="12">
        <v>165</v>
      </c>
      <c r="Z16" s="12">
        <v>123</v>
      </c>
      <c r="AA16" s="12">
        <v>215</v>
      </c>
      <c r="AB16" s="12">
        <v>68</v>
      </c>
      <c r="AC16" s="12">
        <v>148</v>
      </c>
      <c r="AD16" s="12">
        <v>158</v>
      </c>
      <c r="AE16" s="12">
        <v>105</v>
      </c>
      <c r="AF16" s="12">
        <v>184</v>
      </c>
    </row>
    <row r="17" spans="1:32">
      <c r="A17" s="19"/>
      <c r="B17" s="13" t="s">
        <v>396</v>
      </c>
      <c r="C17" s="14">
        <v>0.1</v>
      </c>
      <c r="D17" s="14">
        <v>0.04</v>
      </c>
      <c r="E17" s="14">
        <v>0.14000000000000001</v>
      </c>
      <c r="F17" s="14">
        <v>0.1</v>
      </c>
      <c r="G17" s="14">
        <v>0.25</v>
      </c>
      <c r="H17" s="14">
        <v>0.13</v>
      </c>
      <c r="I17" s="14">
        <v>0.12</v>
      </c>
      <c r="J17" s="14">
        <v>0.09</v>
      </c>
      <c r="K17" s="14">
        <v>0.22</v>
      </c>
      <c r="L17" s="14">
        <v>0.14000000000000001</v>
      </c>
      <c r="M17" s="14">
        <v>0.05</v>
      </c>
      <c r="N17" s="14">
        <v>7.0000000000000007E-2</v>
      </c>
      <c r="O17" s="14">
        <v>0.1</v>
      </c>
      <c r="P17" s="14">
        <v>0.04</v>
      </c>
      <c r="Q17" s="14">
        <v>0.08</v>
      </c>
      <c r="R17" s="14">
        <v>0.02</v>
      </c>
      <c r="S17" s="14">
        <v>0.09</v>
      </c>
      <c r="T17" s="14">
        <v>0.13</v>
      </c>
      <c r="U17" s="14">
        <v>0.12</v>
      </c>
      <c r="V17" s="14">
        <v>7.0000000000000007E-2</v>
      </c>
      <c r="W17" s="14">
        <v>7.0000000000000007E-2</v>
      </c>
      <c r="X17" s="14">
        <v>0.06</v>
      </c>
      <c r="Y17" s="14">
        <v>0.17</v>
      </c>
      <c r="Z17" s="14">
        <v>0.12</v>
      </c>
      <c r="AA17" s="14">
        <v>0.21</v>
      </c>
      <c r="AB17" s="14">
        <v>0.06</v>
      </c>
      <c r="AC17" s="14">
        <v>0.15</v>
      </c>
      <c r="AD17" s="14">
        <v>0.16</v>
      </c>
      <c r="AE17" s="14">
        <v>0.11</v>
      </c>
      <c r="AF17" s="14">
        <v>0.18</v>
      </c>
    </row>
    <row r="18" spans="1:32">
      <c r="A18" s="19"/>
      <c r="B18" s="11" t="s">
        <v>386</v>
      </c>
      <c r="C18" s="12">
        <v>1176</v>
      </c>
      <c r="D18" s="12">
        <v>17</v>
      </c>
      <c r="E18" s="12">
        <v>68</v>
      </c>
      <c r="F18" s="12">
        <v>29</v>
      </c>
      <c r="G18" s="12">
        <v>68</v>
      </c>
      <c r="H18" s="12">
        <v>18</v>
      </c>
      <c r="I18" s="12">
        <v>21</v>
      </c>
      <c r="J18" s="12">
        <v>3</v>
      </c>
      <c r="K18" s="12">
        <v>64</v>
      </c>
      <c r="L18" s="12">
        <v>53</v>
      </c>
      <c r="M18" s="12">
        <v>31</v>
      </c>
      <c r="N18" s="12">
        <v>58</v>
      </c>
      <c r="O18" s="12">
        <v>100</v>
      </c>
      <c r="P18" s="12">
        <v>16</v>
      </c>
      <c r="Q18" s="12">
        <v>40</v>
      </c>
      <c r="R18" s="12">
        <v>8</v>
      </c>
      <c r="S18" s="12">
        <v>98</v>
      </c>
      <c r="T18" s="12">
        <v>43</v>
      </c>
      <c r="U18" s="12">
        <v>23</v>
      </c>
      <c r="V18" s="12">
        <v>27</v>
      </c>
      <c r="W18" s="12">
        <v>8</v>
      </c>
      <c r="X18" s="12">
        <v>20</v>
      </c>
      <c r="Y18" s="12">
        <v>21</v>
      </c>
      <c r="Z18" s="12">
        <v>32</v>
      </c>
      <c r="AA18" s="12">
        <v>64</v>
      </c>
      <c r="AB18" s="12">
        <v>52</v>
      </c>
      <c r="AC18" s="12">
        <v>38</v>
      </c>
      <c r="AD18" s="12">
        <v>31</v>
      </c>
      <c r="AE18" s="12">
        <v>83</v>
      </c>
      <c r="AF18" s="12">
        <v>34</v>
      </c>
    </row>
    <row r="19" spans="1:32">
      <c r="A19" s="19"/>
      <c r="B19" s="13" t="s">
        <v>387</v>
      </c>
      <c r="C19" s="14">
        <v>0.05</v>
      </c>
      <c r="D19" s="14">
        <v>0.02</v>
      </c>
      <c r="E19" s="14">
        <v>0.06</v>
      </c>
      <c r="F19" s="14">
        <v>0.03</v>
      </c>
      <c r="G19" s="14">
        <v>7.0000000000000007E-2</v>
      </c>
      <c r="H19" s="14">
        <v>0.01</v>
      </c>
      <c r="I19" s="14">
        <v>0.01</v>
      </c>
      <c r="J19" s="14">
        <v>0.01</v>
      </c>
      <c r="K19" s="14">
        <v>0.06</v>
      </c>
      <c r="L19" s="14">
        <v>0.05</v>
      </c>
      <c r="M19" s="14">
        <v>0.03</v>
      </c>
      <c r="N19" s="14">
        <v>0.06</v>
      </c>
      <c r="O19" s="14">
        <v>0.1</v>
      </c>
      <c r="P19" s="14">
        <v>0.02</v>
      </c>
      <c r="Q19" s="14">
        <v>0.04</v>
      </c>
      <c r="R19" s="14">
        <v>0.02</v>
      </c>
      <c r="S19" s="14">
        <v>0.1</v>
      </c>
      <c r="T19" s="14">
        <v>0.04</v>
      </c>
      <c r="U19" s="14">
        <v>0.04</v>
      </c>
      <c r="V19" s="14">
        <v>0.02</v>
      </c>
      <c r="W19" s="14">
        <v>0.02</v>
      </c>
      <c r="X19" s="14">
        <v>0.02</v>
      </c>
      <c r="Y19" s="14">
        <v>0.02</v>
      </c>
      <c r="Z19" s="14">
        <v>0.03</v>
      </c>
      <c r="AA19" s="14">
        <v>0.06</v>
      </c>
      <c r="AB19" s="14">
        <v>0.05</v>
      </c>
      <c r="AC19" s="14">
        <v>0.04</v>
      </c>
      <c r="AD19" s="14">
        <v>0.03</v>
      </c>
      <c r="AE19" s="14">
        <v>0.08</v>
      </c>
      <c r="AF19" s="14">
        <v>0.03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15</v>
      </c>
      <c r="C3" s="17"/>
      <c r="D3" s="17"/>
      <c r="E3" s="17"/>
      <c r="F3" s="17"/>
      <c r="H3" s="17" t="s">
        <v>16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376</v>
      </c>
      <c r="C12" s="12">
        <v>2140</v>
      </c>
      <c r="D12" s="12">
        <v>50</v>
      </c>
      <c r="E12" s="12">
        <v>134</v>
      </c>
      <c r="F12" s="12">
        <v>54</v>
      </c>
      <c r="G12" s="12">
        <v>142</v>
      </c>
      <c r="H12" s="12">
        <v>89</v>
      </c>
      <c r="I12" s="12">
        <v>109</v>
      </c>
      <c r="J12" s="12">
        <v>19</v>
      </c>
      <c r="K12" s="12">
        <v>60</v>
      </c>
      <c r="L12" s="12">
        <v>261</v>
      </c>
      <c r="M12" s="12">
        <v>54</v>
      </c>
      <c r="N12" s="12">
        <v>75</v>
      </c>
      <c r="O12" s="12">
        <v>50</v>
      </c>
      <c r="P12" s="12">
        <v>97</v>
      </c>
      <c r="Q12" s="12">
        <v>112</v>
      </c>
      <c r="R12" s="12">
        <v>20</v>
      </c>
      <c r="S12" s="12">
        <v>81</v>
      </c>
      <c r="T12" s="12">
        <v>101</v>
      </c>
      <c r="U12" s="12">
        <v>57</v>
      </c>
      <c r="V12" s="12">
        <v>59</v>
      </c>
      <c r="W12" s="12">
        <v>64</v>
      </c>
      <c r="X12" s="12">
        <v>101</v>
      </c>
      <c r="Y12" s="12">
        <v>110</v>
      </c>
      <c r="Z12" s="12">
        <v>93</v>
      </c>
      <c r="AA12" s="12">
        <v>74</v>
      </c>
      <c r="AB12" s="12">
        <v>63</v>
      </c>
      <c r="AC12" s="12">
        <v>57</v>
      </c>
      <c r="AD12" s="12">
        <v>95</v>
      </c>
      <c r="AE12" s="12">
        <v>74</v>
      </c>
      <c r="AF12" s="12">
        <v>141</v>
      </c>
    </row>
    <row r="13" spans="1:32">
      <c r="A13" s="19"/>
      <c r="B13" s="13" t="s">
        <v>377</v>
      </c>
      <c r="C13" s="14">
        <v>0.08</v>
      </c>
      <c r="D13" s="14">
        <v>0.05</v>
      </c>
      <c r="E13" s="14">
        <v>0.13</v>
      </c>
      <c r="F13" s="14">
        <v>0.05</v>
      </c>
      <c r="G13" s="14">
        <v>0.14000000000000001</v>
      </c>
      <c r="H13" s="14">
        <v>7.0000000000000007E-2</v>
      </c>
      <c r="I13" s="14">
        <v>7.0000000000000007E-2</v>
      </c>
      <c r="J13" s="14">
        <v>0.06</v>
      </c>
      <c r="K13" s="14">
        <v>0.06</v>
      </c>
      <c r="L13" s="14">
        <v>0.26</v>
      </c>
      <c r="M13" s="14">
        <v>0.05</v>
      </c>
      <c r="N13" s="14">
        <v>7.0000000000000007E-2</v>
      </c>
      <c r="O13" s="14">
        <v>0.05</v>
      </c>
      <c r="P13" s="14">
        <v>0.1</v>
      </c>
      <c r="Q13" s="14">
        <v>0.11</v>
      </c>
      <c r="R13" s="14">
        <v>0.04</v>
      </c>
      <c r="S13" s="14">
        <v>0.08</v>
      </c>
      <c r="T13" s="14">
        <v>0.1</v>
      </c>
      <c r="U13" s="14">
        <v>0.11</v>
      </c>
      <c r="V13" s="14">
        <v>0.06</v>
      </c>
      <c r="W13" s="14">
        <v>0.13</v>
      </c>
      <c r="X13" s="14">
        <v>0.1</v>
      </c>
      <c r="Y13" s="14">
        <v>0.11</v>
      </c>
      <c r="Z13" s="14">
        <v>0.09</v>
      </c>
      <c r="AA13" s="14">
        <v>7.0000000000000007E-2</v>
      </c>
      <c r="AB13" s="14">
        <v>0.06</v>
      </c>
      <c r="AC13" s="14">
        <v>0.06</v>
      </c>
      <c r="AD13" s="14">
        <v>0.1</v>
      </c>
      <c r="AE13" s="14">
        <v>7.0000000000000007E-2</v>
      </c>
      <c r="AF13" s="14">
        <v>0.14000000000000001</v>
      </c>
    </row>
    <row r="14" spans="1:32">
      <c r="A14" s="19"/>
      <c r="B14" s="11" t="s">
        <v>397</v>
      </c>
      <c r="C14" s="12">
        <v>10842</v>
      </c>
      <c r="D14" s="12">
        <v>421</v>
      </c>
      <c r="E14" s="12">
        <v>360</v>
      </c>
      <c r="F14" s="12">
        <v>293</v>
      </c>
      <c r="G14" s="12">
        <v>544</v>
      </c>
      <c r="H14" s="12">
        <v>588</v>
      </c>
      <c r="I14" s="12">
        <v>671</v>
      </c>
      <c r="J14" s="12">
        <v>83</v>
      </c>
      <c r="K14" s="12">
        <v>448</v>
      </c>
      <c r="L14" s="12">
        <v>414</v>
      </c>
      <c r="M14" s="12">
        <v>287</v>
      </c>
      <c r="N14" s="12">
        <v>422</v>
      </c>
      <c r="O14" s="12">
        <v>335</v>
      </c>
      <c r="P14" s="12">
        <v>419</v>
      </c>
      <c r="Q14" s="12">
        <v>408</v>
      </c>
      <c r="R14" s="12">
        <v>192</v>
      </c>
      <c r="S14" s="12">
        <v>386</v>
      </c>
      <c r="T14" s="12">
        <v>491</v>
      </c>
      <c r="U14" s="12">
        <v>261</v>
      </c>
      <c r="V14" s="12">
        <v>413</v>
      </c>
      <c r="W14" s="12">
        <v>205</v>
      </c>
      <c r="X14" s="12">
        <v>510</v>
      </c>
      <c r="Y14" s="12">
        <v>304</v>
      </c>
      <c r="Z14" s="12">
        <v>420</v>
      </c>
      <c r="AA14" s="12">
        <v>642</v>
      </c>
      <c r="AB14" s="12">
        <v>450</v>
      </c>
      <c r="AC14" s="12">
        <v>360</v>
      </c>
      <c r="AD14" s="12">
        <v>412</v>
      </c>
      <c r="AE14" s="12">
        <v>458</v>
      </c>
      <c r="AF14" s="12">
        <v>576</v>
      </c>
    </row>
    <row r="15" spans="1:32">
      <c r="A15" s="19"/>
      <c r="B15" s="13" t="s">
        <v>379</v>
      </c>
      <c r="C15" s="14">
        <v>0.41</v>
      </c>
      <c r="D15" s="14">
        <v>0.41</v>
      </c>
      <c r="E15" s="14">
        <v>0.34</v>
      </c>
      <c r="F15" s="14">
        <v>0.28000000000000003</v>
      </c>
      <c r="G15" s="14">
        <v>0.53</v>
      </c>
      <c r="H15" s="14">
        <v>0.48</v>
      </c>
      <c r="I15" s="14">
        <v>0.44</v>
      </c>
      <c r="J15" s="14">
        <v>0.28000000000000003</v>
      </c>
      <c r="K15" s="14">
        <v>0.44</v>
      </c>
      <c r="L15" s="14">
        <v>0.41</v>
      </c>
      <c r="M15" s="14">
        <v>0.28999999999999998</v>
      </c>
      <c r="N15" s="14">
        <v>0.42</v>
      </c>
      <c r="O15" s="14">
        <v>0.33</v>
      </c>
      <c r="P15" s="14">
        <v>0.42</v>
      </c>
      <c r="Q15" s="14">
        <v>0.4</v>
      </c>
      <c r="R15" s="14">
        <v>0.38</v>
      </c>
      <c r="S15" s="14">
        <v>0.38</v>
      </c>
      <c r="T15" s="14">
        <v>0.48</v>
      </c>
      <c r="U15" s="14">
        <v>0.51</v>
      </c>
      <c r="V15" s="14">
        <v>0.4</v>
      </c>
      <c r="W15" s="14">
        <v>0.41</v>
      </c>
      <c r="X15" s="14">
        <v>0.51</v>
      </c>
      <c r="Y15" s="14">
        <v>0.31</v>
      </c>
      <c r="Z15" s="14">
        <v>0.42</v>
      </c>
      <c r="AA15" s="14">
        <v>0.62</v>
      </c>
      <c r="AB15" s="14">
        <v>0.43</v>
      </c>
      <c r="AC15" s="14">
        <v>0.36</v>
      </c>
      <c r="AD15" s="14">
        <v>0.41</v>
      </c>
      <c r="AE15" s="14">
        <v>0.46</v>
      </c>
      <c r="AF15" s="14">
        <v>0.56000000000000005</v>
      </c>
    </row>
    <row r="16" spans="1:32">
      <c r="A16" s="19"/>
      <c r="B16" s="11" t="s">
        <v>380</v>
      </c>
      <c r="C16" s="12">
        <v>8886</v>
      </c>
      <c r="D16" s="12">
        <v>323</v>
      </c>
      <c r="E16" s="12">
        <v>293</v>
      </c>
      <c r="F16" s="12">
        <v>457</v>
      </c>
      <c r="G16" s="12">
        <v>230</v>
      </c>
      <c r="H16" s="12">
        <v>400</v>
      </c>
      <c r="I16" s="12">
        <v>526</v>
      </c>
      <c r="J16" s="12">
        <v>125</v>
      </c>
      <c r="K16" s="12">
        <v>359</v>
      </c>
      <c r="L16" s="12">
        <v>223</v>
      </c>
      <c r="M16" s="12">
        <v>364</v>
      </c>
      <c r="N16" s="12">
        <v>318</v>
      </c>
      <c r="O16" s="12">
        <v>328</v>
      </c>
      <c r="P16" s="12">
        <v>357</v>
      </c>
      <c r="Q16" s="12">
        <v>388</v>
      </c>
      <c r="R16" s="12">
        <v>193</v>
      </c>
      <c r="S16" s="12">
        <v>400</v>
      </c>
      <c r="T16" s="12">
        <v>360</v>
      </c>
      <c r="U16" s="12">
        <v>114</v>
      </c>
      <c r="V16" s="12">
        <v>419</v>
      </c>
      <c r="W16" s="12">
        <v>177</v>
      </c>
      <c r="X16" s="12">
        <v>257</v>
      </c>
      <c r="Y16" s="12">
        <v>342</v>
      </c>
      <c r="Z16" s="12">
        <v>398</v>
      </c>
      <c r="AA16" s="12">
        <v>250</v>
      </c>
      <c r="AB16" s="12">
        <v>347</v>
      </c>
      <c r="AC16" s="12">
        <v>394</v>
      </c>
      <c r="AD16" s="12">
        <v>305</v>
      </c>
      <c r="AE16" s="12">
        <v>299</v>
      </c>
      <c r="AF16" s="12">
        <v>225</v>
      </c>
    </row>
    <row r="17" spans="1:32">
      <c r="A17" s="19"/>
      <c r="B17" s="13" t="s">
        <v>381</v>
      </c>
      <c r="C17" s="14">
        <v>0.34</v>
      </c>
      <c r="D17" s="14">
        <v>0.32</v>
      </c>
      <c r="E17" s="14">
        <v>0.28000000000000003</v>
      </c>
      <c r="F17" s="14">
        <v>0.43</v>
      </c>
      <c r="G17" s="14">
        <v>0.23</v>
      </c>
      <c r="H17" s="14">
        <v>0.33</v>
      </c>
      <c r="I17" s="14">
        <v>0.34</v>
      </c>
      <c r="J17" s="14">
        <v>0.42</v>
      </c>
      <c r="K17" s="14">
        <v>0.36</v>
      </c>
      <c r="L17" s="14">
        <v>0.22</v>
      </c>
      <c r="M17" s="14">
        <v>0.36</v>
      </c>
      <c r="N17" s="14">
        <v>0.31</v>
      </c>
      <c r="O17" s="14">
        <v>0.33</v>
      </c>
      <c r="P17" s="14">
        <v>0.36</v>
      </c>
      <c r="Q17" s="14">
        <v>0.37</v>
      </c>
      <c r="R17" s="14">
        <v>0.38</v>
      </c>
      <c r="S17" s="14">
        <v>0.4</v>
      </c>
      <c r="T17" s="14">
        <v>0.35</v>
      </c>
      <c r="U17" s="14">
        <v>0.23</v>
      </c>
      <c r="V17" s="14">
        <v>0.41</v>
      </c>
      <c r="W17" s="14">
        <v>0.35</v>
      </c>
      <c r="X17" s="14">
        <v>0.25</v>
      </c>
      <c r="Y17" s="14">
        <v>0.34</v>
      </c>
      <c r="Z17" s="14">
        <v>0.39</v>
      </c>
      <c r="AA17" s="14">
        <v>0.24</v>
      </c>
      <c r="AB17" s="14">
        <v>0.34</v>
      </c>
      <c r="AC17" s="14">
        <v>0.39</v>
      </c>
      <c r="AD17" s="14">
        <v>0.3</v>
      </c>
      <c r="AE17" s="14">
        <v>0.3</v>
      </c>
      <c r="AF17" s="14">
        <v>0.22</v>
      </c>
    </row>
    <row r="18" spans="1:32">
      <c r="A18" s="19"/>
      <c r="B18" s="11" t="s">
        <v>398</v>
      </c>
      <c r="C18" s="12">
        <v>3470</v>
      </c>
      <c r="D18" s="12">
        <v>167</v>
      </c>
      <c r="E18" s="12">
        <v>166</v>
      </c>
      <c r="F18" s="12">
        <v>197</v>
      </c>
      <c r="G18" s="12">
        <v>70</v>
      </c>
      <c r="H18" s="12">
        <v>125</v>
      </c>
      <c r="I18" s="12">
        <v>178</v>
      </c>
      <c r="J18" s="12">
        <v>53</v>
      </c>
      <c r="K18" s="12">
        <v>85</v>
      </c>
      <c r="L18" s="12">
        <v>61</v>
      </c>
      <c r="M18" s="12">
        <v>186</v>
      </c>
      <c r="N18" s="12">
        <v>137</v>
      </c>
      <c r="O18" s="12">
        <v>219</v>
      </c>
      <c r="P18" s="12">
        <v>103</v>
      </c>
      <c r="Q18" s="12">
        <v>103</v>
      </c>
      <c r="R18" s="12">
        <v>71</v>
      </c>
      <c r="S18" s="12">
        <v>108</v>
      </c>
      <c r="T18" s="12">
        <v>43</v>
      </c>
      <c r="U18" s="12">
        <v>60</v>
      </c>
      <c r="V18" s="12">
        <v>112</v>
      </c>
      <c r="W18" s="12">
        <v>51</v>
      </c>
      <c r="X18" s="12">
        <v>108</v>
      </c>
      <c r="Y18" s="12">
        <v>173</v>
      </c>
      <c r="Z18" s="12">
        <v>89</v>
      </c>
      <c r="AA18" s="12">
        <v>57</v>
      </c>
      <c r="AB18" s="12">
        <v>129</v>
      </c>
      <c r="AC18" s="12">
        <v>145</v>
      </c>
      <c r="AD18" s="12">
        <v>131</v>
      </c>
      <c r="AE18" s="12">
        <v>142</v>
      </c>
      <c r="AF18" s="12">
        <v>75</v>
      </c>
    </row>
    <row r="19" spans="1:32">
      <c r="A19" s="19"/>
      <c r="B19" s="13" t="s">
        <v>383</v>
      </c>
      <c r="C19" s="14">
        <v>0.13</v>
      </c>
      <c r="D19" s="14">
        <v>0.16</v>
      </c>
      <c r="E19" s="14">
        <v>0.16</v>
      </c>
      <c r="F19" s="14">
        <v>0.18</v>
      </c>
      <c r="G19" s="14">
        <v>7.0000000000000007E-2</v>
      </c>
      <c r="H19" s="14">
        <v>0.1</v>
      </c>
      <c r="I19" s="14">
        <v>0.12</v>
      </c>
      <c r="J19" s="14">
        <v>0.18</v>
      </c>
      <c r="K19" s="14">
        <v>0.08</v>
      </c>
      <c r="L19" s="14">
        <v>0.06</v>
      </c>
      <c r="M19" s="14">
        <v>0.18</v>
      </c>
      <c r="N19" s="14">
        <v>0.14000000000000001</v>
      </c>
      <c r="O19" s="14">
        <v>0.22</v>
      </c>
      <c r="P19" s="14">
        <v>0.1</v>
      </c>
      <c r="Q19" s="14">
        <v>0.1</v>
      </c>
      <c r="R19" s="14">
        <v>0.14000000000000001</v>
      </c>
      <c r="S19" s="14">
        <v>0.11</v>
      </c>
      <c r="T19" s="14">
        <v>0.04</v>
      </c>
      <c r="U19" s="14">
        <v>0.12</v>
      </c>
      <c r="V19" s="14">
        <v>0.11</v>
      </c>
      <c r="W19" s="14">
        <v>0.1</v>
      </c>
      <c r="X19" s="14">
        <v>0.11</v>
      </c>
      <c r="Y19" s="14">
        <v>0.17</v>
      </c>
      <c r="Z19" s="14">
        <v>0.09</v>
      </c>
      <c r="AA19" s="14">
        <v>0.06</v>
      </c>
      <c r="AB19" s="14">
        <v>0.12</v>
      </c>
      <c r="AC19" s="14">
        <v>0.14000000000000001</v>
      </c>
      <c r="AD19" s="14">
        <v>0.13</v>
      </c>
      <c r="AE19" s="14">
        <v>0.14000000000000001</v>
      </c>
      <c r="AF19" s="14">
        <v>7.0000000000000007E-2</v>
      </c>
    </row>
    <row r="20" spans="1:32">
      <c r="A20" s="19"/>
      <c r="B20" s="11" t="s">
        <v>384</v>
      </c>
      <c r="C20" s="12">
        <v>1015</v>
      </c>
      <c r="D20" s="12">
        <v>59</v>
      </c>
      <c r="E20" s="12">
        <v>82</v>
      </c>
      <c r="F20" s="12">
        <v>61</v>
      </c>
      <c r="G20" s="12">
        <v>24</v>
      </c>
      <c r="H20" s="12">
        <v>27</v>
      </c>
      <c r="I20" s="12">
        <v>44</v>
      </c>
      <c r="J20" s="12">
        <v>17</v>
      </c>
      <c r="K20" s="12">
        <v>47</v>
      </c>
      <c r="L20" s="12">
        <v>37</v>
      </c>
      <c r="M20" s="12">
        <v>106</v>
      </c>
      <c r="N20" s="12">
        <v>50</v>
      </c>
      <c r="O20" s="12">
        <v>66</v>
      </c>
      <c r="P20" s="12">
        <v>24</v>
      </c>
      <c r="Q20" s="12">
        <v>19</v>
      </c>
      <c r="R20" s="12">
        <v>18</v>
      </c>
      <c r="S20" s="12">
        <v>19</v>
      </c>
      <c r="T20" s="12">
        <v>18</v>
      </c>
      <c r="U20" s="12">
        <v>11</v>
      </c>
      <c r="V20" s="12">
        <v>23</v>
      </c>
      <c r="W20" s="12">
        <v>6</v>
      </c>
      <c r="X20" s="12">
        <v>33</v>
      </c>
      <c r="Y20" s="12">
        <v>72</v>
      </c>
      <c r="Z20" s="12">
        <v>13</v>
      </c>
      <c r="AA20" s="12">
        <v>3</v>
      </c>
      <c r="AB20" s="12">
        <v>42</v>
      </c>
      <c r="AC20" s="12">
        <v>39</v>
      </c>
      <c r="AD20" s="12">
        <v>57</v>
      </c>
      <c r="AE20" s="12">
        <v>23</v>
      </c>
      <c r="AF20" s="12">
        <v>15</v>
      </c>
    </row>
    <row r="21" spans="1:32">
      <c r="A21" s="19"/>
      <c r="B21" s="13" t="s">
        <v>385</v>
      </c>
      <c r="C21" s="14">
        <v>0.04</v>
      </c>
      <c r="D21" s="14">
        <v>0.06</v>
      </c>
      <c r="E21" s="14">
        <v>0.08</v>
      </c>
      <c r="F21" s="14">
        <v>0.06</v>
      </c>
      <c r="G21" s="14">
        <v>0.02</v>
      </c>
      <c r="H21" s="14">
        <v>0.02</v>
      </c>
      <c r="I21" s="14">
        <v>0.03</v>
      </c>
      <c r="J21" s="14">
        <v>0.06</v>
      </c>
      <c r="K21" s="14">
        <v>0.05</v>
      </c>
      <c r="L21" s="14">
        <v>0.04</v>
      </c>
      <c r="M21" s="14">
        <v>0.11</v>
      </c>
      <c r="N21" s="14">
        <v>0.05</v>
      </c>
      <c r="O21" s="14">
        <v>7.0000000000000007E-2</v>
      </c>
      <c r="P21" s="14">
        <v>0.02</v>
      </c>
      <c r="Q21" s="14">
        <v>0.02</v>
      </c>
      <c r="R21" s="14">
        <v>0.04</v>
      </c>
      <c r="S21" s="14">
        <v>0.02</v>
      </c>
      <c r="T21" s="14">
        <v>0.02</v>
      </c>
      <c r="U21" s="14">
        <v>0.02</v>
      </c>
      <c r="V21" s="14">
        <v>0.02</v>
      </c>
      <c r="W21" s="14">
        <v>0.01</v>
      </c>
      <c r="X21" s="14">
        <v>0.03</v>
      </c>
      <c r="Y21" s="14">
        <v>7.0000000000000007E-2</v>
      </c>
      <c r="Z21" s="14">
        <v>0.01</v>
      </c>
      <c r="AA21" s="15" t="s">
        <v>375</v>
      </c>
      <c r="AB21" s="14">
        <v>0.04</v>
      </c>
      <c r="AC21" s="14">
        <v>0.04</v>
      </c>
      <c r="AD21" s="14">
        <v>0.06</v>
      </c>
      <c r="AE21" s="14">
        <v>0.02</v>
      </c>
      <c r="AF21" s="14">
        <v>0.01</v>
      </c>
    </row>
    <row r="22" spans="1:32">
      <c r="A22" s="19"/>
      <c r="B22" s="11" t="s">
        <v>386</v>
      </c>
      <c r="C22" s="12">
        <v>100</v>
      </c>
      <c r="D22" s="12">
        <v>1</v>
      </c>
      <c r="E22" s="12">
        <v>10</v>
      </c>
      <c r="F22" s="12">
        <v>1</v>
      </c>
      <c r="G22" s="12">
        <v>6</v>
      </c>
      <c r="H22" s="12">
        <v>0</v>
      </c>
      <c r="I22" s="12">
        <v>0</v>
      </c>
      <c r="J22" s="12">
        <v>0</v>
      </c>
      <c r="K22" s="12">
        <v>7</v>
      </c>
      <c r="L22" s="12">
        <v>10</v>
      </c>
      <c r="M22" s="12">
        <v>10</v>
      </c>
      <c r="N22" s="12">
        <v>9</v>
      </c>
      <c r="O22" s="12">
        <v>6</v>
      </c>
      <c r="P22" s="12">
        <v>3</v>
      </c>
      <c r="Q22" s="12">
        <v>1</v>
      </c>
      <c r="R22" s="12">
        <v>8</v>
      </c>
      <c r="S22" s="12">
        <v>9</v>
      </c>
      <c r="T22" s="12">
        <v>11</v>
      </c>
      <c r="U22" s="12">
        <v>4</v>
      </c>
      <c r="V22" s="12">
        <v>0</v>
      </c>
      <c r="W22" s="12">
        <v>0</v>
      </c>
      <c r="X22" s="12">
        <v>2</v>
      </c>
      <c r="Y22" s="12">
        <v>3</v>
      </c>
      <c r="Z22" s="12">
        <v>3</v>
      </c>
      <c r="AA22" s="12">
        <v>11</v>
      </c>
      <c r="AB22" s="12">
        <v>11</v>
      </c>
      <c r="AC22" s="12">
        <v>9</v>
      </c>
      <c r="AD22" s="12">
        <v>3</v>
      </c>
      <c r="AE22" s="12">
        <v>5</v>
      </c>
      <c r="AF22" s="12">
        <v>0</v>
      </c>
    </row>
    <row r="23" spans="1:32">
      <c r="A23" s="19"/>
      <c r="B23" s="13" t="s">
        <v>399</v>
      </c>
      <c r="C23" s="15" t="s">
        <v>375</v>
      </c>
      <c r="D23" s="15" t="s">
        <v>375</v>
      </c>
      <c r="E23" s="14">
        <v>0.01</v>
      </c>
      <c r="F23" s="15" t="s">
        <v>375</v>
      </c>
      <c r="G23" s="14">
        <v>0.01</v>
      </c>
      <c r="H23" s="15" t="s">
        <v>375</v>
      </c>
      <c r="I23" s="15" t="s">
        <v>375</v>
      </c>
      <c r="J23" s="15" t="s">
        <v>375</v>
      </c>
      <c r="K23" s="14">
        <v>0.01</v>
      </c>
      <c r="L23" s="14">
        <v>0.01</v>
      </c>
      <c r="M23" s="14">
        <v>0.01</v>
      </c>
      <c r="N23" s="14">
        <v>0.01</v>
      </c>
      <c r="O23" s="15" t="s">
        <v>375</v>
      </c>
      <c r="P23" s="15" t="s">
        <v>375</v>
      </c>
      <c r="Q23" s="15" t="s">
        <v>375</v>
      </c>
      <c r="R23" s="14">
        <v>0.02</v>
      </c>
      <c r="S23" s="14">
        <v>0.01</v>
      </c>
      <c r="T23" s="14">
        <v>0.01</v>
      </c>
      <c r="U23" s="14">
        <v>0.01</v>
      </c>
      <c r="V23" s="15" t="s">
        <v>375</v>
      </c>
      <c r="W23" s="15" t="s">
        <v>375</v>
      </c>
      <c r="X23" s="15" t="s">
        <v>375</v>
      </c>
      <c r="Y23" s="15" t="s">
        <v>375</v>
      </c>
      <c r="Z23" s="15" t="s">
        <v>375</v>
      </c>
      <c r="AA23" s="14">
        <v>0.01</v>
      </c>
      <c r="AB23" s="14">
        <v>0.01</v>
      </c>
      <c r="AC23" s="14">
        <v>0.01</v>
      </c>
      <c r="AD23" s="15" t="s">
        <v>375</v>
      </c>
      <c r="AE23" s="14">
        <v>0.01</v>
      </c>
      <c r="AF23" s="15" t="s">
        <v>375</v>
      </c>
    </row>
    <row r="24" spans="1:32">
      <c r="A24" s="19"/>
      <c r="B24" s="11" t="s">
        <v>388</v>
      </c>
      <c r="C24" s="12">
        <v>12982</v>
      </c>
      <c r="D24" s="12">
        <v>471</v>
      </c>
      <c r="E24" s="12">
        <v>494</v>
      </c>
      <c r="F24" s="12">
        <v>347</v>
      </c>
      <c r="G24" s="12">
        <v>686</v>
      </c>
      <c r="H24" s="12">
        <v>677</v>
      </c>
      <c r="I24" s="12">
        <v>780</v>
      </c>
      <c r="J24" s="12">
        <v>102</v>
      </c>
      <c r="K24" s="12">
        <v>508</v>
      </c>
      <c r="L24" s="12">
        <v>675</v>
      </c>
      <c r="M24" s="12">
        <v>341</v>
      </c>
      <c r="N24" s="12">
        <v>497</v>
      </c>
      <c r="O24" s="12">
        <v>385</v>
      </c>
      <c r="P24" s="12">
        <v>516</v>
      </c>
      <c r="Q24" s="12">
        <v>520</v>
      </c>
      <c r="R24" s="12">
        <v>212</v>
      </c>
      <c r="S24" s="12">
        <v>467</v>
      </c>
      <c r="T24" s="12">
        <v>592</v>
      </c>
      <c r="U24" s="12">
        <v>318</v>
      </c>
      <c r="V24" s="12">
        <v>472</v>
      </c>
      <c r="W24" s="12">
        <v>269</v>
      </c>
      <c r="X24" s="12">
        <v>611</v>
      </c>
      <c r="Y24" s="12">
        <v>414</v>
      </c>
      <c r="Z24" s="12">
        <v>513</v>
      </c>
      <c r="AA24" s="12">
        <v>716</v>
      </c>
      <c r="AB24" s="12">
        <v>513</v>
      </c>
      <c r="AC24" s="12">
        <v>417</v>
      </c>
      <c r="AD24" s="12">
        <v>507</v>
      </c>
      <c r="AE24" s="12">
        <v>532</v>
      </c>
      <c r="AF24" s="12">
        <v>717</v>
      </c>
    </row>
    <row r="25" spans="1:32">
      <c r="A25" s="19"/>
      <c r="B25" s="13" t="s">
        <v>388</v>
      </c>
      <c r="C25" s="14">
        <v>0.49</v>
      </c>
      <c r="D25" s="14">
        <v>0.46</v>
      </c>
      <c r="E25" s="14">
        <v>0.47</v>
      </c>
      <c r="F25" s="14">
        <v>0.33</v>
      </c>
      <c r="G25" s="14">
        <v>0.67</v>
      </c>
      <c r="H25" s="14">
        <v>0.55000000000000004</v>
      </c>
      <c r="I25" s="14">
        <v>0.51</v>
      </c>
      <c r="J25" s="14">
        <v>0.34</v>
      </c>
      <c r="K25" s="14">
        <v>0.5</v>
      </c>
      <c r="L25" s="14">
        <v>0.67</v>
      </c>
      <c r="M25" s="14">
        <v>0.34</v>
      </c>
      <c r="N25" s="14">
        <v>0.49</v>
      </c>
      <c r="O25" s="14">
        <v>0.38</v>
      </c>
      <c r="P25" s="14">
        <v>0.52</v>
      </c>
      <c r="Q25" s="14">
        <v>0.51</v>
      </c>
      <c r="R25" s="14">
        <v>0.42</v>
      </c>
      <c r="S25" s="14">
        <v>0.46</v>
      </c>
      <c r="T25" s="14">
        <v>0.57999999999999996</v>
      </c>
      <c r="U25" s="14">
        <v>0.62</v>
      </c>
      <c r="V25" s="14">
        <v>0.46</v>
      </c>
      <c r="W25" s="14">
        <v>0.54</v>
      </c>
      <c r="X25" s="14">
        <v>0.61</v>
      </c>
      <c r="Y25" s="14">
        <v>0.42</v>
      </c>
      <c r="Z25" s="14">
        <v>0.51</v>
      </c>
      <c r="AA25" s="14">
        <v>0.69000000000000006</v>
      </c>
      <c r="AB25" s="14">
        <v>0.49</v>
      </c>
      <c r="AC25" s="14">
        <v>0.42</v>
      </c>
      <c r="AD25" s="14">
        <v>0.51</v>
      </c>
      <c r="AE25" s="14">
        <v>0.53</v>
      </c>
      <c r="AF25" s="14">
        <v>0.70000000000000007</v>
      </c>
    </row>
    <row r="26" spans="1:32">
      <c r="A26" s="19"/>
      <c r="B26" s="11" t="s">
        <v>380</v>
      </c>
      <c r="C26" s="12">
        <v>8886</v>
      </c>
      <c r="D26" s="12">
        <v>323</v>
      </c>
      <c r="E26" s="12">
        <v>293</v>
      </c>
      <c r="F26" s="12">
        <v>457</v>
      </c>
      <c r="G26" s="12">
        <v>230</v>
      </c>
      <c r="H26" s="12">
        <v>400</v>
      </c>
      <c r="I26" s="12">
        <v>526</v>
      </c>
      <c r="J26" s="12">
        <v>125</v>
      </c>
      <c r="K26" s="12">
        <v>359</v>
      </c>
      <c r="L26" s="12">
        <v>223</v>
      </c>
      <c r="M26" s="12">
        <v>364</v>
      </c>
      <c r="N26" s="12">
        <v>318</v>
      </c>
      <c r="O26" s="12">
        <v>328</v>
      </c>
      <c r="P26" s="12">
        <v>357</v>
      </c>
      <c r="Q26" s="12">
        <v>388</v>
      </c>
      <c r="R26" s="12">
        <v>193</v>
      </c>
      <c r="S26" s="12">
        <v>400</v>
      </c>
      <c r="T26" s="12">
        <v>360</v>
      </c>
      <c r="U26" s="12">
        <v>114</v>
      </c>
      <c r="V26" s="12">
        <v>419</v>
      </c>
      <c r="W26" s="12">
        <v>177</v>
      </c>
      <c r="X26" s="12">
        <v>257</v>
      </c>
      <c r="Y26" s="12">
        <v>342</v>
      </c>
      <c r="Z26" s="12">
        <v>398</v>
      </c>
      <c r="AA26" s="12">
        <v>250</v>
      </c>
      <c r="AB26" s="12">
        <v>347</v>
      </c>
      <c r="AC26" s="12">
        <v>394</v>
      </c>
      <c r="AD26" s="12">
        <v>305</v>
      </c>
      <c r="AE26" s="12">
        <v>299</v>
      </c>
      <c r="AF26" s="12">
        <v>225</v>
      </c>
    </row>
    <row r="27" spans="1:32">
      <c r="A27" s="19"/>
      <c r="B27" s="13" t="s">
        <v>381</v>
      </c>
      <c r="C27" s="14">
        <v>0.34</v>
      </c>
      <c r="D27" s="14">
        <v>0.32</v>
      </c>
      <c r="E27" s="14">
        <v>0.28000000000000003</v>
      </c>
      <c r="F27" s="14">
        <v>0.43</v>
      </c>
      <c r="G27" s="14">
        <v>0.23</v>
      </c>
      <c r="H27" s="14">
        <v>0.33</v>
      </c>
      <c r="I27" s="14">
        <v>0.34</v>
      </c>
      <c r="J27" s="14">
        <v>0.42</v>
      </c>
      <c r="K27" s="14">
        <v>0.36</v>
      </c>
      <c r="L27" s="14">
        <v>0.22</v>
      </c>
      <c r="M27" s="14">
        <v>0.36</v>
      </c>
      <c r="N27" s="14">
        <v>0.31</v>
      </c>
      <c r="O27" s="14">
        <v>0.33</v>
      </c>
      <c r="P27" s="14">
        <v>0.36</v>
      </c>
      <c r="Q27" s="14">
        <v>0.37</v>
      </c>
      <c r="R27" s="14">
        <v>0.38</v>
      </c>
      <c r="S27" s="14">
        <v>0.4</v>
      </c>
      <c r="T27" s="14">
        <v>0.35</v>
      </c>
      <c r="U27" s="14">
        <v>0.23</v>
      </c>
      <c r="V27" s="14">
        <v>0.41</v>
      </c>
      <c r="W27" s="14">
        <v>0.35</v>
      </c>
      <c r="X27" s="14">
        <v>0.25</v>
      </c>
      <c r="Y27" s="14">
        <v>0.34</v>
      </c>
      <c r="Z27" s="14">
        <v>0.39</v>
      </c>
      <c r="AA27" s="14">
        <v>0.24</v>
      </c>
      <c r="AB27" s="14">
        <v>0.34</v>
      </c>
      <c r="AC27" s="14">
        <v>0.39</v>
      </c>
      <c r="AD27" s="14">
        <v>0.3</v>
      </c>
      <c r="AE27" s="14">
        <v>0.3</v>
      </c>
      <c r="AF27" s="14">
        <v>0.22</v>
      </c>
    </row>
    <row r="28" spans="1:32">
      <c r="A28" s="19"/>
      <c r="B28" s="11" t="s">
        <v>390</v>
      </c>
      <c r="C28" s="12">
        <v>4485</v>
      </c>
      <c r="D28" s="12">
        <v>226</v>
      </c>
      <c r="E28" s="12">
        <v>248</v>
      </c>
      <c r="F28" s="12">
        <v>258</v>
      </c>
      <c r="G28" s="12">
        <v>94</v>
      </c>
      <c r="H28" s="12">
        <v>152</v>
      </c>
      <c r="I28" s="12">
        <v>222</v>
      </c>
      <c r="J28" s="12">
        <v>70</v>
      </c>
      <c r="K28" s="12">
        <v>132</v>
      </c>
      <c r="L28" s="12">
        <v>98</v>
      </c>
      <c r="M28" s="12">
        <v>292</v>
      </c>
      <c r="N28" s="12">
        <v>187</v>
      </c>
      <c r="O28" s="12">
        <v>285</v>
      </c>
      <c r="P28" s="12">
        <v>127</v>
      </c>
      <c r="Q28" s="12">
        <v>122</v>
      </c>
      <c r="R28" s="12">
        <v>89</v>
      </c>
      <c r="S28" s="12">
        <v>127</v>
      </c>
      <c r="T28" s="12">
        <v>61</v>
      </c>
      <c r="U28" s="12">
        <v>71</v>
      </c>
      <c r="V28" s="12">
        <v>135</v>
      </c>
      <c r="W28" s="12">
        <v>57</v>
      </c>
      <c r="X28" s="12">
        <v>141</v>
      </c>
      <c r="Y28" s="12">
        <v>245</v>
      </c>
      <c r="Z28" s="12">
        <v>102</v>
      </c>
      <c r="AA28" s="12">
        <v>60</v>
      </c>
      <c r="AB28" s="12">
        <v>171</v>
      </c>
      <c r="AC28" s="12">
        <v>184</v>
      </c>
      <c r="AD28" s="12">
        <v>188</v>
      </c>
      <c r="AE28" s="12">
        <v>165</v>
      </c>
      <c r="AF28" s="12">
        <v>90</v>
      </c>
    </row>
    <row r="29" spans="1:32">
      <c r="A29" s="19"/>
      <c r="B29" s="13" t="s">
        <v>390</v>
      </c>
      <c r="C29" s="14">
        <v>0.17</v>
      </c>
      <c r="D29" s="14">
        <v>0.22</v>
      </c>
      <c r="E29" s="14">
        <v>0.24</v>
      </c>
      <c r="F29" s="14">
        <v>0.24</v>
      </c>
      <c r="G29" s="14">
        <v>0.09</v>
      </c>
      <c r="H29" s="14">
        <v>0.12</v>
      </c>
      <c r="I29" s="14">
        <v>0.15</v>
      </c>
      <c r="J29" s="14">
        <v>0.24</v>
      </c>
      <c r="K29" s="14">
        <v>0.13</v>
      </c>
      <c r="L29" s="14">
        <v>0.1</v>
      </c>
      <c r="M29" s="14">
        <v>0.28999999999999998</v>
      </c>
      <c r="N29" s="14">
        <v>0.19</v>
      </c>
      <c r="O29" s="14">
        <v>0.28999999999999998</v>
      </c>
      <c r="P29" s="14">
        <v>0.12</v>
      </c>
      <c r="Q29" s="14">
        <v>0.12</v>
      </c>
      <c r="R29" s="14">
        <v>0.18</v>
      </c>
      <c r="S29" s="14">
        <v>0.13</v>
      </c>
      <c r="T29" s="14">
        <v>0.06</v>
      </c>
      <c r="U29" s="14">
        <v>0.14000000000000001</v>
      </c>
      <c r="V29" s="14">
        <v>0.13</v>
      </c>
      <c r="W29" s="14">
        <v>0.11</v>
      </c>
      <c r="X29" s="14">
        <v>0.14000000000000001</v>
      </c>
      <c r="Y29" s="14">
        <v>0.24</v>
      </c>
      <c r="Z29" s="14">
        <v>0.1</v>
      </c>
      <c r="AA29" s="14">
        <v>0.06</v>
      </c>
      <c r="AB29" s="14">
        <v>0.16</v>
      </c>
      <c r="AC29" s="14">
        <v>0.18</v>
      </c>
      <c r="AD29" s="14">
        <v>0.19</v>
      </c>
      <c r="AE29" s="14">
        <v>0.16</v>
      </c>
      <c r="AF29" s="14">
        <v>0.08</v>
      </c>
    </row>
  </sheetData>
  <mergeCells count="10">
    <mergeCell ref="H3:L3"/>
    <mergeCell ref="C8:AF8"/>
    <mergeCell ref="B3:F3"/>
    <mergeCell ref="B5:F5"/>
    <mergeCell ref="A24:A29"/>
    <mergeCell ref="H5:L5"/>
    <mergeCell ref="B10:B11"/>
    <mergeCell ref="H4:L4"/>
    <mergeCell ref="A10:A23"/>
    <mergeCell ref="B4:F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17</v>
      </c>
      <c r="C3" s="17"/>
      <c r="D3" s="17"/>
      <c r="E3" s="17"/>
      <c r="F3" s="17"/>
      <c r="H3" s="17" t="s">
        <v>18</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400</v>
      </c>
      <c r="C12" s="12">
        <v>16517</v>
      </c>
      <c r="D12" s="12">
        <v>665</v>
      </c>
      <c r="E12" s="12">
        <v>483</v>
      </c>
      <c r="F12" s="12">
        <v>452</v>
      </c>
      <c r="G12" s="12">
        <v>863</v>
      </c>
      <c r="H12" s="12">
        <v>949</v>
      </c>
      <c r="I12" s="12">
        <v>1100</v>
      </c>
      <c r="J12" s="12">
        <v>151</v>
      </c>
      <c r="K12" s="12">
        <v>709</v>
      </c>
      <c r="L12" s="12">
        <v>863</v>
      </c>
      <c r="M12" s="12">
        <v>400</v>
      </c>
      <c r="N12" s="12">
        <v>727</v>
      </c>
      <c r="O12" s="12">
        <v>527</v>
      </c>
      <c r="P12" s="12">
        <v>570</v>
      </c>
      <c r="Q12" s="12">
        <v>534</v>
      </c>
      <c r="R12" s="12">
        <v>328</v>
      </c>
      <c r="S12" s="12">
        <v>691</v>
      </c>
      <c r="T12" s="12">
        <v>785</v>
      </c>
      <c r="U12" s="12">
        <v>423</v>
      </c>
      <c r="V12" s="12">
        <v>565</v>
      </c>
      <c r="W12" s="12">
        <v>359</v>
      </c>
      <c r="X12" s="12">
        <v>820</v>
      </c>
      <c r="Y12" s="12">
        <v>510</v>
      </c>
      <c r="Z12" s="12">
        <v>580</v>
      </c>
      <c r="AA12" s="12">
        <v>874</v>
      </c>
      <c r="AB12" s="12">
        <v>506</v>
      </c>
      <c r="AC12" s="12">
        <v>645</v>
      </c>
      <c r="AD12" s="12">
        <v>598</v>
      </c>
      <c r="AE12" s="12">
        <v>766</v>
      </c>
      <c r="AF12" s="12">
        <v>876</v>
      </c>
    </row>
    <row r="13" spans="1:32">
      <c r="A13" s="19"/>
      <c r="B13" s="13" t="s">
        <v>401</v>
      </c>
      <c r="C13" s="14">
        <v>0.62</v>
      </c>
      <c r="D13" s="14">
        <v>0.65</v>
      </c>
      <c r="E13" s="14">
        <v>0.46</v>
      </c>
      <c r="F13" s="14">
        <v>0.42</v>
      </c>
      <c r="G13" s="14">
        <v>0.85</v>
      </c>
      <c r="H13" s="14">
        <v>0.77</v>
      </c>
      <c r="I13" s="14">
        <v>0.72</v>
      </c>
      <c r="J13" s="14">
        <v>0.51</v>
      </c>
      <c r="K13" s="14">
        <v>0.71</v>
      </c>
      <c r="L13" s="14">
        <v>0.86</v>
      </c>
      <c r="M13" s="14">
        <v>0.4</v>
      </c>
      <c r="N13" s="14">
        <v>0.72</v>
      </c>
      <c r="O13" s="14">
        <v>0.53</v>
      </c>
      <c r="P13" s="14">
        <v>0.57000000000000006</v>
      </c>
      <c r="Q13" s="14">
        <v>0.52</v>
      </c>
      <c r="R13" s="14">
        <v>0.65</v>
      </c>
      <c r="S13" s="14">
        <v>0.69000000000000006</v>
      </c>
      <c r="T13" s="14">
        <v>0.77</v>
      </c>
      <c r="U13" s="14">
        <v>0.83000000000000007</v>
      </c>
      <c r="V13" s="14">
        <v>0.55000000000000004</v>
      </c>
      <c r="W13" s="14">
        <v>0.71</v>
      </c>
      <c r="X13" s="14">
        <v>0.81</v>
      </c>
      <c r="Y13" s="14">
        <v>0.51</v>
      </c>
      <c r="Z13" s="14">
        <v>0.57000000000000006</v>
      </c>
      <c r="AA13" s="14">
        <v>0.84</v>
      </c>
      <c r="AB13" s="14">
        <v>0.49</v>
      </c>
      <c r="AC13" s="14">
        <v>0.64</v>
      </c>
      <c r="AD13" s="14">
        <v>0.6</v>
      </c>
      <c r="AE13" s="14">
        <v>0.76</v>
      </c>
      <c r="AF13" s="14">
        <v>0.85</v>
      </c>
    </row>
    <row r="14" spans="1:32">
      <c r="A14" s="19"/>
      <c r="B14" s="11" t="s">
        <v>402</v>
      </c>
      <c r="C14" s="12">
        <v>2956</v>
      </c>
      <c r="D14" s="12">
        <v>101</v>
      </c>
      <c r="E14" s="12">
        <v>183</v>
      </c>
      <c r="F14" s="12">
        <v>155</v>
      </c>
      <c r="G14" s="12">
        <v>51</v>
      </c>
      <c r="H14" s="12">
        <v>89</v>
      </c>
      <c r="I14" s="12">
        <v>133</v>
      </c>
      <c r="J14" s="12">
        <v>44</v>
      </c>
      <c r="K14" s="12">
        <v>70</v>
      </c>
      <c r="L14" s="12">
        <v>67</v>
      </c>
      <c r="M14" s="12">
        <v>185</v>
      </c>
      <c r="N14" s="12">
        <v>86</v>
      </c>
      <c r="O14" s="12">
        <v>153</v>
      </c>
      <c r="P14" s="12">
        <v>170</v>
      </c>
      <c r="Q14" s="12">
        <v>128</v>
      </c>
      <c r="R14" s="12">
        <v>45</v>
      </c>
      <c r="S14" s="12">
        <v>66</v>
      </c>
      <c r="T14" s="12">
        <v>30</v>
      </c>
      <c r="U14" s="12">
        <v>23</v>
      </c>
      <c r="V14" s="12">
        <v>73</v>
      </c>
      <c r="W14" s="12">
        <v>31</v>
      </c>
      <c r="X14" s="12">
        <v>79</v>
      </c>
      <c r="Y14" s="12">
        <v>206</v>
      </c>
      <c r="Z14" s="12">
        <v>114</v>
      </c>
      <c r="AA14" s="12">
        <v>19</v>
      </c>
      <c r="AB14" s="12">
        <v>202</v>
      </c>
      <c r="AC14" s="12">
        <v>86</v>
      </c>
      <c r="AD14" s="12">
        <v>75</v>
      </c>
      <c r="AE14" s="12">
        <v>77</v>
      </c>
      <c r="AF14" s="12">
        <v>56</v>
      </c>
    </row>
    <row r="15" spans="1:32">
      <c r="A15" s="19"/>
      <c r="B15" s="13" t="s">
        <v>403</v>
      </c>
      <c r="C15" s="14">
        <v>0.11</v>
      </c>
      <c r="D15" s="14">
        <v>0.1</v>
      </c>
      <c r="E15" s="14">
        <v>0.17</v>
      </c>
      <c r="F15" s="14">
        <v>0.15</v>
      </c>
      <c r="G15" s="14">
        <v>0.05</v>
      </c>
      <c r="H15" s="14">
        <v>7.0000000000000007E-2</v>
      </c>
      <c r="I15" s="14">
        <v>0.09</v>
      </c>
      <c r="J15" s="14">
        <v>0.15</v>
      </c>
      <c r="K15" s="14">
        <v>7.0000000000000007E-2</v>
      </c>
      <c r="L15" s="14">
        <v>7.0000000000000007E-2</v>
      </c>
      <c r="M15" s="14">
        <v>0.18</v>
      </c>
      <c r="N15" s="14">
        <v>0.09</v>
      </c>
      <c r="O15" s="14">
        <v>0.15</v>
      </c>
      <c r="P15" s="14">
        <v>0.17</v>
      </c>
      <c r="Q15" s="14">
        <v>0.12</v>
      </c>
      <c r="R15" s="14">
        <v>0.09</v>
      </c>
      <c r="S15" s="14">
        <v>7.0000000000000007E-2</v>
      </c>
      <c r="T15" s="14">
        <v>0.03</v>
      </c>
      <c r="U15" s="14">
        <v>0.05</v>
      </c>
      <c r="V15" s="14">
        <v>7.0000000000000007E-2</v>
      </c>
      <c r="W15" s="14">
        <v>0.06</v>
      </c>
      <c r="X15" s="14">
        <v>0.08</v>
      </c>
      <c r="Y15" s="14">
        <v>0.21</v>
      </c>
      <c r="Z15" s="14">
        <v>0.11</v>
      </c>
      <c r="AA15" s="14">
        <v>0.02</v>
      </c>
      <c r="AB15" s="14">
        <v>0.19</v>
      </c>
      <c r="AC15" s="14">
        <v>0.09</v>
      </c>
      <c r="AD15" s="14">
        <v>7.0000000000000007E-2</v>
      </c>
      <c r="AE15" s="14">
        <v>0.08</v>
      </c>
      <c r="AF15" s="14">
        <v>0.05</v>
      </c>
    </row>
    <row r="16" spans="1:32">
      <c r="A16" s="19"/>
      <c r="B16" s="11" t="s">
        <v>404</v>
      </c>
      <c r="C16" s="12">
        <v>6796</v>
      </c>
      <c r="D16" s="12">
        <v>251</v>
      </c>
      <c r="E16" s="12">
        <v>364</v>
      </c>
      <c r="F16" s="12">
        <v>450</v>
      </c>
      <c r="G16" s="12">
        <v>96</v>
      </c>
      <c r="H16" s="12">
        <v>190</v>
      </c>
      <c r="I16" s="12">
        <v>293</v>
      </c>
      <c r="J16" s="12">
        <v>103</v>
      </c>
      <c r="K16" s="12">
        <v>222</v>
      </c>
      <c r="L16" s="12">
        <v>70</v>
      </c>
      <c r="M16" s="12">
        <v>410</v>
      </c>
      <c r="N16" s="12">
        <v>186</v>
      </c>
      <c r="O16" s="12">
        <v>311</v>
      </c>
      <c r="P16" s="12">
        <v>264</v>
      </c>
      <c r="Q16" s="12">
        <v>359</v>
      </c>
      <c r="R16" s="12">
        <v>124</v>
      </c>
      <c r="S16" s="12">
        <v>231</v>
      </c>
      <c r="T16" s="12">
        <v>203</v>
      </c>
      <c r="U16" s="12">
        <v>62</v>
      </c>
      <c r="V16" s="12">
        <v>388</v>
      </c>
      <c r="W16" s="12">
        <v>110</v>
      </c>
      <c r="X16" s="12">
        <v>112</v>
      </c>
      <c r="Y16" s="12">
        <v>275</v>
      </c>
      <c r="Z16" s="12">
        <v>319</v>
      </c>
      <c r="AA16" s="12">
        <v>134</v>
      </c>
      <c r="AB16" s="12">
        <v>315</v>
      </c>
      <c r="AC16" s="12">
        <v>272</v>
      </c>
      <c r="AD16" s="12">
        <v>328</v>
      </c>
      <c r="AE16" s="12">
        <v>151</v>
      </c>
      <c r="AF16" s="12">
        <v>99</v>
      </c>
    </row>
    <row r="17" spans="1:32">
      <c r="A17" s="19"/>
      <c r="B17" s="13" t="s">
        <v>405</v>
      </c>
      <c r="C17" s="14">
        <v>0.26</v>
      </c>
      <c r="D17" s="14">
        <v>0.25</v>
      </c>
      <c r="E17" s="14">
        <v>0.35</v>
      </c>
      <c r="F17" s="14">
        <v>0.42</v>
      </c>
      <c r="G17" s="14">
        <v>0.09</v>
      </c>
      <c r="H17" s="14">
        <v>0.16</v>
      </c>
      <c r="I17" s="14">
        <v>0.19</v>
      </c>
      <c r="J17" s="14">
        <v>0.34</v>
      </c>
      <c r="K17" s="14">
        <v>0.22</v>
      </c>
      <c r="L17" s="14">
        <v>7.0000000000000007E-2</v>
      </c>
      <c r="M17" s="14">
        <v>0.41</v>
      </c>
      <c r="N17" s="14">
        <v>0.18</v>
      </c>
      <c r="O17" s="14">
        <v>0.31</v>
      </c>
      <c r="P17" s="14">
        <v>0.26</v>
      </c>
      <c r="Q17" s="14">
        <v>0.35</v>
      </c>
      <c r="R17" s="14">
        <v>0.25</v>
      </c>
      <c r="S17" s="14">
        <v>0.23</v>
      </c>
      <c r="T17" s="14">
        <v>0.2</v>
      </c>
      <c r="U17" s="14">
        <v>0.12</v>
      </c>
      <c r="V17" s="14">
        <v>0.38</v>
      </c>
      <c r="W17" s="14">
        <v>0.22</v>
      </c>
      <c r="X17" s="14">
        <v>0.11</v>
      </c>
      <c r="Y17" s="14">
        <v>0.27</v>
      </c>
      <c r="Z17" s="14">
        <v>0.32</v>
      </c>
      <c r="AA17" s="14">
        <v>0.13</v>
      </c>
      <c r="AB17" s="14">
        <v>0.3</v>
      </c>
      <c r="AC17" s="14">
        <v>0.27</v>
      </c>
      <c r="AD17" s="14">
        <v>0.33</v>
      </c>
      <c r="AE17" s="14">
        <v>0.15</v>
      </c>
      <c r="AF17" s="14">
        <v>0.1</v>
      </c>
    </row>
    <row r="18" spans="1:32">
      <c r="A18" s="19"/>
      <c r="B18" s="11" t="s">
        <v>386</v>
      </c>
      <c r="C18" s="12">
        <v>184</v>
      </c>
      <c r="D18" s="12">
        <v>3</v>
      </c>
      <c r="E18" s="12">
        <v>17</v>
      </c>
      <c r="F18" s="12">
        <v>7</v>
      </c>
      <c r="G18" s="12">
        <v>5</v>
      </c>
      <c r="H18" s="12">
        <v>1</v>
      </c>
      <c r="I18" s="12">
        <v>1</v>
      </c>
      <c r="J18" s="12">
        <v>0</v>
      </c>
      <c r="K18" s="12">
        <v>5</v>
      </c>
      <c r="L18" s="12">
        <v>6</v>
      </c>
      <c r="M18" s="12">
        <v>12</v>
      </c>
      <c r="N18" s="12">
        <v>12</v>
      </c>
      <c r="O18" s="12">
        <v>12</v>
      </c>
      <c r="P18" s="12">
        <v>0</v>
      </c>
      <c r="Q18" s="12">
        <v>9</v>
      </c>
      <c r="R18" s="12">
        <v>4</v>
      </c>
      <c r="S18" s="12">
        <v>16</v>
      </c>
      <c r="T18" s="12">
        <v>4</v>
      </c>
      <c r="U18" s="12">
        <v>1</v>
      </c>
      <c r="V18" s="12">
        <v>0</v>
      </c>
      <c r="W18" s="12">
        <v>3</v>
      </c>
      <c r="X18" s="12">
        <v>0</v>
      </c>
      <c r="Y18" s="12">
        <v>12</v>
      </c>
      <c r="Z18" s="12">
        <v>2</v>
      </c>
      <c r="AA18" s="12">
        <v>10</v>
      </c>
      <c r="AB18" s="12">
        <v>18</v>
      </c>
      <c r="AC18" s="12">
        <v>2</v>
      </c>
      <c r="AD18" s="12">
        <v>2</v>
      </c>
      <c r="AE18" s="12">
        <v>8</v>
      </c>
      <c r="AF18" s="12">
        <v>0</v>
      </c>
    </row>
    <row r="19" spans="1:32">
      <c r="A19" s="19"/>
      <c r="B19" s="13" t="s">
        <v>399</v>
      </c>
      <c r="C19" s="14">
        <v>0.01</v>
      </c>
      <c r="D19" s="15" t="s">
        <v>375</v>
      </c>
      <c r="E19" s="14">
        <v>0.02</v>
      </c>
      <c r="F19" s="14">
        <v>0.01</v>
      </c>
      <c r="G19" s="14">
        <v>0.01</v>
      </c>
      <c r="H19" s="15" t="s">
        <v>375</v>
      </c>
      <c r="I19" s="15" t="s">
        <v>375</v>
      </c>
      <c r="J19" s="15" t="s">
        <v>375</v>
      </c>
      <c r="K19" s="15" t="s">
        <v>375</v>
      </c>
      <c r="L19" s="15" t="s">
        <v>375</v>
      </c>
      <c r="M19" s="14">
        <v>0.01</v>
      </c>
      <c r="N19" s="14">
        <v>0.01</v>
      </c>
      <c r="O19" s="14">
        <v>0.01</v>
      </c>
      <c r="P19" s="15" t="s">
        <v>375</v>
      </c>
      <c r="Q19" s="14">
        <v>0.01</v>
      </c>
      <c r="R19" s="14">
        <v>0.01</v>
      </c>
      <c r="S19" s="14">
        <v>0.01</v>
      </c>
      <c r="T19" s="15" t="s">
        <v>375</v>
      </c>
      <c r="U19" s="15" t="s">
        <v>375</v>
      </c>
      <c r="V19" s="15" t="s">
        <v>375</v>
      </c>
      <c r="W19" s="14">
        <v>0.01</v>
      </c>
      <c r="X19" s="15" t="s">
        <v>375</v>
      </c>
      <c r="Y19" s="14">
        <v>0.01</v>
      </c>
      <c r="Z19" s="15" t="s">
        <v>375</v>
      </c>
      <c r="AA19" s="14">
        <v>0.01</v>
      </c>
      <c r="AB19" s="14">
        <v>0.02</v>
      </c>
      <c r="AC19" s="15" t="s">
        <v>375</v>
      </c>
      <c r="AD19" s="15" t="s">
        <v>375</v>
      </c>
      <c r="AE19" s="14">
        <v>0.01</v>
      </c>
      <c r="AF19" s="15" t="s">
        <v>375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19</v>
      </c>
      <c r="C3" s="17"/>
      <c r="D3" s="17"/>
      <c r="E3" s="17"/>
      <c r="F3" s="17"/>
      <c r="H3" s="17" t="s">
        <v>20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406</v>
      </c>
      <c r="C12" s="12">
        <v>2371</v>
      </c>
      <c r="D12" s="12">
        <v>58</v>
      </c>
      <c r="E12" s="12">
        <v>64</v>
      </c>
      <c r="F12" s="12">
        <v>59</v>
      </c>
      <c r="G12" s="12">
        <v>48</v>
      </c>
      <c r="H12" s="12">
        <v>20</v>
      </c>
      <c r="I12" s="12">
        <v>34</v>
      </c>
      <c r="J12" s="12">
        <v>15</v>
      </c>
      <c r="K12" s="12">
        <v>73</v>
      </c>
      <c r="L12" s="12">
        <v>157</v>
      </c>
      <c r="M12" s="12">
        <v>121</v>
      </c>
      <c r="N12" s="12">
        <v>209</v>
      </c>
      <c r="O12" s="12">
        <v>100</v>
      </c>
      <c r="P12" s="12">
        <v>58</v>
      </c>
      <c r="Q12" s="12">
        <v>114</v>
      </c>
      <c r="R12" s="12">
        <v>53</v>
      </c>
      <c r="S12" s="12">
        <v>144</v>
      </c>
      <c r="T12" s="12">
        <v>114</v>
      </c>
      <c r="U12" s="12">
        <v>51</v>
      </c>
      <c r="V12" s="12">
        <v>94</v>
      </c>
      <c r="W12" s="12">
        <v>71</v>
      </c>
      <c r="X12" s="12">
        <v>36</v>
      </c>
      <c r="Y12" s="12">
        <v>50</v>
      </c>
      <c r="Z12" s="12">
        <v>77</v>
      </c>
      <c r="AA12" s="12">
        <v>215</v>
      </c>
      <c r="AB12" s="12">
        <v>85</v>
      </c>
      <c r="AC12" s="12">
        <v>171</v>
      </c>
      <c r="AD12" s="12">
        <v>81</v>
      </c>
      <c r="AE12" s="12">
        <v>36</v>
      </c>
      <c r="AF12" s="12">
        <v>22</v>
      </c>
    </row>
    <row r="13" spans="1:32">
      <c r="A13" s="19"/>
      <c r="B13" s="13" t="s">
        <v>407</v>
      </c>
      <c r="C13" s="14">
        <v>0.09</v>
      </c>
      <c r="D13" s="14">
        <v>0.06</v>
      </c>
      <c r="E13" s="14">
        <v>0.06</v>
      </c>
      <c r="F13" s="14">
        <v>0.06</v>
      </c>
      <c r="G13" s="14">
        <v>0.05</v>
      </c>
      <c r="H13" s="14">
        <v>0.02</v>
      </c>
      <c r="I13" s="14">
        <v>0.02</v>
      </c>
      <c r="J13" s="14">
        <v>0.05</v>
      </c>
      <c r="K13" s="14">
        <v>7.0000000000000007E-2</v>
      </c>
      <c r="L13" s="14">
        <v>0.16</v>
      </c>
      <c r="M13" s="14">
        <v>0.12</v>
      </c>
      <c r="N13" s="14">
        <v>0.21</v>
      </c>
      <c r="O13" s="14">
        <v>0.1</v>
      </c>
      <c r="P13" s="14">
        <v>0.06</v>
      </c>
      <c r="Q13" s="14">
        <v>0.11</v>
      </c>
      <c r="R13" s="14">
        <v>0.11</v>
      </c>
      <c r="S13" s="14">
        <v>0.14000000000000001</v>
      </c>
      <c r="T13" s="14">
        <v>0.11</v>
      </c>
      <c r="U13" s="14">
        <v>0.1</v>
      </c>
      <c r="V13" s="14">
        <v>0.09</v>
      </c>
      <c r="W13" s="14">
        <v>0.14000000000000001</v>
      </c>
      <c r="X13" s="14">
        <v>0.03</v>
      </c>
      <c r="Y13" s="14">
        <v>0.05</v>
      </c>
      <c r="Z13" s="14">
        <v>0.08</v>
      </c>
      <c r="AA13" s="14">
        <v>0.21</v>
      </c>
      <c r="AB13" s="14">
        <v>0.08</v>
      </c>
      <c r="AC13" s="14">
        <v>0.17</v>
      </c>
      <c r="AD13" s="14">
        <v>0.08</v>
      </c>
      <c r="AE13" s="14">
        <v>0.04</v>
      </c>
      <c r="AF13" s="14">
        <v>0.02</v>
      </c>
    </row>
    <row r="14" spans="1:32">
      <c r="A14" s="19"/>
      <c r="B14" s="11" t="s">
        <v>408</v>
      </c>
      <c r="C14" s="12">
        <v>1982</v>
      </c>
      <c r="D14" s="12">
        <v>80</v>
      </c>
      <c r="E14" s="12">
        <v>33</v>
      </c>
      <c r="F14" s="12">
        <v>35</v>
      </c>
      <c r="G14" s="12">
        <v>157</v>
      </c>
      <c r="H14" s="12">
        <v>123</v>
      </c>
      <c r="I14" s="12">
        <v>136</v>
      </c>
      <c r="J14" s="12">
        <v>13</v>
      </c>
      <c r="K14" s="12">
        <v>22</v>
      </c>
      <c r="L14" s="12">
        <v>75</v>
      </c>
      <c r="M14" s="12">
        <v>25</v>
      </c>
      <c r="N14" s="12">
        <v>49</v>
      </c>
      <c r="O14" s="12">
        <v>89</v>
      </c>
      <c r="P14" s="12">
        <v>37</v>
      </c>
      <c r="Q14" s="12">
        <v>68</v>
      </c>
      <c r="R14" s="12">
        <v>11</v>
      </c>
      <c r="S14" s="12">
        <v>16</v>
      </c>
      <c r="T14" s="12">
        <v>22</v>
      </c>
      <c r="U14" s="12">
        <v>34</v>
      </c>
      <c r="V14" s="12">
        <v>68</v>
      </c>
      <c r="W14" s="12">
        <v>63</v>
      </c>
      <c r="X14" s="12">
        <v>170</v>
      </c>
      <c r="Y14" s="12">
        <v>89</v>
      </c>
      <c r="Z14" s="12">
        <v>36</v>
      </c>
      <c r="AA14" s="12">
        <v>21</v>
      </c>
      <c r="AB14" s="12">
        <v>45</v>
      </c>
      <c r="AC14" s="12">
        <v>51</v>
      </c>
      <c r="AD14" s="12">
        <v>29</v>
      </c>
      <c r="AE14" s="12">
        <v>134</v>
      </c>
      <c r="AF14" s="12">
        <v>271</v>
      </c>
    </row>
    <row r="15" spans="1:32">
      <c r="A15" s="19"/>
      <c r="B15" s="13" t="s">
        <v>409</v>
      </c>
      <c r="C15" s="14">
        <v>0.08</v>
      </c>
      <c r="D15" s="14">
        <v>0.08</v>
      </c>
      <c r="E15" s="14">
        <v>0.03</v>
      </c>
      <c r="F15" s="14">
        <v>0.03</v>
      </c>
      <c r="G15" s="14">
        <v>0.15</v>
      </c>
      <c r="H15" s="14">
        <v>0.1</v>
      </c>
      <c r="I15" s="14">
        <v>0.09</v>
      </c>
      <c r="J15" s="14">
        <v>0.04</v>
      </c>
      <c r="K15" s="14">
        <v>0.02</v>
      </c>
      <c r="L15" s="14">
        <v>7.0000000000000007E-2</v>
      </c>
      <c r="M15" s="14">
        <v>0.02</v>
      </c>
      <c r="N15" s="14">
        <v>0.05</v>
      </c>
      <c r="O15" s="14">
        <v>0.09</v>
      </c>
      <c r="P15" s="14">
        <v>0.04</v>
      </c>
      <c r="Q15" s="14">
        <v>7.0000000000000007E-2</v>
      </c>
      <c r="R15" s="14">
        <v>0.02</v>
      </c>
      <c r="S15" s="14">
        <v>0.02</v>
      </c>
      <c r="T15" s="14">
        <v>0.02</v>
      </c>
      <c r="U15" s="14">
        <v>7.0000000000000007E-2</v>
      </c>
      <c r="V15" s="14">
        <v>7.0000000000000007E-2</v>
      </c>
      <c r="W15" s="14">
        <v>0.13</v>
      </c>
      <c r="X15" s="14">
        <v>0.17</v>
      </c>
      <c r="Y15" s="14">
        <v>0.09</v>
      </c>
      <c r="Z15" s="14">
        <v>0.04</v>
      </c>
      <c r="AA15" s="14">
        <v>0.02</v>
      </c>
      <c r="AB15" s="14">
        <v>0.04</v>
      </c>
      <c r="AC15" s="14">
        <v>0.05</v>
      </c>
      <c r="AD15" s="14">
        <v>0.03</v>
      </c>
      <c r="AE15" s="14">
        <v>0.13</v>
      </c>
      <c r="AF15" s="14">
        <v>0.26</v>
      </c>
    </row>
    <row r="16" spans="1:32">
      <c r="A16" s="19"/>
      <c r="B16" s="11" t="s">
        <v>410</v>
      </c>
      <c r="C16" s="12">
        <v>2052</v>
      </c>
      <c r="D16" s="12">
        <v>97</v>
      </c>
      <c r="E16" s="12">
        <v>131</v>
      </c>
      <c r="F16" s="12">
        <v>45</v>
      </c>
      <c r="G16" s="12">
        <v>36</v>
      </c>
      <c r="H16" s="12">
        <v>89</v>
      </c>
      <c r="I16" s="12">
        <v>103</v>
      </c>
      <c r="J16" s="12">
        <v>14</v>
      </c>
      <c r="K16" s="12">
        <v>57</v>
      </c>
      <c r="L16" s="12">
        <v>52</v>
      </c>
      <c r="M16" s="12">
        <v>142</v>
      </c>
      <c r="N16" s="12">
        <v>95</v>
      </c>
      <c r="O16" s="12">
        <v>106</v>
      </c>
      <c r="P16" s="12">
        <v>89</v>
      </c>
      <c r="Q16" s="12">
        <v>64</v>
      </c>
      <c r="R16" s="12">
        <v>59</v>
      </c>
      <c r="S16" s="12">
        <v>73</v>
      </c>
      <c r="T16" s="12">
        <v>123</v>
      </c>
      <c r="U16" s="12">
        <v>40</v>
      </c>
      <c r="V16" s="12">
        <v>74</v>
      </c>
      <c r="W16" s="12">
        <v>38</v>
      </c>
      <c r="X16" s="12">
        <v>45</v>
      </c>
      <c r="Y16" s="12">
        <v>64</v>
      </c>
      <c r="Z16" s="12">
        <v>44</v>
      </c>
      <c r="AA16" s="12">
        <v>126</v>
      </c>
      <c r="AB16" s="12">
        <v>92</v>
      </c>
      <c r="AC16" s="12">
        <v>72</v>
      </c>
      <c r="AD16" s="12">
        <v>77</v>
      </c>
      <c r="AE16" s="12">
        <v>87</v>
      </c>
      <c r="AF16" s="12">
        <v>57</v>
      </c>
    </row>
    <row r="17" spans="1:32">
      <c r="A17" s="19"/>
      <c r="B17" s="13" t="s">
        <v>411</v>
      </c>
      <c r="C17" s="14">
        <v>0.08</v>
      </c>
      <c r="D17" s="14">
        <v>0.09</v>
      </c>
      <c r="E17" s="14">
        <v>0.13</v>
      </c>
      <c r="F17" s="14">
        <v>0.04</v>
      </c>
      <c r="G17" s="14">
        <v>0.04</v>
      </c>
      <c r="H17" s="14">
        <v>7.0000000000000007E-2</v>
      </c>
      <c r="I17" s="14">
        <v>7.0000000000000007E-2</v>
      </c>
      <c r="J17" s="14">
        <v>0.05</v>
      </c>
      <c r="K17" s="14">
        <v>0.06</v>
      </c>
      <c r="L17" s="14">
        <v>0.05</v>
      </c>
      <c r="M17" s="14">
        <v>0.14000000000000001</v>
      </c>
      <c r="N17" s="14">
        <v>0.09</v>
      </c>
      <c r="O17" s="14">
        <v>0.11</v>
      </c>
      <c r="P17" s="14">
        <v>0.09</v>
      </c>
      <c r="Q17" s="14">
        <v>0.06</v>
      </c>
      <c r="R17" s="14">
        <v>0.12</v>
      </c>
      <c r="S17" s="14">
        <v>7.0000000000000007E-2</v>
      </c>
      <c r="T17" s="14">
        <v>0.12</v>
      </c>
      <c r="U17" s="14">
        <v>0.08</v>
      </c>
      <c r="V17" s="14">
        <v>7.0000000000000007E-2</v>
      </c>
      <c r="W17" s="14">
        <v>0.08</v>
      </c>
      <c r="X17" s="14">
        <v>0.04</v>
      </c>
      <c r="Y17" s="14">
        <v>0.06</v>
      </c>
      <c r="Z17" s="14">
        <v>0.04</v>
      </c>
      <c r="AA17" s="14">
        <v>0.12</v>
      </c>
      <c r="AB17" s="14">
        <v>0.09</v>
      </c>
      <c r="AC17" s="14">
        <v>7.0000000000000007E-2</v>
      </c>
      <c r="AD17" s="14">
        <v>0.08</v>
      </c>
      <c r="AE17" s="14">
        <v>0.09</v>
      </c>
      <c r="AF17" s="14">
        <v>0.06</v>
      </c>
    </row>
    <row r="18" spans="1:32">
      <c r="A18" s="19"/>
      <c r="B18" s="11" t="s">
        <v>412</v>
      </c>
      <c r="C18" s="12">
        <v>2889</v>
      </c>
      <c r="D18" s="12">
        <v>71</v>
      </c>
      <c r="E18" s="12">
        <v>168</v>
      </c>
      <c r="F18" s="12">
        <v>70</v>
      </c>
      <c r="G18" s="12">
        <v>49</v>
      </c>
      <c r="H18" s="12">
        <v>97</v>
      </c>
      <c r="I18" s="12">
        <v>126</v>
      </c>
      <c r="J18" s="12">
        <v>29</v>
      </c>
      <c r="K18" s="12">
        <v>158</v>
      </c>
      <c r="L18" s="12">
        <v>77</v>
      </c>
      <c r="M18" s="12">
        <v>220</v>
      </c>
      <c r="N18" s="12">
        <v>202</v>
      </c>
      <c r="O18" s="12">
        <v>69</v>
      </c>
      <c r="P18" s="12">
        <v>145</v>
      </c>
      <c r="Q18" s="12">
        <v>143</v>
      </c>
      <c r="R18" s="12">
        <v>59</v>
      </c>
      <c r="S18" s="12">
        <v>180</v>
      </c>
      <c r="T18" s="12">
        <v>155</v>
      </c>
      <c r="U18" s="12">
        <v>43</v>
      </c>
      <c r="V18" s="12">
        <v>133</v>
      </c>
      <c r="W18" s="12">
        <v>35</v>
      </c>
      <c r="X18" s="12">
        <v>26</v>
      </c>
      <c r="Y18" s="12">
        <v>81</v>
      </c>
      <c r="Z18" s="12">
        <v>84</v>
      </c>
      <c r="AA18" s="12">
        <v>115</v>
      </c>
      <c r="AB18" s="12">
        <v>146</v>
      </c>
      <c r="AC18" s="12">
        <v>124</v>
      </c>
      <c r="AD18" s="12">
        <v>114</v>
      </c>
      <c r="AE18" s="12">
        <v>163</v>
      </c>
      <c r="AF18" s="12">
        <v>88</v>
      </c>
    </row>
    <row r="19" spans="1:32">
      <c r="A19" s="19"/>
      <c r="B19" s="13" t="s">
        <v>413</v>
      </c>
      <c r="C19" s="14">
        <v>0.11</v>
      </c>
      <c r="D19" s="14">
        <v>7.0000000000000007E-2</v>
      </c>
      <c r="E19" s="14">
        <v>0.16</v>
      </c>
      <c r="F19" s="14">
        <v>7.0000000000000007E-2</v>
      </c>
      <c r="G19" s="14">
        <v>0.05</v>
      </c>
      <c r="H19" s="14">
        <v>0.08</v>
      </c>
      <c r="I19" s="14">
        <v>0.08</v>
      </c>
      <c r="J19" s="14">
        <v>0.1</v>
      </c>
      <c r="K19" s="14">
        <v>0.16</v>
      </c>
      <c r="L19" s="14">
        <v>0.08</v>
      </c>
      <c r="M19" s="14">
        <v>0.22</v>
      </c>
      <c r="N19" s="14">
        <v>0.2</v>
      </c>
      <c r="O19" s="14">
        <v>7.0000000000000007E-2</v>
      </c>
      <c r="P19" s="14">
        <v>0.14000000000000001</v>
      </c>
      <c r="Q19" s="14">
        <v>0.14000000000000001</v>
      </c>
      <c r="R19" s="14">
        <v>0.12</v>
      </c>
      <c r="S19" s="14">
        <v>0.18</v>
      </c>
      <c r="T19" s="14">
        <v>0.15</v>
      </c>
      <c r="U19" s="14">
        <v>0.09</v>
      </c>
      <c r="V19" s="14">
        <v>0.13</v>
      </c>
      <c r="W19" s="14">
        <v>7.0000000000000007E-2</v>
      </c>
      <c r="X19" s="14">
        <v>0.03</v>
      </c>
      <c r="Y19" s="14">
        <v>0.08</v>
      </c>
      <c r="Z19" s="14">
        <v>0.08</v>
      </c>
      <c r="AA19" s="14">
        <v>0.11</v>
      </c>
      <c r="AB19" s="14">
        <v>0.14000000000000001</v>
      </c>
      <c r="AC19" s="14">
        <v>0.12</v>
      </c>
      <c r="AD19" s="14">
        <v>0.11</v>
      </c>
      <c r="AE19" s="14">
        <v>0.16</v>
      </c>
      <c r="AF19" s="14">
        <v>0.09</v>
      </c>
    </row>
    <row r="20" spans="1:32">
      <c r="A20" s="19"/>
      <c r="B20" s="11" t="s">
        <v>414</v>
      </c>
      <c r="C20" s="12">
        <v>3924</v>
      </c>
      <c r="D20" s="12">
        <v>174</v>
      </c>
      <c r="E20" s="12">
        <v>282</v>
      </c>
      <c r="F20" s="12">
        <v>164</v>
      </c>
      <c r="G20" s="12">
        <v>72</v>
      </c>
      <c r="H20" s="12">
        <v>140</v>
      </c>
      <c r="I20" s="12">
        <v>189</v>
      </c>
      <c r="J20" s="12">
        <v>49</v>
      </c>
      <c r="K20" s="12">
        <v>179</v>
      </c>
      <c r="L20" s="12">
        <v>205</v>
      </c>
      <c r="M20" s="12">
        <v>193</v>
      </c>
      <c r="N20" s="12">
        <v>131</v>
      </c>
      <c r="O20" s="12">
        <v>193</v>
      </c>
      <c r="P20" s="12">
        <v>249</v>
      </c>
      <c r="Q20" s="12">
        <v>144</v>
      </c>
      <c r="R20" s="12">
        <v>47</v>
      </c>
      <c r="S20" s="12">
        <v>146</v>
      </c>
      <c r="T20" s="12">
        <v>128</v>
      </c>
      <c r="U20" s="12">
        <v>79</v>
      </c>
      <c r="V20" s="12">
        <v>187</v>
      </c>
      <c r="W20" s="12">
        <v>72</v>
      </c>
      <c r="X20" s="12">
        <v>81</v>
      </c>
      <c r="Y20" s="12">
        <v>187</v>
      </c>
      <c r="Z20" s="12">
        <v>148</v>
      </c>
      <c r="AA20" s="12">
        <v>252</v>
      </c>
      <c r="AB20" s="12">
        <v>158</v>
      </c>
      <c r="AC20" s="12">
        <v>95</v>
      </c>
      <c r="AD20" s="12">
        <v>246</v>
      </c>
      <c r="AE20" s="12">
        <v>31</v>
      </c>
      <c r="AF20" s="12">
        <v>24</v>
      </c>
    </row>
    <row r="21" spans="1:32">
      <c r="A21" s="19"/>
      <c r="B21" s="13" t="s">
        <v>415</v>
      </c>
      <c r="C21" s="14">
        <v>0.15</v>
      </c>
      <c r="D21" s="14">
        <v>0.17</v>
      </c>
      <c r="E21" s="14">
        <v>0.27</v>
      </c>
      <c r="F21" s="14">
        <v>0.15</v>
      </c>
      <c r="G21" s="14">
        <v>7.0000000000000007E-2</v>
      </c>
      <c r="H21" s="14">
        <v>0.11</v>
      </c>
      <c r="I21" s="14">
        <v>0.12</v>
      </c>
      <c r="J21" s="14">
        <v>0.16</v>
      </c>
      <c r="K21" s="14">
        <v>0.18</v>
      </c>
      <c r="L21" s="14">
        <v>0.2</v>
      </c>
      <c r="M21" s="14">
        <v>0.19</v>
      </c>
      <c r="N21" s="14">
        <v>0.13</v>
      </c>
      <c r="O21" s="14">
        <v>0.19</v>
      </c>
      <c r="P21" s="14">
        <v>0.25</v>
      </c>
      <c r="Q21" s="14">
        <v>0.14000000000000001</v>
      </c>
      <c r="R21" s="14">
        <v>0.09</v>
      </c>
      <c r="S21" s="14">
        <v>0.15</v>
      </c>
      <c r="T21" s="14">
        <v>0.13</v>
      </c>
      <c r="U21" s="14">
        <v>0.16</v>
      </c>
      <c r="V21" s="14">
        <v>0.18</v>
      </c>
      <c r="W21" s="14">
        <v>0.14000000000000001</v>
      </c>
      <c r="X21" s="14">
        <v>0.08</v>
      </c>
      <c r="Y21" s="14">
        <v>0.19</v>
      </c>
      <c r="Z21" s="14">
        <v>0.15</v>
      </c>
      <c r="AA21" s="14">
        <v>0.24</v>
      </c>
      <c r="AB21" s="14">
        <v>0.15</v>
      </c>
      <c r="AC21" s="14">
        <v>0.1</v>
      </c>
      <c r="AD21" s="14">
        <v>0.25</v>
      </c>
      <c r="AE21" s="14">
        <v>0.03</v>
      </c>
      <c r="AF21" s="14">
        <v>0.02</v>
      </c>
    </row>
    <row r="22" spans="1:32">
      <c r="A22" s="19"/>
      <c r="B22" s="11" t="s">
        <v>416</v>
      </c>
      <c r="C22" s="12">
        <v>520</v>
      </c>
      <c r="D22" s="12">
        <v>11</v>
      </c>
      <c r="E22" s="12">
        <v>13</v>
      </c>
      <c r="F22" s="12">
        <v>19</v>
      </c>
      <c r="G22" s="12">
        <v>15</v>
      </c>
      <c r="H22" s="12">
        <v>34</v>
      </c>
      <c r="I22" s="12">
        <v>41</v>
      </c>
      <c r="J22" s="12">
        <v>7</v>
      </c>
      <c r="K22" s="12">
        <v>28</v>
      </c>
      <c r="L22" s="12">
        <v>10</v>
      </c>
      <c r="M22" s="12">
        <v>10</v>
      </c>
      <c r="N22" s="12">
        <v>5</v>
      </c>
      <c r="O22" s="12">
        <v>11</v>
      </c>
      <c r="P22" s="12">
        <v>28</v>
      </c>
      <c r="Q22" s="12">
        <v>32</v>
      </c>
      <c r="R22" s="12">
        <v>5</v>
      </c>
      <c r="S22" s="12">
        <v>17</v>
      </c>
      <c r="T22" s="12">
        <v>28</v>
      </c>
      <c r="U22" s="12">
        <v>7</v>
      </c>
      <c r="V22" s="12">
        <v>32</v>
      </c>
      <c r="W22" s="12">
        <v>9</v>
      </c>
      <c r="X22" s="12">
        <v>17</v>
      </c>
      <c r="Y22" s="12">
        <v>31</v>
      </c>
      <c r="Z22" s="12">
        <v>28</v>
      </c>
      <c r="AA22" s="12">
        <v>14</v>
      </c>
      <c r="AB22" s="12">
        <v>27</v>
      </c>
      <c r="AC22" s="12">
        <v>27</v>
      </c>
      <c r="AD22" s="12">
        <v>14</v>
      </c>
      <c r="AE22" s="12">
        <v>8</v>
      </c>
      <c r="AF22" s="12">
        <v>10</v>
      </c>
    </row>
    <row r="23" spans="1:32">
      <c r="A23" s="19"/>
      <c r="B23" s="13" t="s">
        <v>417</v>
      </c>
      <c r="C23" s="14">
        <v>0.02</v>
      </c>
      <c r="D23" s="14">
        <v>0.01</v>
      </c>
      <c r="E23" s="14">
        <v>0.01</v>
      </c>
      <c r="F23" s="14">
        <v>0.02</v>
      </c>
      <c r="G23" s="14">
        <v>0.01</v>
      </c>
      <c r="H23" s="14">
        <v>0.03</v>
      </c>
      <c r="I23" s="14">
        <v>0.03</v>
      </c>
      <c r="J23" s="14">
        <v>0.02</v>
      </c>
      <c r="K23" s="14">
        <v>0.03</v>
      </c>
      <c r="L23" s="14">
        <v>0.01</v>
      </c>
      <c r="M23" s="14">
        <v>0.01</v>
      </c>
      <c r="N23" s="14">
        <v>0.01</v>
      </c>
      <c r="O23" s="14">
        <v>0.01</v>
      </c>
      <c r="P23" s="14">
        <v>0.03</v>
      </c>
      <c r="Q23" s="14">
        <v>0.03</v>
      </c>
      <c r="R23" s="14">
        <v>0.01</v>
      </c>
      <c r="S23" s="14">
        <v>0.02</v>
      </c>
      <c r="T23" s="14">
        <v>0.03</v>
      </c>
      <c r="U23" s="14">
        <v>0.01</v>
      </c>
      <c r="V23" s="14">
        <v>0.03</v>
      </c>
      <c r="W23" s="14">
        <v>0.02</v>
      </c>
      <c r="X23" s="14">
        <v>0.02</v>
      </c>
      <c r="Y23" s="14">
        <v>0.03</v>
      </c>
      <c r="Z23" s="14">
        <v>0.03</v>
      </c>
      <c r="AA23" s="14">
        <v>0.01</v>
      </c>
      <c r="AB23" s="14">
        <v>0.03</v>
      </c>
      <c r="AC23" s="14">
        <v>0.03</v>
      </c>
      <c r="AD23" s="14">
        <v>0.01</v>
      </c>
      <c r="AE23" s="14">
        <v>0.01</v>
      </c>
      <c r="AF23" s="14">
        <v>0.01</v>
      </c>
    </row>
    <row r="24" spans="1:32">
      <c r="A24" s="19"/>
      <c r="B24" s="11" t="s">
        <v>418</v>
      </c>
      <c r="C24" s="12">
        <v>596</v>
      </c>
      <c r="D24" s="12">
        <v>26</v>
      </c>
      <c r="E24" s="12">
        <v>23</v>
      </c>
      <c r="F24" s="12">
        <v>14</v>
      </c>
      <c r="G24" s="12">
        <v>16</v>
      </c>
      <c r="H24" s="12">
        <v>17</v>
      </c>
      <c r="I24" s="12">
        <v>22</v>
      </c>
      <c r="J24" s="12">
        <v>5</v>
      </c>
      <c r="K24" s="12">
        <v>17</v>
      </c>
      <c r="L24" s="12">
        <v>24</v>
      </c>
      <c r="M24" s="12">
        <v>27</v>
      </c>
      <c r="N24" s="12">
        <v>33</v>
      </c>
      <c r="O24" s="12">
        <v>25</v>
      </c>
      <c r="P24" s="12">
        <v>20</v>
      </c>
      <c r="Q24" s="12">
        <v>30</v>
      </c>
      <c r="R24" s="12">
        <v>22</v>
      </c>
      <c r="S24" s="12">
        <v>14</v>
      </c>
      <c r="T24" s="12">
        <v>15</v>
      </c>
      <c r="U24" s="12">
        <v>17</v>
      </c>
      <c r="V24" s="12">
        <v>11</v>
      </c>
      <c r="W24" s="12">
        <v>10</v>
      </c>
      <c r="X24" s="12">
        <v>19</v>
      </c>
      <c r="Y24" s="12">
        <v>17</v>
      </c>
      <c r="Z24" s="12">
        <v>19</v>
      </c>
      <c r="AA24" s="12">
        <v>22</v>
      </c>
      <c r="AB24" s="12">
        <v>41</v>
      </c>
      <c r="AC24" s="12">
        <v>15</v>
      </c>
      <c r="AD24" s="12">
        <v>22</v>
      </c>
      <c r="AE24" s="12">
        <v>10</v>
      </c>
      <c r="AF24" s="12">
        <v>6</v>
      </c>
    </row>
    <row r="25" spans="1:32">
      <c r="A25" s="19"/>
      <c r="B25" s="13" t="s">
        <v>419</v>
      </c>
      <c r="C25" s="14">
        <v>0.02</v>
      </c>
      <c r="D25" s="14">
        <v>0.02</v>
      </c>
      <c r="E25" s="14">
        <v>0.02</v>
      </c>
      <c r="F25" s="14">
        <v>0.01</v>
      </c>
      <c r="G25" s="14">
        <v>0.02</v>
      </c>
      <c r="H25" s="14">
        <v>0.01</v>
      </c>
      <c r="I25" s="14">
        <v>0.02</v>
      </c>
      <c r="J25" s="14">
        <v>0.02</v>
      </c>
      <c r="K25" s="14">
        <v>0.02</v>
      </c>
      <c r="L25" s="14">
        <v>0.02</v>
      </c>
      <c r="M25" s="14">
        <v>0.03</v>
      </c>
      <c r="N25" s="14">
        <v>0.03</v>
      </c>
      <c r="O25" s="14">
        <v>0.02</v>
      </c>
      <c r="P25" s="14">
        <v>0.02</v>
      </c>
      <c r="Q25" s="14">
        <v>0.03</v>
      </c>
      <c r="R25" s="14">
        <v>0.04</v>
      </c>
      <c r="S25" s="14">
        <v>0.01</v>
      </c>
      <c r="T25" s="14">
        <v>0.01</v>
      </c>
      <c r="U25" s="14">
        <v>0.03</v>
      </c>
      <c r="V25" s="14">
        <v>0.01</v>
      </c>
      <c r="W25" s="14">
        <v>0.02</v>
      </c>
      <c r="X25" s="14">
        <v>0.02</v>
      </c>
      <c r="Y25" s="14">
        <v>0.02</v>
      </c>
      <c r="Z25" s="14">
        <v>0.02</v>
      </c>
      <c r="AA25" s="14">
        <v>0.02</v>
      </c>
      <c r="AB25" s="14">
        <v>0.04</v>
      </c>
      <c r="AC25" s="14">
        <v>0.02</v>
      </c>
      <c r="AD25" s="14">
        <v>0.02</v>
      </c>
      <c r="AE25" s="14">
        <v>0.01</v>
      </c>
      <c r="AF25" s="14">
        <v>0.01</v>
      </c>
    </row>
    <row r="26" spans="1:32">
      <c r="A26" s="19"/>
      <c r="B26" s="11" t="s">
        <v>420</v>
      </c>
      <c r="C26" s="12">
        <v>857</v>
      </c>
      <c r="D26" s="12">
        <v>35</v>
      </c>
      <c r="E26" s="12">
        <v>35</v>
      </c>
      <c r="F26" s="12">
        <v>129</v>
      </c>
      <c r="G26" s="12">
        <v>43</v>
      </c>
      <c r="H26" s="12">
        <v>30</v>
      </c>
      <c r="I26" s="12">
        <v>40</v>
      </c>
      <c r="J26" s="12">
        <v>10</v>
      </c>
      <c r="K26" s="12">
        <v>59</v>
      </c>
      <c r="L26" s="12">
        <v>16</v>
      </c>
      <c r="M26" s="12">
        <v>15</v>
      </c>
      <c r="N26" s="12">
        <v>14</v>
      </c>
      <c r="O26" s="12">
        <v>29</v>
      </c>
      <c r="P26" s="12">
        <v>31</v>
      </c>
      <c r="Q26" s="12">
        <v>43</v>
      </c>
      <c r="R26" s="12">
        <v>1</v>
      </c>
      <c r="S26" s="12">
        <v>22</v>
      </c>
      <c r="T26" s="12">
        <v>20</v>
      </c>
      <c r="U26" s="12">
        <v>16</v>
      </c>
      <c r="V26" s="12">
        <v>41</v>
      </c>
      <c r="W26" s="12">
        <v>10</v>
      </c>
      <c r="X26" s="12">
        <v>52</v>
      </c>
      <c r="Y26" s="12">
        <v>40</v>
      </c>
      <c r="Z26" s="12">
        <v>33</v>
      </c>
      <c r="AA26" s="12">
        <v>22</v>
      </c>
      <c r="AB26" s="12">
        <v>49</v>
      </c>
      <c r="AC26" s="12">
        <v>23</v>
      </c>
      <c r="AD26" s="12">
        <v>30</v>
      </c>
      <c r="AE26" s="12">
        <v>23</v>
      </c>
      <c r="AF26" s="12">
        <v>20</v>
      </c>
    </row>
    <row r="27" spans="1:32">
      <c r="A27" s="19"/>
      <c r="B27" s="13" t="s">
        <v>421</v>
      </c>
      <c r="C27" s="14">
        <v>0.03</v>
      </c>
      <c r="D27" s="14">
        <v>0.03</v>
      </c>
      <c r="E27" s="14">
        <v>0.03</v>
      </c>
      <c r="F27" s="14">
        <v>0.12</v>
      </c>
      <c r="G27" s="14">
        <v>0.04</v>
      </c>
      <c r="H27" s="14">
        <v>0.02</v>
      </c>
      <c r="I27" s="14">
        <v>0.03</v>
      </c>
      <c r="J27" s="14">
        <v>0.03</v>
      </c>
      <c r="K27" s="14">
        <v>0.06</v>
      </c>
      <c r="L27" s="14">
        <v>0.02</v>
      </c>
      <c r="M27" s="14">
        <v>0.02</v>
      </c>
      <c r="N27" s="14">
        <v>0.02</v>
      </c>
      <c r="O27" s="14">
        <v>0.03</v>
      </c>
      <c r="P27" s="14">
        <v>0.03</v>
      </c>
      <c r="Q27" s="14">
        <v>0.04</v>
      </c>
      <c r="R27" s="15" t="s">
        <v>375</v>
      </c>
      <c r="S27" s="14">
        <v>0.02</v>
      </c>
      <c r="T27" s="14">
        <v>0.02</v>
      </c>
      <c r="U27" s="14">
        <v>0.03</v>
      </c>
      <c r="V27" s="14">
        <v>0.04</v>
      </c>
      <c r="W27" s="14">
        <v>0.02</v>
      </c>
      <c r="X27" s="14">
        <v>0.05</v>
      </c>
      <c r="Y27" s="14">
        <v>0.04</v>
      </c>
      <c r="Z27" s="14">
        <v>0.03</v>
      </c>
      <c r="AA27" s="14">
        <v>0.02</v>
      </c>
      <c r="AB27" s="14">
        <v>0.05</v>
      </c>
      <c r="AC27" s="14">
        <v>0.02</v>
      </c>
      <c r="AD27" s="14">
        <v>0.03</v>
      </c>
      <c r="AE27" s="14">
        <v>0.02</v>
      </c>
      <c r="AF27" s="14">
        <v>0.02</v>
      </c>
    </row>
    <row r="28" spans="1:32">
      <c r="A28" s="19"/>
      <c r="B28" s="11" t="s">
        <v>422</v>
      </c>
      <c r="C28" s="12">
        <v>497</v>
      </c>
      <c r="D28" s="12">
        <v>19</v>
      </c>
      <c r="E28" s="12">
        <v>45</v>
      </c>
      <c r="F28" s="12">
        <v>12</v>
      </c>
      <c r="G28" s="12">
        <v>29</v>
      </c>
      <c r="H28" s="12">
        <v>12</v>
      </c>
      <c r="I28" s="12">
        <v>15</v>
      </c>
      <c r="J28" s="12">
        <v>4</v>
      </c>
      <c r="K28" s="12">
        <v>16</v>
      </c>
      <c r="L28" s="12">
        <v>16</v>
      </c>
      <c r="M28" s="12">
        <v>32</v>
      </c>
      <c r="N28" s="12">
        <v>13</v>
      </c>
      <c r="O28" s="12">
        <v>21</v>
      </c>
      <c r="P28" s="12">
        <v>29</v>
      </c>
      <c r="Q28" s="12">
        <v>34</v>
      </c>
      <c r="R28" s="12">
        <v>10</v>
      </c>
      <c r="S28" s="12">
        <v>10</v>
      </c>
      <c r="T28" s="12">
        <v>7</v>
      </c>
      <c r="U28" s="12">
        <v>14</v>
      </c>
      <c r="V28" s="12">
        <v>16</v>
      </c>
      <c r="W28" s="12">
        <v>17</v>
      </c>
      <c r="X28" s="12">
        <v>7</v>
      </c>
      <c r="Y28" s="12">
        <v>30</v>
      </c>
      <c r="Z28" s="12">
        <v>20</v>
      </c>
      <c r="AA28" s="12">
        <v>7</v>
      </c>
      <c r="AB28" s="12">
        <v>30</v>
      </c>
      <c r="AC28" s="12">
        <v>10</v>
      </c>
      <c r="AD28" s="12">
        <v>20</v>
      </c>
      <c r="AE28" s="12">
        <v>5</v>
      </c>
      <c r="AF28" s="12">
        <v>9</v>
      </c>
    </row>
    <row r="29" spans="1:32">
      <c r="A29" s="19"/>
      <c r="B29" s="13" t="s">
        <v>423</v>
      </c>
      <c r="C29" s="14">
        <v>0.02</v>
      </c>
      <c r="D29" s="14">
        <v>0.02</v>
      </c>
      <c r="E29" s="14">
        <v>0.04</v>
      </c>
      <c r="F29" s="14">
        <v>0.01</v>
      </c>
      <c r="G29" s="14">
        <v>0.03</v>
      </c>
      <c r="H29" s="14">
        <v>0.01</v>
      </c>
      <c r="I29" s="14">
        <v>0.01</v>
      </c>
      <c r="J29" s="14">
        <v>0.01</v>
      </c>
      <c r="K29" s="14">
        <v>0.01</v>
      </c>
      <c r="L29" s="14">
        <v>0.02</v>
      </c>
      <c r="M29" s="14">
        <v>0.03</v>
      </c>
      <c r="N29" s="14">
        <v>0.01</v>
      </c>
      <c r="O29" s="14">
        <v>0.02</v>
      </c>
      <c r="P29" s="14">
        <v>0.03</v>
      </c>
      <c r="Q29" s="14">
        <v>0.03</v>
      </c>
      <c r="R29" s="14">
        <v>0.02</v>
      </c>
      <c r="S29" s="14">
        <v>0.01</v>
      </c>
      <c r="T29" s="14">
        <v>0.01</v>
      </c>
      <c r="U29" s="14">
        <v>0.03</v>
      </c>
      <c r="V29" s="14">
        <v>0.02</v>
      </c>
      <c r="W29" s="14">
        <v>0.03</v>
      </c>
      <c r="X29" s="14">
        <v>0.01</v>
      </c>
      <c r="Y29" s="14">
        <v>0.03</v>
      </c>
      <c r="Z29" s="14">
        <v>0.02</v>
      </c>
      <c r="AA29" s="14">
        <v>0.01</v>
      </c>
      <c r="AB29" s="14">
        <v>0.03</v>
      </c>
      <c r="AC29" s="14">
        <v>0.01</v>
      </c>
      <c r="AD29" s="14">
        <v>0.02</v>
      </c>
      <c r="AE29" s="14">
        <v>0.01</v>
      </c>
      <c r="AF29" s="14">
        <v>0.01</v>
      </c>
    </row>
    <row r="30" spans="1:32">
      <c r="A30" s="19"/>
      <c r="B30" s="11" t="s">
        <v>424</v>
      </c>
      <c r="C30" s="12">
        <v>2117</v>
      </c>
      <c r="D30" s="12">
        <v>169</v>
      </c>
      <c r="E30" s="12">
        <v>22</v>
      </c>
      <c r="F30" s="12">
        <v>124</v>
      </c>
      <c r="G30" s="12">
        <v>70</v>
      </c>
      <c r="H30" s="12">
        <v>148</v>
      </c>
      <c r="I30" s="12">
        <v>192</v>
      </c>
      <c r="J30" s="12">
        <v>44</v>
      </c>
      <c r="K30" s="12">
        <v>27</v>
      </c>
      <c r="L30" s="12">
        <v>206</v>
      </c>
      <c r="M30" s="12">
        <v>39</v>
      </c>
      <c r="N30" s="12">
        <v>66</v>
      </c>
      <c r="O30" s="12">
        <v>69</v>
      </c>
      <c r="P30" s="12">
        <v>52</v>
      </c>
      <c r="Q30" s="12">
        <v>46</v>
      </c>
      <c r="R30" s="12">
        <v>89</v>
      </c>
      <c r="S30" s="12">
        <v>38</v>
      </c>
      <c r="T30" s="12">
        <v>50</v>
      </c>
      <c r="U30" s="12">
        <v>48</v>
      </c>
      <c r="V30" s="12">
        <v>62</v>
      </c>
      <c r="W30" s="12">
        <v>62</v>
      </c>
      <c r="X30" s="12">
        <v>154</v>
      </c>
      <c r="Y30" s="12">
        <v>111</v>
      </c>
      <c r="Z30" s="12">
        <v>72</v>
      </c>
      <c r="AA30" s="12">
        <v>40</v>
      </c>
      <c r="AB30" s="12">
        <v>34</v>
      </c>
      <c r="AC30" s="12">
        <v>93</v>
      </c>
      <c r="AD30" s="12">
        <v>43</v>
      </c>
      <c r="AE30" s="12">
        <v>33</v>
      </c>
      <c r="AF30" s="12">
        <v>48</v>
      </c>
    </row>
    <row r="31" spans="1:32">
      <c r="A31" s="19"/>
      <c r="B31" s="13" t="s">
        <v>425</v>
      </c>
      <c r="C31" s="14">
        <v>0.08</v>
      </c>
      <c r="D31" s="14">
        <v>0.17</v>
      </c>
      <c r="E31" s="14">
        <v>0.02</v>
      </c>
      <c r="F31" s="14">
        <v>0.12</v>
      </c>
      <c r="G31" s="14">
        <v>7.0000000000000007E-2</v>
      </c>
      <c r="H31" s="14">
        <v>0.12</v>
      </c>
      <c r="I31" s="14">
        <v>0.13</v>
      </c>
      <c r="J31" s="14">
        <v>0.15</v>
      </c>
      <c r="K31" s="14">
        <v>0.03</v>
      </c>
      <c r="L31" s="14">
        <v>0.21</v>
      </c>
      <c r="M31" s="14">
        <v>0.04</v>
      </c>
      <c r="N31" s="14">
        <v>7.0000000000000007E-2</v>
      </c>
      <c r="O31" s="14">
        <v>7.0000000000000007E-2</v>
      </c>
      <c r="P31" s="14">
        <v>0.05</v>
      </c>
      <c r="Q31" s="14">
        <v>0.05</v>
      </c>
      <c r="R31" s="14">
        <v>0.18</v>
      </c>
      <c r="S31" s="14">
        <v>0.04</v>
      </c>
      <c r="T31" s="14">
        <v>0.05</v>
      </c>
      <c r="U31" s="14">
        <v>0.09</v>
      </c>
      <c r="V31" s="14">
        <v>0.06</v>
      </c>
      <c r="W31" s="14">
        <v>0.12</v>
      </c>
      <c r="X31" s="14">
        <v>0.15</v>
      </c>
      <c r="Y31" s="14">
        <v>0.11</v>
      </c>
      <c r="Z31" s="14">
        <v>7.0000000000000007E-2</v>
      </c>
      <c r="AA31" s="14">
        <v>0.04</v>
      </c>
      <c r="AB31" s="14">
        <v>0.03</v>
      </c>
      <c r="AC31" s="14">
        <v>0.09</v>
      </c>
      <c r="AD31" s="14">
        <v>0.04</v>
      </c>
      <c r="AE31" s="14">
        <v>0.03</v>
      </c>
      <c r="AF31" s="14">
        <v>0.05</v>
      </c>
    </row>
    <row r="32" spans="1:32">
      <c r="A32" s="19"/>
      <c r="B32" s="11" t="s">
        <v>426</v>
      </c>
      <c r="C32" s="12">
        <v>1111</v>
      </c>
      <c r="D32" s="12">
        <v>47</v>
      </c>
      <c r="E32" s="12">
        <v>20</v>
      </c>
      <c r="F32" s="12">
        <v>50</v>
      </c>
      <c r="G32" s="12">
        <v>58</v>
      </c>
      <c r="H32" s="12">
        <v>31</v>
      </c>
      <c r="I32" s="12">
        <v>48</v>
      </c>
      <c r="J32" s="12">
        <v>18</v>
      </c>
      <c r="K32" s="12">
        <v>24</v>
      </c>
      <c r="L32" s="12">
        <v>34</v>
      </c>
      <c r="M32" s="12">
        <v>16</v>
      </c>
      <c r="N32" s="12">
        <v>18</v>
      </c>
      <c r="O32" s="12">
        <v>56</v>
      </c>
      <c r="P32" s="12">
        <v>42</v>
      </c>
      <c r="Q32" s="12">
        <v>72</v>
      </c>
      <c r="R32" s="12">
        <v>13</v>
      </c>
      <c r="S32" s="12">
        <v>14</v>
      </c>
      <c r="T32" s="12">
        <v>10</v>
      </c>
      <c r="U32" s="12">
        <v>23</v>
      </c>
      <c r="V32" s="12">
        <v>30</v>
      </c>
      <c r="W32" s="12">
        <v>22</v>
      </c>
      <c r="X32" s="12">
        <v>30</v>
      </c>
      <c r="Y32" s="12">
        <v>40</v>
      </c>
      <c r="Z32" s="12">
        <v>54</v>
      </c>
      <c r="AA32" s="12">
        <v>30</v>
      </c>
      <c r="AB32" s="12">
        <v>39</v>
      </c>
      <c r="AC32" s="12">
        <v>31</v>
      </c>
      <c r="AD32" s="12">
        <v>22</v>
      </c>
      <c r="AE32" s="12">
        <v>28</v>
      </c>
      <c r="AF32" s="12">
        <v>76</v>
      </c>
    </row>
    <row r="33" spans="1:32">
      <c r="A33" s="19"/>
      <c r="B33" s="13" t="s">
        <v>427</v>
      </c>
      <c r="C33" s="14">
        <v>0.04</v>
      </c>
      <c r="D33" s="14">
        <v>0.05</v>
      </c>
      <c r="E33" s="14">
        <v>0.02</v>
      </c>
      <c r="F33" s="14">
        <v>0.05</v>
      </c>
      <c r="G33" s="14">
        <v>0.06</v>
      </c>
      <c r="H33" s="14">
        <v>0.03</v>
      </c>
      <c r="I33" s="14">
        <v>0.03</v>
      </c>
      <c r="J33" s="14">
        <v>0.06</v>
      </c>
      <c r="K33" s="14">
        <v>0.02</v>
      </c>
      <c r="L33" s="14">
        <v>0.03</v>
      </c>
      <c r="M33" s="14">
        <v>0.02</v>
      </c>
      <c r="N33" s="14">
        <v>0.02</v>
      </c>
      <c r="O33" s="14">
        <v>0.05</v>
      </c>
      <c r="P33" s="14">
        <v>0.04</v>
      </c>
      <c r="Q33" s="14">
        <v>7.0000000000000007E-2</v>
      </c>
      <c r="R33" s="14">
        <v>0.03</v>
      </c>
      <c r="S33" s="14">
        <v>0.01</v>
      </c>
      <c r="T33" s="14">
        <v>0.01</v>
      </c>
      <c r="U33" s="14">
        <v>0.04</v>
      </c>
      <c r="V33" s="14">
        <v>0.03</v>
      </c>
      <c r="W33" s="14">
        <v>0.04</v>
      </c>
      <c r="X33" s="14">
        <v>0.03</v>
      </c>
      <c r="Y33" s="14">
        <v>0.04</v>
      </c>
      <c r="Z33" s="14">
        <v>0.05</v>
      </c>
      <c r="AA33" s="14">
        <v>0.03</v>
      </c>
      <c r="AB33" s="14">
        <v>0.04</v>
      </c>
      <c r="AC33" s="14">
        <v>0.03</v>
      </c>
      <c r="AD33" s="14">
        <v>0.02</v>
      </c>
      <c r="AE33" s="14">
        <v>0.03</v>
      </c>
      <c r="AF33" s="14">
        <v>7.0000000000000007E-2</v>
      </c>
    </row>
    <row r="34" spans="1:32">
      <c r="A34" s="19"/>
      <c r="B34" s="11" t="s">
        <v>428</v>
      </c>
      <c r="C34" s="12">
        <v>1915</v>
      </c>
      <c r="D34" s="12">
        <v>55</v>
      </c>
      <c r="E34" s="12">
        <v>55</v>
      </c>
      <c r="F34" s="12">
        <v>64</v>
      </c>
      <c r="G34" s="12">
        <v>83</v>
      </c>
      <c r="H34" s="12">
        <v>173</v>
      </c>
      <c r="I34" s="12">
        <v>201</v>
      </c>
      <c r="J34" s="12">
        <v>29</v>
      </c>
      <c r="K34" s="12">
        <v>31</v>
      </c>
      <c r="L34" s="12">
        <v>29</v>
      </c>
      <c r="M34" s="12">
        <v>73</v>
      </c>
      <c r="N34" s="12">
        <v>51</v>
      </c>
      <c r="O34" s="12">
        <v>44</v>
      </c>
      <c r="P34" s="12">
        <v>38</v>
      </c>
      <c r="Q34" s="12">
        <v>42</v>
      </c>
      <c r="R34" s="12">
        <v>55</v>
      </c>
      <c r="S34" s="12">
        <v>54</v>
      </c>
      <c r="T34" s="12">
        <v>29</v>
      </c>
      <c r="U34" s="12">
        <v>28</v>
      </c>
      <c r="V34" s="12">
        <v>75</v>
      </c>
      <c r="W34" s="12">
        <v>34</v>
      </c>
      <c r="X34" s="12">
        <v>97</v>
      </c>
      <c r="Y34" s="12">
        <v>87</v>
      </c>
      <c r="Z34" s="12">
        <v>66</v>
      </c>
      <c r="AA34" s="12">
        <v>29</v>
      </c>
      <c r="AB34" s="12">
        <v>92</v>
      </c>
      <c r="AC34" s="12">
        <v>48</v>
      </c>
      <c r="AD34" s="12">
        <v>80</v>
      </c>
      <c r="AE34" s="12">
        <v>101</v>
      </c>
      <c r="AF34" s="12">
        <v>138</v>
      </c>
    </row>
    <row r="35" spans="1:32">
      <c r="A35" s="19"/>
      <c r="B35" s="13" t="s">
        <v>429</v>
      </c>
      <c r="C35" s="14">
        <v>7.0000000000000007E-2</v>
      </c>
      <c r="D35" s="14">
        <v>0.05</v>
      </c>
      <c r="E35" s="14">
        <v>0.05</v>
      </c>
      <c r="F35" s="14">
        <v>0.06</v>
      </c>
      <c r="G35" s="14">
        <v>0.08</v>
      </c>
      <c r="H35" s="14">
        <v>0.14000000000000001</v>
      </c>
      <c r="I35" s="14">
        <v>0.13</v>
      </c>
      <c r="J35" s="14">
        <v>0.1</v>
      </c>
      <c r="K35" s="14">
        <v>0.03</v>
      </c>
      <c r="L35" s="14">
        <v>0.03</v>
      </c>
      <c r="M35" s="14">
        <v>7.0000000000000007E-2</v>
      </c>
      <c r="N35" s="14">
        <v>0.05</v>
      </c>
      <c r="O35" s="14">
        <v>0.04</v>
      </c>
      <c r="P35" s="14">
        <v>0.04</v>
      </c>
      <c r="Q35" s="14">
        <v>0.04</v>
      </c>
      <c r="R35" s="14">
        <v>0.11</v>
      </c>
      <c r="S35" s="14">
        <v>0.05</v>
      </c>
      <c r="T35" s="14">
        <v>0.03</v>
      </c>
      <c r="U35" s="14">
        <v>0.05</v>
      </c>
      <c r="V35" s="14">
        <v>7.0000000000000007E-2</v>
      </c>
      <c r="W35" s="14">
        <v>7.0000000000000007E-2</v>
      </c>
      <c r="X35" s="14">
        <v>0.1</v>
      </c>
      <c r="Y35" s="14">
        <v>0.09</v>
      </c>
      <c r="Z35" s="14">
        <v>7.0000000000000007E-2</v>
      </c>
      <c r="AA35" s="14">
        <v>0.03</v>
      </c>
      <c r="AB35" s="14">
        <v>0.09</v>
      </c>
      <c r="AC35" s="14">
        <v>0.05</v>
      </c>
      <c r="AD35" s="14">
        <v>0.08</v>
      </c>
      <c r="AE35" s="14">
        <v>0.1</v>
      </c>
      <c r="AF35" s="14">
        <v>0.13</v>
      </c>
    </row>
    <row r="36" spans="1:32">
      <c r="A36" s="19"/>
      <c r="B36" s="11" t="s">
        <v>430</v>
      </c>
      <c r="C36" s="12">
        <v>3595</v>
      </c>
      <c r="D36" s="12">
        <v>139</v>
      </c>
      <c r="E36" s="12">
        <v>58</v>
      </c>
      <c r="F36" s="12">
        <v>190</v>
      </c>
      <c r="G36" s="12">
        <v>251</v>
      </c>
      <c r="H36" s="12">
        <v>239</v>
      </c>
      <c r="I36" s="12">
        <v>277</v>
      </c>
      <c r="J36" s="12">
        <v>38</v>
      </c>
      <c r="K36" s="12">
        <v>227</v>
      </c>
      <c r="L36" s="12">
        <v>58</v>
      </c>
      <c r="M36" s="12">
        <v>56</v>
      </c>
      <c r="N36" s="12">
        <v>53</v>
      </c>
      <c r="O36" s="12">
        <v>111</v>
      </c>
      <c r="P36" s="12">
        <v>82</v>
      </c>
      <c r="Q36" s="12">
        <v>130</v>
      </c>
      <c r="R36" s="12">
        <v>63</v>
      </c>
      <c r="S36" s="12">
        <v>221</v>
      </c>
      <c r="T36" s="12">
        <v>268</v>
      </c>
      <c r="U36" s="12">
        <v>80</v>
      </c>
      <c r="V36" s="12">
        <v>109</v>
      </c>
      <c r="W36" s="12">
        <v>29</v>
      </c>
      <c r="X36" s="12">
        <v>224</v>
      </c>
      <c r="Y36" s="12">
        <v>81</v>
      </c>
      <c r="Z36" s="12">
        <v>227</v>
      </c>
      <c r="AA36" s="12">
        <v>64</v>
      </c>
      <c r="AB36" s="12">
        <v>95</v>
      </c>
      <c r="AC36" s="12">
        <v>80</v>
      </c>
      <c r="AD36" s="12">
        <v>125</v>
      </c>
      <c r="AE36" s="12">
        <v>240</v>
      </c>
      <c r="AF36" s="12">
        <v>153</v>
      </c>
    </row>
    <row r="37" spans="1:32">
      <c r="A37" s="19"/>
      <c r="B37" s="13" t="s">
        <v>431</v>
      </c>
      <c r="C37" s="14">
        <v>0.14000000000000001</v>
      </c>
      <c r="D37" s="14">
        <v>0.14000000000000001</v>
      </c>
      <c r="E37" s="14">
        <v>0.06</v>
      </c>
      <c r="F37" s="14">
        <v>0.18</v>
      </c>
      <c r="G37" s="14">
        <v>0.25</v>
      </c>
      <c r="H37" s="14">
        <v>0.2</v>
      </c>
      <c r="I37" s="14">
        <v>0.18</v>
      </c>
      <c r="J37" s="14">
        <v>0.13</v>
      </c>
      <c r="K37" s="14">
        <v>0.22</v>
      </c>
      <c r="L37" s="14">
        <v>0.06</v>
      </c>
      <c r="M37" s="14">
        <v>0.06</v>
      </c>
      <c r="N37" s="14">
        <v>0.05</v>
      </c>
      <c r="O37" s="14">
        <v>0.11</v>
      </c>
      <c r="P37" s="14">
        <v>0.08</v>
      </c>
      <c r="Q37" s="14">
        <v>0.13</v>
      </c>
      <c r="R37" s="14">
        <v>0.13</v>
      </c>
      <c r="S37" s="14">
        <v>0.22</v>
      </c>
      <c r="T37" s="14">
        <v>0.26</v>
      </c>
      <c r="U37" s="14">
        <v>0.16</v>
      </c>
      <c r="V37" s="14">
        <v>0.11</v>
      </c>
      <c r="W37" s="14">
        <v>0.06</v>
      </c>
      <c r="X37" s="14">
        <v>0.22</v>
      </c>
      <c r="Y37" s="14">
        <v>0.08</v>
      </c>
      <c r="Z37" s="14">
        <v>0.22</v>
      </c>
      <c r="AA37" s="14">
        <v>0.06</v>
      </c>
      <c r="AB37" s="14">
        <v>0.09</v>
      </c>
      <c r="AC37" s="14">
        <v>0.08</v>
      </c>
      <c r="AD37" s="14">
        <v>0.13</v>
      </c>
      <c r="AE37" s="14">
        <v>0.24</v>
      </c>
      <c r="AF37" s="14">
        <v>0.15</v>
      </c>
    </row>
    <row r="38" spans="1:32">
      <c r="A38" s="19"/>
      <c r="B38" s="11" t="s">
        <v>432</v>
      </c>
      <c r="C38" s="12">
        <v>1157</v>
      </c>
      <c r="D38" s="12">
        <v>27</v>
      </c>
      <c r="E38" s="12">
        <v>56</v>
      </c>
      <c r="F38" s="12">
        <v>53</v>
      </c>
      <c r="G38" s="12">
        <v>43</v>
      </c>
      <c r="H38" s="12">
        <v>32</v>
      </c>
      <c r="I38" s="12">
        <v>48</v>
      </c>
      <c r="J38" s="12">
        <v>16</v>
      </c>
      <c r="K38" s="12">
        <v>50</v>
      </c>
      <c r="L38" s="12">
        <v>21</v>
      </c>
      <c r="M38" s="12">
        <v>34</v>
      </c>
      <c r="N38" s="12">
        <v>44</v>
      </c>
      <c r="O38" s="12">
        <v>40</v>
      </c>
      <c r="P38" s="12">
        <v>75</v>
      </c>
      <c r="Q38" s="12">
        <v>35</v>
      </c>
      <c r="R38" s="12">
        <v>4</v>
      </c>
      <c r="S38" s="12">
        <v>24</v>
      </c>
      <c r="T38" s="12">
        <v>32</v>
      </c>
      <c r="U38" s="12">
        <v>19</v>
      </c>
      <c r="V38" s="12">
        <v>70</v>
      </c>
      <c r="W38" s="12">
        <v>15</v>
      </c>
      <c r="X38" s="12">
        <v>29</v>
      </c>
      <c r="Y38" s="12">
        <v>43</v>
      </c>
      <c r="Z38" s="12">
        <v>75</v>
      </c>
      <c r="AA38" s="12">
        <v>42</v>
      </c>
      <c r="AB38" s="12">
        <v>70</v>
      </c>
      <c r="AC38" s="12">
        <v>145</v>
      </c>
      <c r="AD38" s="12">
        <v>85</v>
      </c>
      <c r="AE38" s="12">
        <v>79</v>
      </c>
      <c r="AF38" s="12">
        <v>51</v>
      </c>
    </row>
    <row r="39" spans="1:32">
      <c r="A39" s="19"/>
      <c r="B39" s="13" t="s">
        <v>433</v>
      </c>
      <c r="C39" s="14">
        <v>0.04</v>
      </c>
      <c r="D39" s="14">
        <v>0.03</v>
      </c>
      <c r="E39" s="14">
        <v>0.06</v>
      </c>
      <c r="F39" s="14">
        <v>0.05</v>
      </c>
      <c r="G39" s="14">
        <v>0.04</v>
      </c>
      <c r="H39" s="14">
        <v>0.03</v>
      </c>
      <c r="I39" s="14">
        <v>0.03</v>
      </c>
      <c r="J39" s="14">
        <v>0.05</v>
      </c>
      <c r="K39" s="14">
        <v>0.05</v>
      </c>
      <c r="L39" s="14">
        <v>0.02</v>
      </c>
      <c r="M39" s="14">
        <v>0.03</v>
      </c>
      <c r="N39" s="14">
        <v>0.04</v>
      </c>
      <c r="O39" s="14">
        <v>0.04</v>
      </c>
      <c r="P39" s="14">
        <v>0.08</v>
      </c>
      <c r="Q39" s="14">
        <v>0.03</v>
      </c>
      <c r="R39" s="14">
        <v>0.01</v>
      </c>
      <c r="S39" s="14">
        <v>0.02</v>
      </c>
      <c r="T39" s="14">
        <v>0.03</v>
      </c>
      <c r="U39" s="14">
        <v>0.04</v>
      </c>
      <c r="V39" s="14">
        <v>7.0000000000000007E-2</v>
      </c>
      <c r="W39" s="14">
        <v>0.03</v>
      </c>
      <c r="X39" s="14">
        <v>0.03</v>
      </c>
      <c r="Y39" s="14">
        <v>0.04</v>
      </c>
      <c r="Z39" s="14">
        <v>7.0000000000000007E-2</v>
      </c>
      <c r="AA39" s="14">
        <v>0.04</v>
      </c>
      <c r="AB39" s="14">
        <v>7.0000000000000007E-2</v>
      </c>
      <c r="AC39" s="14">
        <v>0.15</v>
      </c>
      <c r="AD39" s="14">
        <v>0.09</v>
      </c>
      <c r="AE39" s="14">
        <v>0.08</v>
      </c>
      <c r="AF39" s="14">
        <v>0.05</v>
      </c>
    </row>
    <row r="40" spans="1:32">
      <c r="A40" s="19"/>
      <c r="B40" s="11" t="s">
        <v>434</v>
      </c>
      <c r="C40" s="12">
        <v>560</v>
      </c>
      <c r="D40" s="12">
        <v>11</v>
      </c>
      <c r="E40" s="12">
        <v>17</v>
      </c>
      <c r="F40" s="12">
        <v>11</v>
      </c>
      <c r="G40" s="12">
        <v>33</v>
      </c>
      <c r="H40" s="12">
        <v>17</v>
      </c>
      <c r="I40" s="12">
        <v>25</v>
      </c>
      <c r="J40" s="12">
        <v>8</v>
      </c>
      <c r="K40" s="12">
        <v>16</v>
      </c>
      <c r="L40" s="12">
        <v>21</v>
      </c>
      <c r="M40" s="12">
        <v>4</v>
      </c>
      <c r="N40" s="12">
        <v>20</v>
      </c>
      <c r="O40" s="12">
        <v>26</v>
      </c>
      <c r="P40" s="12">
        <v>20</v>
      </c>
      <c r="Q40" s="12">
        <v>23</v>
      </c>
      <c r="R40" s="12">
        <v>4</v>
      </c>
      <c r="S40" s="12">
        <v>7</v>
      </c>
      <c r="T40" s="12">
        <v>7</v>
      </c>
      <c r="U40" s="12">
        <v>9</v>
      </c>
      <c r="V40" s="12">
        <v>22</v>
      </c>
      <c r="W40" s="12">
        <v>10</v>
      </c>
      <c r="X40" s="12">
        <v>12</v>
      </c>
      <c r="Y40" s="12">
        <v>35</v>
      </c>
      <c r="Z40" s="12">
        <v>29</v>
      </c>
      <c r="AA40" s="12">
        <v>30</v>
      </c>
      <c r="AB40" s="12">
        <v>22</v>
      </c>
      <c r="AC40" s="12">
        <v>12</v>
      </c>
      <c r="AD40" s="12">
        <v>13</v>
      </c>
      <c r="AE40" s="12">
        <v>17</v>
      </c>
      <c r="AF40" s="12">
        <v>54</v>
      </c>
    </row>
    <row r="41" spans="1:32">
      <c r="A41" s="19"/>
      <c r="B41" s="13" t="s">
        <v>435</v>
      </c>
      <c r="C41" s="14">
        <v>0.02</v>
      </c>
      <c r="D41" s="14">
        <v>0.01</v>
      </c>
      <c r="E41" s="14">
        <v>0.02</v>
      </c>
      <c r="F41" s="14">
        <v>0.01</v>
      </c>
      <c r="G41" s="14">
        <v>0.03</v>
      </c>
      <c r="H41" s="14">
        <v>0.01</v>
      </c>
      <c r="I41" s="14">
        <v>0.02</v>
      </c>
      <c r="J41" s="14">
        <v>0.03</v>
      </c>
      <c r="K41" s="14">
        <v>0.02</v>
      </c>
      <c r="L41" s="14">
        <v>0.02</v>
      </c>
      <c r="M41" s="15" t="s">
        <v>375</v>
      </c>
      <c r="N41" s="14">
        <v>0.02</v>
      </c>
      <c r="O41" s="14">
        <v>0.03</v>
      </c>
      <c r="P41" s="14">
        <v>0.02</v>
      </c>
      <c r="Q41" s="14">
        <v>0.02</v>
      </c>
      <c r="R41" s="14">
        <v>0.01</v>
      </c>
      <c r="S41" s="14">
        <v>0.01</v>
      </c>
      <c r="T41" s="14">
        <v>0.01</v>
      </c>
      <c r="U41" s="14">
        <v>0.02</v>
      </c>
      <c r="V41" s="14">
        <v>0.02</v>
      </c>
      <c r="W41" s="14">
        <v>0.02</v>
      </c>
      <c r="X41" s="14">
        <v>0.01</v>
      </c>
      <c r="Y41" s="14">
        <v>0.04</v>
      </c>
      <c r="Z41" s="14">
        <v>0.03</v>
      </c>
      <c r="AA41" s="14">
        <v>0.03</v>
      </c>
      <c r="AB41" s="14">
        <v>0.02</v>
      </c>
      <c r="AC41" s="14">
        <v>0.01</v>
      </c>
      <c r="AD41" s="14">
        <v>0.01</v>
      </c>
      <c r="AE41" s="14">
        <v>0.02</v>
      </c>
      <c r="AF41" s="14">
        <v>0.05</v>
      </c>
    </row>
    <row r="42" spans="1:32">
      <c r="A42" s="19"/>
      <c r="B42" s="11" t="s">
        <v>436</v>
      </c>
      <c r="C42" s="12">
        <v>102</v>
      </c>
      <c r="D42" s="12">
        <v>0</v>
      </c>
      <c r="E42" s="12">
        <v>2</v>
      </c>
      <c r="F42" s="12">
        <v>3</v>
      </c>
      <c r="G42" s="12">
        <v>2</v>
      </c>
      <c r="H42" s="12">
        <v>17</v>
      </c>
      <c r="I42" s="12">
        <v>17</v>
      </c>
      <c r="J42" s="12">
        <v>0</v>
      </c>
      <c r="K42" s="12">
        <v>9</v>
      </c>
      <c r="L42" s="12">
        <v>0</v>
      </c>
      <c r="M42" s="12">
        <v>2</v>
      </c>
      <c r="N42" s="12">
        <v>3</v>
      </c>
      <c r="O42" s="12">
        <v>4</v>
      </c>
      <c r="P42" s="12">
        <v>4</v>
      </c>
      <c r="Q42" s="12">
        <v>2</v>
      </c>
      <c r="R42" s="12">
        <v>3</v>
      </c>
      <c r="S42" s="12">
        <v>8</v>
      </c>
      <c r="T42" s="12">
        <v>1</v>
      </c>
      <c r="U42" s="12">
        <v>1</v>
      </c>
      <c r="V42" s="12">
        <v>0</v>
      </c>
      <c r="W42" s="12">
        <v>0</v>
      </c>
      <c r="X42" s="12">
        <v>1</v>
      </c>
      <c r="Y42" s="12">
        <v>9</v>
      </c>
      <c r="Z42" s="12">
        <v>0</v>
      </c>
      <c r="AA42" s="12">
        <v>3</v>
      </c>
      <c r="AB42" s="12">
        <v>0</v>
      </c>
      <c r="AC42" s="12">
        <v>2</v>
      </c>
      <c r="AD42" s="12">
        <v>0</v>
      </c>
      <c r="AE42" s="12">
        <v>2</v>
      </c>
      <c r="AF42" s="12">
        <v>2</v>
      </c>
    </row>
    <row r="43" spans="1:32">
      <c r="A43" s="19"/>
      <c r="B43" s="13" t="s">
        <v>437</v>
      </c>
      <c r="C43" s="15" t="s">
        <v>375</v>
      </c>
      <c r="D43" s="15" t="s">
        <v>375</v>
      </c>
      <c r="E43" s="15" t="s">
        <v>375</v>
      </c>
      <c r="F43" s="15" t="s">
        <v>375</v>
      </c>
      <c r="G43" s="15" t="s">
        <v>375</v>
      </c>
      <c r="H43" s="14">
        <v>0.01</v>
      </c>
      <c r="I43" s="14">
        <v>0.01</v>
      </c>
      <c r="J43" s="15" t="s">
        <v>375</v>
      </c>
      <c r="K43" s="14">
        <v>0.01</v>
      </c>
      <c r="L43" s="15" t="s">
        <v>375</v>
      </c>
      <c r="M43" s="15" t="s">
        <v>375</v>
      </c>
      <c r="N43" s="15" t="s">
        <v>375</v>
      </c>
      <c r="O43" s="15" t="s">
        <v>375</v>
      </c>
      <c r="P43" s="15" t="s">
        <v>375</v>
      </c>
      <c r="Q43" s="15" t="s">
        <v>375</v>
      </c>
      <c r="R43" s="15" t="s">
        <v>375</v>
      </c>
      <c r="S43" s="14">
        <v>0.01</v>
      </c>
      <c r="T43" s="15" t="s">
        <v>375</v>
      </c>
      <c r="U43" s="15" t="s">
        <v>375</v>
      </c>
      <c r="V43" s="15" t="s">
        <v>375</v>
      </c>
      <c r="W43" s="15" t="s">
        <v>375</v>
      </c>
      <c r="X43" s="15" t="s">
        <v>375</v>
      </c>
      <c r="Y43" s="14">
        <v>0.01</v>
      </c>
      <c r="Z43" s="15" t="s">
        <v>375</v>
      </c>
      <c r="AA43" s="15" t="s">
        <v>375</v>
      </c>
      <c r="AB43" s="15" t="s">
        <v>375</v>
      </c>
      <c r="AC43" s="15" t="s">
        <v>375</v>
      </c>
      <c r="AD43" s="15" t="s">
        <v>375</v>
      </c>
      <c r="AE43" s="15" t="s">
        <v>375</v>
      </c>
      <c r="AF43" s="15" t="s">
        <v>375</v>
      </c>
    </row>
    <row r="44" spans="1:32">
      <c r="A44" s="19"/>
      <c r="B44" s="11" t="s">
        <v>438</v>
      </c>
      <c r="C44" s="12">
        <v>104</v>
      </c>
      <c r="D44" s="12">
        <v>3</v>
      </c>
      <c r="E44" s="12">
        <v>9</v>
      </c>
      <c r="F44" s="12">
        <v>10</v>
      </c>
      <c r="G44" s="12">
        <v>2</v>
      </c>
      <c r="H44" s="12">
        <v>7</v>
      </c>
      <c r="I44" s="12">
        <v>7</v>
      </c>
      <c r="J44" s="12">
        <v>0</v>
      </c>
      <c r="K44" s="12">
        <v>6</v>
      </c>
      <c r="L44" s="12">
        <v>2</v>
      </c>
      <c r="M44" s="12">
        <v>0</v>
      </c>
      <c r="N44" s="12">
        <v>3</v>
      </c>
      <c r="O44" s="12">
        <v>6</v>
      </c>
      <c r="P44" s="12">
        <v>1</v>
      </c>
      <c r="Q44" s="12">
        <v>3</v>
      </c>
      <c r="R44" s="12">
        <v>1</v>
      </c>
      <c r="S44" s="12">
        <v>3</v>
      </c>
      <c r="T44" s="12">
        <v>5</v>
      </c>
      <c r="U44" s="12">
        <v>0</v>
      </c>
      <c r="V44" s="12">
        <v>0</v>
      </c>
      <c r="W44" s="12">
        <v>2</v>
      </c>
      <c r="X44" s="12">
        <v>10</v>
      </c>
      <c r="Y44" s="12">
        <v>5</v>
      </c>
      <c r="Z44" s="12">
        <v>2</v>
      </c>
      <c r="AA44" s="12">
        <v>0</v>
      </c>
      <c r="AB44" s="12">
        <v>4</v>
      </c>
      <c r="AC44" s="12">
        <v>4</v>
      </c>
      <c r="AD44" s="12">
        <v>0</v>
      </c>
      <c r="AE44" s="12">
        <v>3</v>
      </c>
      <c r="AF44" s="12">
        <v>3</v>
      </c>
    </row>
    <row r="45" spans="1:32">
      <c r="A45" s="19"/>
      <c r="B45" s="13" t="s">
        <v>439</v>
      </c>
      <c r="C45" s="15" t="s">
        <v>375</v>
      </c>
      <c r="D45" s="15" t="s">
        <v>375</v>
      </c>
      <c r="E45" s="14">
        <v>0.01</v>
      </c>
      <c r="F45" s="14">
        <v>0.01</v>
      </c>
      <c r="G45" s="15" t="s">
        <v>375</v>
      </c>
      <c r="H45" s="14">
        <v>0.01</v>
      </c>
      <c r="I45" s="15" t="s">
        <v>375</v>
      </c>
      <c r="J45" s="15" t="s">
        <v>375</v>
      </c>
      <c r="K45" s="15" t="s">
        <v>375</v>
      </c>
      <c r="L45" s="15" t="s">
        <v>375</v>
      </c>
      <c r="M45" s="15" t="s">
        <v>375</v>
      </c>
      <c r="N45" s="15" t="s">
        <v>375</v>
      </c>
      <c r="O45" s="14">
        <v>0.01</v>
      </c>
      <c r="P45" s="15" t="s">
        <v>375</v>
      </c>
      <c r="Q45" s="15" t="s">
        <v>375</v>
      </c>
      <c r="R45" s="15" t="s">
        <v>375</v>
      </c>
      <c r="S45" s="15" t="s">
        <v>375</v>
      </c>
      <c r="T45" s="15" t="s">
        <v>375</v>
      </c>
      <c r="U45" s="15" t="s">
        <v>375</v>
      </c>
      <c r="V45" s="15" t="s">
        <v>375</v>
      </c>
      <c r="W45" s="15" t="s">
        <v>375</v>
      </c>
      <c r="X45" s="14">
        <v>0.01</v>
      </c>
      <c r="Y45" s="15" t="s">
        <v>375</v>
      </c>
      <c r="Z45" s="15" t="s">
        <v>375</v>
      </c>
      <c r="AA45" s="15" t="s">
        <v>375</v>
      </c>
      <c r="AB45" s="15" t="s">
        <v>375</v>
      </c>
      <c r="AC45" s="15" t="s">
        <v>375</v>
      </c>
      <c r="AD45" s="15" t="s">
        <v>375</v>
      </c>
      <c r="AE45" s="15" t="s">
        <v>375</v>
      </c>
      <c r="AF45" s="15" t="s">
        <v>375</v>
      </c>
    </row>
    <row r="46" spans="1:32">
      <c r="A46" s="19"/>
      <c r="B46" s="11" t="s">
        <v>386</v>
      </c>
      <c r="C46" s="12">
        <v>106</v>
      </c>
      <c r="D46" s="12">
        <v>1</v>
      </c>
      <c r="E46" s="12">
        <v>14</v>
      </c>
      <c r="F46" s="12">
        <v>11</v>
      </c>
      <c r="G46" s="12">
        <v>8</v>
      </c>
      <c r="H46" s="12">
        <v>5</v>
      </c>
      <c r="I46" s="12">
        <v>5</v>
      </c>
      <c r="J46" s="12">
        <v>0</v>
      </c>
      <c r="K46" s="12">
        <v>6</v>
      </c>
      <c r="L46" s="12">
        <v>3</v>
      </c>
      <c r="M46" s="12">
        <v>1</v>
      </c>
      <c r="N46" s="12">
        <v>3</v>
      </c>
      <c r="O46" s="12">
        <v>6</v>
      </c>
      <c r="P46" s="12">
        <v>4</v>
      </c>
      <c r="Q46" s="12">
        <v>5</v>
      </c>
      <c r="R46" s="12">
        <v>2</v>
      </c>
      <c r="S46" s="12">
        <v>14</v>
      </c>
      <c r="T46" s="12">
        <v>8</v>
      </c>
      <c r="U46" s="12">
        <v>1</v>
      </c>
      <c r="V46" s="12">
        <v>3</v>
      </c>
      <c r="W46" s="12">
        <v>3</v>
      </c>
      <c r="X46" s="12">
        <v>0</v>
      </c>
      <c r="Y46" s="12">
        <v>1</v>
      </c>
      <c r="Z46" s="12">
        <v>2</v>
      </c>
      <c r="AA46" s="12">
        <v>4</v>
      </c>
      <c r="AB46" s="12">
        <v>11</v>
      </c>
      <c r="AC46" s="12">
        <v>1</v>
      </c>
      <c r="AD46" s="12">
        <v>0</v>
      </c>
      <c r="AE46" s="12">
        <v>1</v>
      </c>
      <c r="AF46" s="12">
        <v>0</v>
      </c>
    </row>
    <row r="47" spans="1:32">
      <c r="A47" s="19"/>
      <c r="B47" s="13" t="s">
        <v>399</v>
      </c>
      <c r="C47" s="14">
        <v>0.01</v>
      </c>
      <c r="D47" s="15" t="s">
        <v>375</v>
      </c>
      <c r="E47" s="14">
        <v>0.01</v>
      </c>
      <c r="F47" s="14">
        <v>0.01</v>
      </c>
      <c r="G47" s="14">
        <v>0.01</v>
      </c>
      <c r="H47" s="15" t="s">
        <v>375</v>
      </c>
      <c r="I47" s="15" t="s">
        <v>375</v>
      </c>
      <c r="J47" s="15" t="s">
        <v>375</v>
      </c>
      <c r="K47" s="14">
        <v>0.01</v>
      </c>
      <c r="L47" s="15" t="s">
        <v>375</v>
      </c>
      <c r="M47" s="15" t="s">
        <v>375</v>
      </c>
      <c r="N47" s="15" t="s">
        <v>375</v>
      </c>
      <c r="O47" s="14">
        <v>0.01</v>
      </c>
      <c r="P47" s="15" t="s">
        <v>375</v>
      </c>
      <c r="Q47" s="14">
        <v>0.01</v>
      </c>
      <c r="R47" s="15" t="s">
        <v>375</v>
      </c>
      <c r="S47" s="14">
        <v>0.02</v>
      </c>
      <c r="T47" s="14">
        <v>0.01</v>
      </c>
      <c r="U47" s="15" t="s">
        <v>375</v>
      </c>
      <c r="V47" s="15" t="s">
        <v>375</v>
      </c>
      <c r="W47" s="14">
        <v>0.01</v>
      </c>
      <c r="X47" s="15" t="s">
        <v>375</v>
      </c>
      <c r="Y47" s="15" t="s">
        <v>375</v>
      </c>
      <c r="Z47" s="15" t="s">
        <v>375</v>
      </c>
      <c r="AA47" s="14">
        <v>0.01</v>
      </c>
      <c r="AB47" s="14">
        <v>0.01</v>
      </c>
      <c r="AC47" s="15" t="s">
        <v>375</v>
      </c>
      <c r="AD47" s="15" t="s">
        <v>375</v>
      </c>
      <c r="AE47" s="15" t="s">
        <v>375</v>
      </c>
      <c r="AF47" s="15" t="s">
        <v>375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21</v>
      </c>
      <c r="C3" s="17"/>
      <c r="D3" s="17"/>
      <c r="E3" s="17"/>
      <c r="F3" s="17"/>
      <c r="H3" s="17" t="s">
        <v>22</v>
      </c>
      <c r="I3" s="17"/>
      <c r="J3" s="17"/>
      <c r="K3" s="17"/>
      <c r="L3" s="17"/>
    </row>
    <row r="4" spans="1:32" ht="27" customHeight="1">
      <c r="B4" s="17"/>
      <c r="C4" s="17"/>
      <c r="D4" s="17"/>
      <c r="E4" s="17"/>
      <c r="F4" s="17"/>
      <c r="H4" s="17"/>
      <c r="I4" s="17"/>
      <c r="J4" s="17"/>
      <c r="K4" s="17"/>
      <c r="L4" s="17"/>
    </row>
    <row r="5" spans="1:32" ht="24" customHeight="1">
      <c r="B5" s="17" t="s">
        <v>440</v>
      </c>
      <c r="C5" s="17"/>
      <c r="D5" s="17"/>
      <c r="E5" s="17"/>
      <c r="F5" s="17"/>
      <c r="H5" s="17" t="s">
        <v>441</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26243</v>
      </c>
      <c r="D10" s="10">
        <v>1017</v>
      </c>
      <c r="E10" s="10">
        <v>1023</v>
      </c>
      <c r="F10" s="10">
        <v>1043</v>
      </c>
      <c r="G10" s="10">
        <v>1005</v>
      </c>
      <c r="H10" s="10">
        <v>1218</v>
      </c>
      <c r="I10" s="10">
        <v>1516</v>
      </c>
      <c r="J10" s="10">
        <v>294</v>
      </c>
      <c r="K10" s="10">
        <v>994</v>
      </c>
      <c r="L10" s="10">
        <v>1002</v>
      </c>
      <c r="M10" s="10">
        <v>1006</v>
      </c>
      <c r="N10" s="10">
        <v>1005</v>
      </c>
      <c r="O10" s="10">
        <v>992</v>
      </c>
      <c r="P10" s="10">
        <v>998</v>
      </c>
      <c r="Q10" s="10">
        <v>1023</v>
      </c>
      <c r="R10" s="10">
        <v>499</v>
      </c>
      <c r="S10" s="10">
        <v>986</v>
      </c>
      <c r="T10" s="10">
        <v>1009</v>
      </c>
      <c r="U10" s="10">
        <v>507</v>
      </c>
      <c r="V10" s="10">
        <v>1012</v>
      </c>
      <c r="W10" s="10">
        <v>497</v>
      </c>
      <c r="X10" s="10">
        <v>993</v>
      </c>
      <c r="Y10" s="10">
        <v>998</v>
      </c>
      <c r="Z10" s="10">
        <v>993</v>
      </c>
      <c r="AA10" s="10">
        <v>1033</v>
      </c>
      <c r="AB10" s="10">
        <v>1026</v>
      </c>
      <c r="AC10" s="10">
        <v>1001</v>
      </c>
      <c r="AD10" s="10">
        <v>1003</v>
      </c>
      <c r="AE10" s="10">
        <v>997</v>
      </c>
      <c r="AF10" s="10">
        <v>1028</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406</v>
      </c>
      <c r="C12" s="12">
        <v>6018</v>
      </c>
      <c r="D12" s="12">
        <v>214</v>
      </c>
      <c r="E12" s="12">
        <v>235</v>
      </c>
      <c r="F12" s="12">
        <v>161</v>
      </c>
      <c r="G12" s="12">
        <v>197</v>
      </c>
      <c r="H12" s="12">
        <v>113</v>
      </c>
      <c r="I12" s="12">
        <v>154</v>
      </c>
      <c r="J12" s="12">
        <v>40</v>
      </c>
      <c r="K12" s="12">
        <v>227</v>
      </c>
      <c r="L12" s="12">
        <v>337</v>
      </c>
      <c r="M12" s="12">
        <v>421</v>
      </c>
      <c r="N12" s="12">
        <v>359</v>
      </c>
      <c r="O12" s="12">
        <v>265</v>
      </c>
      <c r="P12" s="12">
        <v>199</v>
      </c>
      <c r="Q12" s="12">
        <v>263</v>
      </c>
      <c r="R12" s="12">
        <v>142</v>
      </c>
      <c r="S12" s="12">
        <v>305</v>
      </c>
      <c r="T12" s="12">
        <v>330</v>
      </c>
      <c r="U12" s="12">
        <v>100</v>
      </c>
      <c r="V12" s="12">
        <v>265</v>
      </c>
      <c r="W12" s="12">
        <v>122</v>
      </c>
      <c r="X12" s="12">
        <v>134</v>
      </c>
      <c r="Y12" s="12">
        <v>168</v>
      </c>
      <c r="Z12" s="12">
        <v>215</v>
      </c>
      <c r="AA12" s="12">
        <v>493</v>
      </c>
      <c r="AB12" s="12">
        <v>220</v>
      </c>
      <c r="AC12" s="12">
        <v>304</v>
      </c>
      <c r="AD12" s="12">
        <v>253</v>
      </c>
      <c r="AE12" s="12">
        <v>97</v>
      </c>
      <c r="AF12" s="12">
        <v>153</v>
      </c>
    </row>
    <row r="13" spans="1:32">
      <c r="A13" s="19"/>
      <c r="B13" s="13" t="s">
        <v>407</v>
      </c>
      <c r="C13" s="14">
        <v>0.25</v>
      </c>
      <c r="D13" s="14">
        <v>0.22</v>
      </c>
      <c r="E13" s="14">
        <v>0.25</v>
      </c>
      <c r="F13" s="14">
        <v>0.16</v>
      </c>
      <c r="G13" s="14">
        <v>0.21</v>
      </c>
      <c r="H13" s="14">
        <v>0.09</v>
      </c>
      <c r="I13" s="14">
        <v>0.1</v>
      </c>
      <c r="J13" s="14">
        <v>0.14000000000000001</v>
      </c>
      <c r="K13" s="14">
        <v>0.25</v>
      </c>
      <c r="L13" s="14">
        <v>0.4</v>
      </c>
      <c r="M13" s="14">
        <v>0.48</v>
      </c>
      <c r="N13" s="14">
        <v>0.45</v>
      </c>
      <c r="O13" s="14">
        <v>0.3</v>
      </c>
      <c r="P13" s="14">
        <v>0.21</v>
      </c>
      <c r="Q13" s="14">
        <v>0.28999999999999998</v>
      </c>
      <c r="R13" s="14">
        <v>0.32</v>
      </c>
      <c r="S13" s="14">
        <v>0.36</v>
      </c>
      <c r="T13" s="14">
        <v>0.37</v>
      </c>
      <c r="U13" s="14">
        <v>0.22</v>
      </c>
      <c r="V13" s="14">
        <v>0.28999999999999998</v>
      </c>
      <c r="W13" s="14">
        <v>0.28999999999999998</v>
      </c>
      <c r="X13" s="14">
        <v>0.14000000000000001</v>
      </c>
      <c r="Y13" s="14">
        <v>0.18</v>
      </c>
      <c r="Z13" s="14">
        <v>0.23</v>
      </c>
      <c r="AA13" s="14">
        <v>0.6</v>
      </c>
      <c r="AB13" s="14">
        <v>0.23</v>
      </c>
      <c r="AC13" s="14">
        <v>0.37</v>
      </c>
      <c r="AD13" s="14">
        <v>0.27</v>
      </c>
      <c r="AE13" s="14">
        <v>0.1</v>
      </c>
      <c r="AF13" s="14">
        <v>0.15</v>
      </c>
    </row>
    <row r="14" spans="1:32">
      <c r="A14" s="19"/>
      <c r="B14" s="11" t="s">
        <v>408</v>
      </c>
      <c r="C14" s="12">
        <v>4815</v>
      </c>
      <c r="D14" s="12">
        <v>174</v>
      </c>
      <c r="E14" s="12">
        <v>103</v>
      </c>
      <c r="F14" s="12">
        <v>111</v>
      </c>
      <c r="G14" s="12">
        <v>342</v>
      </c>
      <c r="H14" s="12">
        <v>268</v>
      </c>
      <c r="I14" s="12">
        <v>332</v>
      </c>
      <c r="J14" s="12">
        <v>64</v>
      </c>
      <c r="K14" s="12">
        <v>86</v>
      </c>
      <c r="L14" s="12">
        <v>143</v>
      </c>
      <c r="M14" s="12">
        <v>122</v>
      </c>
      <c r="N14" s="12">
        <v>153</v>
      </c>
      <c r="O14" s="12">
        <v>213</v>
      </c>
      <c r="P14" s="12">
        <v>149</v>
      </c>
      <c r="Q14" s="12">
        <v>192</v>
      </c>
      <c r="R14" s="12">
        <v>54</v>
      </c>
      <c r="S14" s="12">
        <v>93</v>
      </c>
      <c r="T14" s="12">
        <v>83</v>
      </c>
      <c r="U14" s="12">
        <v>83</v>
      </c>
      <c r="V14" s="12">
        <v>161</v>
      </c>
      <c r="W14" s="12">
        <v>106</v>
      </c>
      <c r="X14" s="12">
        <v>294</v>
      </c>
      <c r="Y14" s="12">
        <v>171</v>
      </c>
      <c r="Z14" s="12">
        <v>106</v>
      </c>
      <c r="AA14" s="12">
        <v>143</v>
      </c>
      <c r="AB14" s="12">
        <v>101</v>
      </c>
      <c r="AC14" s="12">
        <v>129</v>
      </c>
      <c r="AD14" s="12">
        <v>147</v>
      </c>
      <c r="AE14" s="12">
        <v>289</v>
      </c>
      <c r="AF14" s="12">
        <v>335</v>
      </c>
    </row>
    <row r="15" spans="1:32">
      <c r="A15" s="19"/>
      <c r="B15" s="13" t="s">
        <v>409</v>
      </c>
      <c r="C15" s="14">
        <v>0.2</v>
      </c>
      <c r="D15" s="14">
        <v>0.19</v>
      </c>
      <c r="E15" s="14">
        <v>0.1</v>
      </c>
      <c r="F15" s="14">
        <v>0.11</v>
      </c>
      <c r="G15" s="14">
        <v>0.4</v>
      </c>
      <c r="H15" s="14">
        <v>0.24</v>
      </c>
      <c r="I15" s="14">
        <v>0.24</v>
      </c>
      <c r="J15" s="14">
        <v>0.22</v>
      </c>
      <c r="K15" s="14">
        <v>0.09</v>
      </c>
      <c r="L15" s="14">
        <v>0.15</v>
      </c>
      <c r="M15" s="14">
        <v>0.12</v>
      </c>
      <c r="N15" s="14">
        <v>0.16</v>
      </c>
      <c r="O15" s="14">
        <v>0.24</v>
      </c>
      <c r="P15" s="14">
        <v>0.15</v>
      </c>
      <c r="Q15" s="14">
        <v>0.2</v>
      </c>
      <c r="R15" s="14">
        <v>0.11</v>
      </c>
      <c r="S15" s="14">
        <v>0.1</v>
      </c>
      <c r="T15" s="14">
        <v>0.08</v>
      </c>
      <c r="U15" s="14">
        <v>0.17</v>
      </c>
      <c r="V15" s="14">
        <v>0.17</v>
      </c>
      <c r="W15" s="14">
        <v>0.24</v>
      </c>
      <c r="X15" s="14">
        <v>0.35</v>
      </c>
      <c r="Y15" s="14">
        <v>0.19</v>
      </c>
      <c r="Z15" s="14">
        <v>0.11</v>
      </c>
      <c r="AA15" s="14">
        <v>0.14000000000000001</v>
      </c>
      <c r="AB15" s="14">
        <v>0.1</v>
      </c>
      <c r="AC15" s="14">
        <v>0.14000000000000001</v>
      </c>
      <c r="AD15" s="14">
        <v>0.15</v>
      </c>
      <c r="AE15" s="14">
        <v>0.33</v>
      </c>
      <c r="AF15" s="14">
        <v>0.44</v>
      </c>
    </row>
    <row r="16" spans="1:32">
      <c r="A16" s="19"/>
      <c r="B16" s="11" t="s">
        <v>410</v>
      </c>
      <c r="C16" s="12">
        <v>5346</v>
      </c>
      <c r="D16" s="12">
        <v>223</v>
      </c>
      <c r="E16" s="12">
        <v>300</v>
      </c>
      <c r="F16" s="12">
        <v>139</v>
      </c>
      <c r="G16" s="12">
        <v>159</v>
      </c>
      <c r="H16" s="12">
        <v>227</v>
      </c>
      <c r="I16" s="12">
        <v>282</v>
      </c>
      <c r="J16" s="12">
        <v>55</v>
      </c>
      <c r="K16" s="12">
        <v>160</v>
      </c>
      <c r="L16" s="12">
        <v>187</v>
      </c>
      <c r="M16" s="12">
        <v>319</v>
      </c>
      <c r="N16" s="12">
        <v>209</v>
      </c>
      <c r="O16" s="12">
        <v>279</v>
      </c>
      <c r="P16" s="12">
        <v>243</v>
      </c>
      <c r="Q16" s="12">
        <v>151</v>
      </c>
      <c r="R16" s="12">
        <v>115</v>
      </c>
      <c r="S16" s="12">
        <v>203</v>
      </c>
      <c r="T16" s="12">
        <v>301</v>
      </c>
      <c r="U16" s="12">
        <v>127</v>
      </c>
      <c r="V16" s="12">
        <v>183</v>
      </c>
      <c r="W16" s="12">
        <v>88</v>
      </c>
      <c r="X16" s="12">
        <v>196</v>
      </c>
      <c r="Y16" s="12">
        <v>225</v>
      </c>
      <c r="Z16" s="12">
        <v>129</v>
      </c>
      <c r="AA16" s="12">
        <v>304</v>
      </c>
      <c r="AB16" s="12">
        <v>215</v>
      </c>
      <c r="AC16" s="12">
        <v>192</v>
      </c>
      <c r="AD16" s="12">
        <v>208</v>
      </c>
      <c r="AE16" s="12">
        <v>219</v>
      </c>
      <c r="AF16" s="12">
        <v>216</v>
      </c>
    </row>
    <row r="17" spans="1:32">
      <c r="A17" s="19"/>
      <c r="B17" s="13" t="s">
        <v>411</v>
      </c>
      <c r="C17" s="14">
        <v>0.22</v>
      </c>
      <c r="D17" s="14">
        <v>0.24</v>
      </c>
      <c r="E17" s="14">
        <v>0.34</v>
      </c>
      <c r="F17" s="14">
        <v>0.14000000000000001</v>
      </c>
      <c r="G17" s="14">
        <v>0.16</v>
      </c>
      <c r="H17" s="14">
        <v>0.2</v>
      </c>
      <c r="I17" s="14">
        <v>0.2</v>
      </c>
      <c r="J17" s="14">
        <v>0.2</v>
      </c>
      <c r="K17" s="14">
        <v>0.17</v>
      </c>
      <c r="L17" s="14">
        <v>0.2</v>
      </c>
      <c r="M17" s="14">
        <v>0.37</v>
      </c>
      <c r="N17" s="14">
        <v>0.23</v>
      </c>
      <c r="O17" s="14">
        <v>0.31</v>
      </c>
      <c r="P17" s="14">
        <v>0.27</v>
      </c>
      <c r="Q17" s="14">
        <v>0.16</v>
      </c>
      <c r="R17" s="14">
        <v>0.26</v>
      </c>
      <c r="S17" s="14">
        <v>0.22</v>
      </c>
      <c r="T17" s="14">
        <v>0.34</v>
      </c>
      <c r="U17" s="14">
        <v>0.27</v>
      </c>
      <c r="V17" s="14">
        <v>0.19</v>
      </c>
      <c r="W17" s="14">
        <v>0.19</v>
      </c>
      <c r="X17" s="14">
        <v>0.2</v>
      </c>
      <c r="Y17" s="14">
        <v>0.24</v>
      </c>
      <c r="Z17" s="14">
        <v>0.13</v>
      </c>
      <c r="AA17" s="14">
        <v>0.34</v>
      </c>
      <c r="AB17" s="14">
        <v>0.23</v>
      </c>
      <c r="AC17" s="14">
        <v>0.21</v>
      </c>
      <c r="AD17" s="14">
        <v>0.23</v>
      </c>
      <c r="AE17" s="14">
        <v>0.24</v>
      </c>
      <c r="AF17" s="14">
        <v>0.22</v>
      </c>
    </row>
    <row r="18" spans="1:32">
      <c r="A18" s="19"/>
      <c r="B18" s="11" t="s">
        <v>412</v>
      </c>
      <c r="C18" s="12">
        <v>6347</v>
      </c>
      <c r="D18" s="12">
        <v>231</v>
      </c>
      <c r="E18" s="12">
        <v>324</v>
      </c>
      <c r="F18" s="12">
        <v>231</v>
      </c>
      <c r="G18" s="12">
        <v>213</v>
      </c>
      <c r="H18" s="12">
        <v>278</v>
      </c>
      <c r="I18" s="12">
        <v>355</v>
      </c>
      <c r="J18" s="12">
        <v>77</v>
      </c>
      <c r="K18" s="12">
        <v>316</v>
      </c>
      <c r="L18" s="12">
        <v>247</v>
      </c>
      <c r="M18" s="12">
        <v>380</v>
      </c>
      <c r="N18" s="12">
        <v>302</v>
      </c>
      <c r="O18" s="12">
        <v>158</v>
      </c>
      <c r="P18" s="12">
        <v>287</v>
      </c>
      <c r="Q18" s="12">
        <v>285</v>
      </c>
      <c r="R18" s="12">
        <v>156</v>
      </c>
      <c r="S18" s="12">
        <v>307</v>
      </c>
      <c r="T18" s="12">
        <v>304</v>
      </c>
      <c r="U18" s="12">
        <v>112</v>
      </c>
      <c r="V18" s="12">
        <v>316</v>
      </c>
      <c r="W18" s="12">
        <v>84</v>
      </c>
      <c r="X18" s="12">
        <v>185</v>
      </c>
      <c r="Y18" s="12">
        <v>313</v>
      </c>
      <c r="Z18" s="12">
        <v>174</v>
      </c>
      <c r="AA18" s="12">
        <v>348</v>
      </c>
      <c r="AB18" s="12">
        <v>251</v>
      </c>
      <c r="AC18" s="12">
        <v>262</v>
      </c>
      <c r="AD18" s="12">
        <v>296</v>
      </c>
      <c r="AE18" s="12">
        <v>277</v>
      </c>
      <c r="AF18" s="12">
        <v>207</v>
      </c>
    </row>
    <row r="19" spans="1:32">
      <c r="A19" s="19"/>
      <c r="B19" s="13" t="s">
        <v>413</v>
      </c>
      <c r="C19" s="14">
        <v>0.27</v>
      </c>
      <c r="D19" s="14">
        <v>0.24</v>
      </c>
      <c r="E19" s="14">
        <v>0.38</v>
      </c>
      <c r="F19" s="14">
        <v>0.24</v>
      </c>
      <c r="G19" s="14">
        <v>0.22</v>
      </c>
      <c r="H19" s="14">
        <v>0.25</v>
      </c>
      <c r="I19" s="14">
        <v>0.26</v>
      </c>
      <c r="J19" s="14">
        <v>0.28999999999999998</v>
      </c>
      <c r="K19" s="14">
        <v>0.38</v>
      </c>
      <c r="L19" s="14">
        <v>0.27</v>
      </c>
      <c r="M19" s="14">
        <v>0.48</v>
      </c>
      <c r="N19" s="14">
        <v>0.38</v>
      </c>
      <c r="O19" s="14">
        <v>0.17</v>
      </c>
      <c r="P19" s="14">
        <v>0.34</v>
      </c>
      <c r="Q19" s="14">
        <v>0.32</v>
      </c>
      <c r="R19" s="14">
        <v>0.36</v>
      </c>
      <c r="S19" s="14">
        <v>0.38</v>
      </c>
      <c r="T19" s="14">
        <v>0.36</v>
      </c>
      <c r="U19" s="14">
        <v>0.24</v>
      </c>
      <c r="V19" s="14">
        <v>0.36</v>
      </c>
      <c r="W19" s="14">
        <v>0.18</v>
      </c>
      <c r="X19" s="14">
        <v>0.19</v>
      </c>
      <c r="Y19" s="14">
        <v>0.34</v>
      </c>
      <c r="Z19" s="14">
        <v>0.19</v>
      </c>
      <c r="AA19" s="14">
        <v>0.38</v>
      </c>
      <c r="AB19" s="14">
        <v>0.28999999999999998</v>
      </c>
      <c r="AC19" s="14">
        <v>0.3</v>
      </c>
      <c r="AD19" s="14">
        <v>0.33</v>
      </c>
      <c r="AE19" s="14">
        <v>0.33</v>
      </c>
      <c r="AF19" s="14">
        <v>0.22</v>
      </c>
    </row>
    <row r="20" spans="1:32">
      <c r="A20" s="19"/>
      <c r="B20" s="11" t="s">
        <v>414</v>
      </c>
      <c r="C20" s="12">
        <v>7027</v>
      </c>
      <c r="D20" s="12">
        <v>264</v>
      </c>
      <c r="E20" s="12">
        <v>331</v>
      </c>
      <c r="F20" s="12">
        <v>315</v>
      </c>
      <c r="G20" s="12">
        <v>203</v>
      </c>
      <c r="H20" s="12">
        <v>286</v>
      </c>
      <c r="I20" s="12">
        <v>373</v>
      </c>
      <c r="J20" s="12">
        <v>87</v>
      </c>
      <c r="K20" s="12">
        <v>347</v>
      </c>
      <c r="L20" s="12">
        <v>319</v>
      </c>
      <c r="M20" s="12">
        <v>340</v>
      </c>
      <c r="N20" s="12">
        <v>296</v>
      </c>
      <c r="O20" s="12">
        <v>303</v>
      </c>
      <c r="P20" s="12">
        <v>321</v>
      </c>
      <c r="Q20" s="12">
        <v>274</v>
      </c>
      <c r="R20" s="12">
        <v>122</v>
      </c>
      <c r="S20" s="12">
        <v>266</v>
      </c>
      <c r="T20" s="12">
        <v>231</v>
      </c>
      <c r="U20" s="12">
        <v>124</v>
      </c>
      <c r="V20" s="12">
        <v>273</v>
      </c>
      <c r="W20" s="12">
        <v>131</v>
      </c>
      <c r="X20" s="12">
        <v>214</v>
      </c>
      <c r="Y20" s="12">
        <v>299</v>
      </c>
      <c r="Z20" s="12">
        <v>229</v>
      </c>
      <c r="AA20" s="12">
        <v>352</v>
      </c>
      <c r="AB20" s="12">
        <v>258</v>
      </c>
      <c r="AC20" s="12">
        <v>250</v>
      </c>
      <c r="AD20" s="12">
        <v>362</v>
      </c>
      <c r="AE20" s="12">
        <v>158</v>
      </c>
      <c r="AF20" s="12">
        <v>120</v>
      </c>
    </row>
    <row r="21" spans="1:32">
      <c r="A21" s="19"/>
      <c r="B21" s="13" t="s">
        <v>415</v>
      </c>
      <c r="C21" s="14">
        <v>0.31</v>
      </c>
      <c r="D21" s="14">
        <v>0.31</v>
      </c>
      <c r="E21" s="14">
        <v>0.45</v>
      </c>
      <c r="F21" s="14">
        <v>0.36</v>
      </c>
      <c r="G21" s="14">
        <v>0.22</v>
      </c>
      <c r="H21" s="14">
        <v>0.27</v>
      </c>
      <c r="I21" s="14">
        <v>0.28000000000000003</v>
      </c>
      <c r="J21" s="14">
        <v>0.35</v>
      </c>
      <c r="K21" s="14">
        <v>0.43</v>
      </c>
      <c r="L21" s="14">
        <v>0.4</v>
      </c>
      <c r="M21" s="14">
        <v>0.42</v>
      </c>
      <c r="N21" s="14">
        <v>0.34</v>
      </c>
      <c r="O21" s="14">
        <v>0.38</v>
      </c>
      <c r="P21" s="14">
        <v>0.43</v>
      </c>
      <c r="Q21" s="14">
        <v>0.31</v>
      </c>
      <c r="R21" s="14">
        <v>0.27</v>
      </c>
      <c r="S21" s="14">
        <v>0.32</v>
      </c>
      <c r="T21" s="14">
        <v>0.26</v>
      </c>
      <c r="U21" s="14">
        <v>0.28999999999999998</v>
      </c>
      <c r="V21" s="14">
        <v>0.33</v>
      </c>
      <c r="W21" s="14">
        <v>0.31</v>
      </c>
      <c r="X21" s="14">
        <v>0.23</v>
      </c>
      <c r="Y21" s="14">
        <v>0.37</v>
      </c>
      <c r="Z21" s="14">
        <v>0.27</v>
      </c>
      <c r="AA21" s="14">
        <v>0.45</v>
      </c>
      <c r="AB21" s="14">
        <v>0.3</v>
      </c>
      <c r="AC21" s="14">
        <v>0.28000000000000003</v>
      </c>
      <c r="AD21" s="14">
        <v>0.48</v>
      </c>
      <c r="AE21" s="14">
        <v>0.16</v>
      </c>
      <c r="AF21" s="14">
        <v>0.12</v>
      </c>
    </row>
    <row r="22" spans="1:32">
      <c r="A22" s="19"/>
      <c r="B22" s="11" t="s">
        <v>416</v>
      </c>
      <c r="C22" s="12">
        <v>1827</v>
      </c>
      <c r="D22" s="12">
        <v>58</v>
      </c>
      <c r="E22" s="12">
        <v>71</v>
      </c>
      <c r="F22" s="12">
        <v>74</v>
      </c>
      <c r="G22" s="12">
        <v>64</v>
      </c>
      <c r="H22" s="12">
        <v>117</v>
      </c>
      <c r="I22" s="12">
        <v>143</v>
      </c>
      <c r="J22" s="12">
        <v>25</v>
      </c>
      <c r="K22" s="12">
        <v>60</v>
      </c>
      <c r="L22" s="12">
        <v>46</v>
      </c>
      <c r="M22" s="12">
        <v>47</v>
      </c>
      <c r="N22" s="12">
        <v>25</v>
      </c>
      <c r="O22" s="12">
        <v>31</v>
      </c>
      <c r="P22" s="12">
        <v>65</v>
      </c>
      <c r="Q22" s="12">
        <v>116</v>
      </c>
      <c r="R22" s="12">
        <v>14</v>
      </c>
      <c r="S22" s="12">
        <v>39</v>
      </c>
      <c r="T22" s="12">
        <v>77</v>
      </c>
      <c r="U22" s="12">
        <v>40</v>
      </c>
      <c r="V22" s="12">
        <v>95</v>
      </c>
      <c r="W22" s="12">
        <v>30</v>
      </c>
      <c r="X22" s="12">
        <v>111</v>
      </c>
      <c r="Y22" s="12">
        <v>66</v>
      </c>
      <c r="Z22" s="12">
        <v>72</v>
      </c>
      <c r="AA22" s="12">
        <v>51</v>
      </c>
      <c r="AB22" s="12">
        <v>90</v>
      </c>
      <c r="AC22" s="12">
        <v>49</v>
      </c>
      <c r="AD22" s="12">
        <v>73</v>
      </c>
      <c r="AE22" s="12">
        <v>47</v>
      </c>
      <c r="AF22" s="12">
        <v>46</v>
      </c>
    </row>
    <row r="23" spans="1:32">
      <c r="A23" s="19"/>
      <c r="B23" s="13" t="s">
        <v>417</v>
      </c>
      <c r="C23" s="14">
        <v>7.0000000000000007E-2</v>
      </c>
      <c r="D23" s="14">
        <v>0.06</v>
      </c>
      <c r="E23" s="14">
        <v>7.0000000000000007E-2</v>
      </c>
      <c r="F23" s="14">
        <v>7.0000000000000007E-2</v>
      </c>
      <c r="G23" s="14">
        <v>7.0000000000000007E-2</v>
      </c>
      <c r="H23" s="14">
        <v>0.1</v>
      </c>
      <c r="I23" s="14">
        <v>0.1</v>
      </c>
      <c r="J23" s="14">
        <v>0.09</v>
      </c>
      <c r="K23" s="14">
        <v>0.06</v>
      </c>
      <c r="L23" s="14">
        <v>0.05</v>
      </c>
      <c r="M23" s="14">
        <v>0.05</v>
      </c>
      <c r="N23" s="14">
        <v>0.02</v>
      </c>
      <c r="O23" s="14">
        <v>0.03</v>
      </c>
      <c r="P23" s="14">
        <v>7.0000000000000007E-2</v>
      </c>
      <c r="Q23" s="14">
        <v>0.12</v>
      </c>
      <c r="R23" s="14">
        <v>0.03</v>
      </c>
      <c r="S23" s="14">
        <v>0.04</v>
      </c>
      <c r="T23" s="14">
        <v>0.08</v>
      </c>
      <c r="U23" s="14">
        <v>0.08</v>
      </c>
      <c r="V23" s="14">
        <v>0.1</v>
      </c>
      <c r="W23" s="14">
        <v>0.06</v>
      </c>
      <c r="X23" s="14">
        <v>0.11</v>
      </c>
      <c r="Y23" s="14">
        <v>7.0000000000000007E-2</v>
      </c>
      <c r="Z23" s="14">
        <v>7.0000000000000007E-2</v>
      </c>
      <c r="AA23" s="14">
        <v>0.05</v>
      </c>
      <c r="AB23" s="14">
        <v>0.09</v>
      </c>
      <c r="AC23" s="14">
        <v>0.05</v>
      </c>
      <c r="AD23" s="14">
        <v>7.0000000000000007E-2</v>
      </c>
      <c r="AE23" s="14">
        <v>0.05</v>
      </c>
      <c r="AF23" s="14">
        <v>0.04</v>
      </c>
    </row>
    <row r="24" spans="1:32">
      <c r="A24" s="19"/>
      <c r="B24" s="11" t="s">
        <v>418</v>
      </c>
      <c r="C24" s="12">
        <v>2214</v>
      </c>
      <c r="D24" s="12">
        <v>74</v>
      </c>
      <c r="E24" s="12">
        <v>95</v>
      </c>
      <c r="F24" s="12">
        <v>55</v>
      </c>
      <c r="G24" s="12">
        <v>93</v>
      </c>
      <c r="H24" s="12">
        <v>80</v>
      </c>
      <c r="I24" s="12">
        <v>96</v>
      </c>
      <c r="J24" s="12">
        <v>16</v>
      </c>
      <c r="K24" s="12">
        <v>66</v>
      </c>
      <c r="L24" s="12">
        <v>59</v>
      </c>
      <c r="M24" s="12">
        <v>121</v>
      </c>
      <c r="N24" s="12">
        <v>104</v>
      </c>
      <c r="O24" s="12">
        <v>95</v>
      </c>
      <c r="P24" s="12">
        <v>74</v>
      </c>
      <c r="Q24" s="12">
        <v>103</v>
      </c>
      <c r="R24" s="12">
        <v>66</v>
      </c>
      <c r="S24" s="12">
        <v>59</v>
      </c>
      <c r="T24" s="12">
        <v>32</v>
      </c>
      <c r="U24" s="12">
        <v>38</v>
      </c>
      <c r="V24" s="12">
        <v>60</v>
      </c>
      <c r="W24" s="12">
        <v>42</v>
      </c>
      <c r="X24" s="12">
        <v>86</v>
      </c>
      <c r="Y24" s="12">
        <v>52</v>
      </c>
      <c r="Z24" s="12">
        <v>76</v>
      </c>
      <c r="AA24" s="12">
        <v>99</v>
      </c>
      <c r="AB24" s="12">
        <v>97</v>
      </c>
      <c r="AC24" s="12">
        <v>71</v>
      </c>
      <c r="AD24" s="12">
        <v>45</v>
      </c>
      <c r="AE24" s="12">
        <v>66</v>
      </c>
      <c r="AF24" s="12">
        <v>116</v>
      </c>
    </row>
    <row r="25" spans="1:32">
      <c r="A25" s="19"/>
      <c r="B25" s="13" t="s">
        <v>419</v>
      </c>
      <c r="C25" s="14">
        <v>0.09</v>
      </c>
      <c r="D25" s="14">
        <v>7.0000000000000007E-2</v>
      </c>
      <c r="E25" s="14">
        <v>0.09</v>
      </c>
      <c r="F25" s="14">
        <v>0.05</v>
      </c>
      <c r="G25" s="14">
        <v>0.09</v>
      </c>
      <c r="H25" s="14">
        <v>7.0000000000000007E-2</v>
      </c>
      <c r="I25" s="14">
        <v>0.06</v>
      </c>
      <c r="J25" s="14">
        <v>0.06</v>
      </c>
      <c r="K25" s="14">
        <v>7.0000000000000007E-2</v>
      </c>
      <c r="L25" s="14">
        <v>0.06</v>
      </c>
      <c r="M25" s="14">
        <v>0.12</v>
      </c>
      <c r="N25" s="14">
        <v>0.11</v>
      </c>
      <c r="O25" s="14">
        <v>0.1</v>
      </c>
      <c r="P25" s="14">
        <v>0.08</v>
      </c>
      <c r="Q25" s="14">
        <v>0.1</v>
      </c>
      <c r="R25" s="14">
        <v>0.14000000000000001</v>
      </c>
      <c r="S25" s="14">
        <v>0.06</v>
      </c>
      <c r="T25" s="14">
        <v>0.03</v>
      </c>
      <c r="U25" s="14">
        <v>0.08</v>
      </c>
      <c r="V25" s="14">
        <v>0.06</v>
      </c>
      <c r="W25" s="14">
        <v>0.09</v>
      </c>
      <c r="X25" s="14">
        <v>0.09</v>
      </c>
      <c r="Y25" s="14">
        <v>0.05</v>
      </c>
      <c r="Z25" s="14">
        <v>0.08</v>
      </c>
      <c r="AA25" s="14">
        <v>0.1</v>
      </c>
      <c r="AB25" s="14">
        <v>0.1</v>
      </c>
      <c r="AC25" s="14">
        <v>7.0000000000000007E-2</v>
      </c>
      <c r="AD25" s="14">
        <v>0.05</v>
      </c>
      <c r="AE25" s="14">
        <v>7.0000000000000007E-2</v>
      </c>
      <c r="AF25" s="14">
        <v>0.11</v>
      </c>
    </row>
    <row r="26" spans="1:32">
      <c r="A26" s="19"/>
      <c r="B26" s="11" t="s">
        <v>420</v>
      </c>
      <c r="C26" s="12">
        <v>2544</v>
      </c>
      <c r="D26" s="12">
        <v>124</v>
      </c>
      <c r="E26" s="12">
        <v>89</v>
      </c>
      <c r="F26" s="12">
        <v>226</v>
      </c>
      <c r="G26" s="12">
        <v>154</v>
      </c>
      <c r="H26" s="12">
        <v>92</v>
      </c>
      <c r="I26" s="12">
        <v>118</v>
      </c>
      <c r="J26" s="12">
        <v>27</v>
      </c>
      <c r="K26" s="12">
        <v>162</v>
      </c>
      <c r="L26" s="12">
        <v>65</v>
      </c>
      <c r="M26" s="12">
        <v>109</v>
      </c>
      <c r="N26" s="12">
        <v>46</v>
      </c>
      <c r="O26" s="12">
        <v>90</v>
      </c>
      <c r="P26" s="12">
        <v>88</v>
      </c>
      <c r="Q26" s="12">
        <v>129</v>
      </c>
      <c r="R26" s="12">
        <v>11</v>
      </c>
      <c r="S26" s="12">
        <v>73</v>
      </c>
      <c r="T26" s="12">
        <v>78</v>
      </c>
      <c r="U26" s="12">
        <v>64</v>
      </c>
      <c r="V26" s="12">
        <v>108</v>
      </c>
      <c r="W26" s="12">
        <v>32</v>
      </c>
      <c r="X26" s="12">
        <v>142</v>
      </c>
      <c r="Y26" s="12">
        <v>131</v>
      </c>
      <c r="Z26" s="12">
        <v>70</v>
      </c>
      <c r="AA26" s="12">
        <v>139</v>
      </c>
      <c r="AB26" s="12">
        <v>140</v>
      </c>
      <c r="AC26" s="12">
        <v>82</v>
      </c>
      <c r="AD26" s="12">
        <v>73</v>
      </c>
      <c r="AE26" s="12">
        <v>91</v>
      </c>
      <c r="AF26" s="12">
        <v>96</v>
      </c>
    </row>
    <row r="27" spans="1:32">
      <c r="A27" s="19"/>
      <c r="B27" s="13" t="s">
        <v>421</v>
      </c>
      <c r="C27" s="14">
        <v>0.1</v>
      </c>
      <c r="D27" s="14">
        <v>0.13</v>
      </c>
      <c r="E27" s="14">
        <v>0.09</v>
      </c>
      <c r="F27" s="14">
        <v>0.25</v>
      </c>
      <c r="G27" s="14">
        <v>0.16</v>
      </c>
      <c r="H27" s="14">
        <v>0.08</v>
      </c>
      <c r="I27" s="14">
        <v>0.08</v>
      </c>
      <c r="J27" s="14">
        <v>0.09</v>
      </c>
      <c r="K27" s="14">
        <v>0.17</v>
      </c>
      <c r="L27" s="14">
        <v>7.0000000000000007E-2</v>
      </c>
      <c r="M27" s="14">
        <v>0.11</v>
      </c>
      <c r="N27" s="14">
        <v>0.05</v>
      </c>
      <c r="O27" s="14">
        <v>0.09</v>
      </c>
      <c r="P27" s="14">
        <v>0.09</v>
      </c>
      <c r="Q27" s="14">
        <v>0.13</v>
      </c>
      <c r="R27" s="14">
        <v>0.02</v>
      </c>
      <c r="S27" s="14">
        <v>0.08</v>
      </c>
      <c r="T27" s="14">
        <v>0.08</v>
      </c>
      <c r="U27" s="14">
        <v>0.13</v>
      </c>
      <c r="V27" s="14">
        <v>0.11</v>
      </c>
      <c r="W27" s="14">
        <v>7.0000000000000007E-2</v>
      </c>
      <c r="X27" s="14">
        <v>0.15</v>
      </c>
      <c r="Y27" s="14">
        <v>0.14000000000000001</v>
      </c>
      <c r="Z27" s="14">
        <v>7.0000000000000007E-2</v>
      </c>
      <c r="AA27" s="14">
        <v>0.14000000000000001</v>
      </c>
      <c r="AB27" s="14">
        <v>0.14000000000000001</v>
      </c>
      <c r="AC27" s="14">
        <v>0.08</v>
      </c>
      <c r="AD27" s="14">
        <v>7.0000000000000007E-2</v>
      </c>
      <c r="AE27" s="14">
        <v>0.09</v>
      </c>
      <c r="AF27" s="14">
        <v>0.1</v>
      </c>
    </row>
    <row r="28" spans="1:32">
      <c r="A28" s="19"/>
      <c r="B28" s="11" t="s">
        <v>422</v>
      </c>
      <c r="C28" s="12">
        <v>2339</v>
      </c>
      <c r="D28" s="12">
        <v>95</v>
      </c>
      <c r="E28" s="12">
        <v>169</v>
      </c>
      <c r="F28" s="12">
        <v>61</v>
      </c>
      <c r="G28" s="12">
        <v>91</v>
      </c>
      <c r="H28" s="12">
        <v>67</v>
      </c>
      <c r="I28" s="12">
        <v>95</v>
      </c>
      <c r="J28" s="12">
        <v>27</v>
      </c>
      <c r="K28" s="12">
        <v>79</v>
      </c>
      <c r="L28" s="12">
        <v>75</v>
      </c>
      <c r="M28" s="12">
        <v>150</v>
      </c>
      <c r="N28" s="12">
        <v>62</v>
      </c>
      <c r="O28" s="12">
        <v>95</v>
      </c>
      <c r="P28" s="12">
        <v>116</v>
      </c>
      <c r="Q28" s="12">
        <v>160</v>
      </c>
      <c r="R28" s="12">
        <v>54</v>
      </c>
      <c r="S28" s="12">
        <v>75</v>
      </c>
      <c r="T28" s="12">
        <v>54</v>
      </c>
      <c r="U28" s="12">
        <v>63</v>
      </c>
      <c r="V28" s="12">
        <v>80</v>
      </c>
      <c r="W28" s="12">
        <v>64</v>
      </c>
      <c r="X28" s="12">
        <v>57</v>
      </c>
      <c r="Y28" s="12">
        <v>167</v>
      </c>
      <c r="Z28" s="12">
        <v>63</v>
      </c>
      <c r="AA28" s="12">
        <v>58</v>
      </c>
      <c r="AB28" s="12">
        <v>104</v>
      </c>
      <c r="AC28" s="12">
        <v>63</v>
      </c>
      <c r="AD28" s="12">
        <v>96</v>
      </c>
      <c r="AE28" s="12">
        <v>41</v>
      </c>
      <c r="AF28" s="12">
        <v>57</v>
      </c>
    </row>
    <row r="29" spans="1:32">
      <c r="A29" s="19"/>
      <c r="B29" s="13" t="s">
        <v>423</v>
      </c>
      <c r="C29" s="14">
        <v>0.09</v>
      </c>
      <c r="D29" s="14">
        <v>0.1</v>
      </c>
      <c r="E29" s="14">
        <v>0.17</v>
      </c>
      <c r="F29" s="14">
        <v>0.06</v>
      </c>
      <c r="G29" s="14">
        <v>0.09</v>
      </c>
      <c r="H29" s="14">
        <v>0.06</v>
      </c>
      <c r="I29" s="14">
        <v>0.06</v>
      </c>
      <c r="J29" s="14">
        <v>0.09</v>
      </c>
      <c r="K29" s="14">
        <v>0.08</v>
      </c>
      <c r="L29" s="14">
        <v>0.08</v>
      </c>
      <c r="M29" s="14">
        <v>0.15</v>
      </c>
      <c r="N29" s="14">
        <v>0.06</v>
      </c>
      <c r="O29" s="14">
        <v>0.1</v>
      </c>
      <c r="P29" s="14">
        <v>0.12</v>
      </c>
      <c r="Q29" s="14">
        <v>0.16</v>
      </c>
      <c r="R29" s="14">
        <v>0.11</v>
      </c>
      <c r="S29" s="14">
        <v>0.08</v>
      </c>
      <c r="T29" s="14">
        <v>0.05</v>
      </c>
      <c r="U29" s="14">
        <v>0.13</v>
      </c>
      <c r="V29" s="14">
        <v>0.08</v>
      </c>
      <c r="W29" s="14">
        <v>0.13</v>
      </c>
      <c r="X29" s="14">
        <v>0.06</v>
      </c>
      <c r="Y29" s="14">
        <v>0.17</v>
      </c>
      <c r="Z29" s="14">
        <v>0.06</v>
      </c>
      <c r="AA29" s="14">
        <v>0.06</v>
      </c>
      <c r="AB29" s="14">
        <v>0.1</v>
      </c>
      <c r="AC29" s="14">
        <v>0.06</v>
      </c>
      <c r="AD29" s="14">
        <v>0.1</v>
      </c>
      <c r="AE29" s="14">
        <v>0.04</v>
      </c>
      <c r="AF29" s="14">
        <v>0.06</v>
      </c>
    </row>
    <row r="30" spans="1:32">
      <c r="A30" s="19"/>
      <c r="B30" s="11" t="s">
        <v>424</v>
      </c>
      <c r="C30" s="12">
        <v>4211</v>
      </c>
      <c r="D30" s="12">
        <v>162</v>
      </c>
      <c r="E30" s="12">
        <v>74</v>
      </c>
      <c r="F30" s="12">
        <v>216</v>
      </c>
      <c r="G30" s="12">
        <v>186</v>
      </c>
      <c r="H30" s="12">
        <v>319</v>
      </c>
      <c r="I30" s="12">
        <v>390</v>
      </c>
      <c r="J30" s="12">
        <v>71</v>
      </c>
      <c r="K30" s="12">
        <v>99</v>
      </c>
      <c r="L30" s="12">
        <v>244</v>
      </c>
      <c r="M30" s="12">
        <v>145</v>
      </c>
      <c r="N30" s="12">
        <v>146</v>
      </c>
      <c r="O30" s="12">
        <v>131</v>
      </c>
      <c r="P30" s="12">
        <v>107</v>
      </c>
      <c r="Q30" s="12">
        <v>126</v>
      </c>
      <c r="R30" s="12">
        <v>105</v>
      </c>
      <c r="S30" s="12">
        <v>79</v>
      </c>
      <c r="T30" s="12">
        <v>161</v>
      </c>
      <c r="U30" s="12">
        <v>67</v>
      </c>
      <c r="V30" s="12">
        <v>125</v>
      </c>
      <c r="W30" s="12">
        <v>101</v>
      </c>
      <c r="X30" s="12">
        <v>258</v>
      </c>
      <c r="Y30" s="12">
        <v>179</v>
      </c>
      <c r="Z30" s="12">
        <v>116</v>
      </c>
      <c r="AA30" s="12">
        <v>76</v>
      </c>
      <c r="AB30" s="12">
        <v>60</v>
      </c>
      <c r="AC30" s="12">
        <v>122</v>
      </c>
      <c r="AD30" s="12">
        <v>103</v>
      </c>
      <c r="AE30" s="12">
        <v>109</v>
      </c>
      <c r="AF30" s="12">
        <v>211</v>
      </c>
    </row>
    <row r="31" spans="1:32">
      <c r="A31" s="19"/>
      <c r="B31" s="13" t="s">
        <v>425</v>
      </c>
      <c r="C31" s="14">
        <v>0.17</v>
      </c>
      <c r="D31" s="14">
        <v>0.19</v>
      </c>
      <c r="E31" s="14">
        <v>7.0000000000000007E-2</v>
      </c>
      <c r="F31" s="14">
        <v>0.23</v>
      </c>
      <c r="G31" s="14">
        <v>0.2</v>
      </c>
      <c r="H31" s="14">
        <v>0.3</v>
      </c>
      <c r="I31" s="14">
        <v>0.28999999999999998</v>
      </c>
      <c r="J31" s="14">
        <v>0.28000000000000003</v>
      </c>
      <c r="K31" s="14">
        <v>0.1</v>
      </c>
      <c r="L31" s="14">
        <v>0.31</v>
      </c>
      <c r="M31" s="14">
        <v>0.15</v>
      </c>
      <c r="N31" s="14">
        <v>0.16</v>
      </c>
      <c r="O31" s="14">
        <v>0.14000000000000001</v>
      </c>
      <c r="P31" s="14">
        <v>0.11</v>
      </c>
      <c r="Q31" s="14">
        <v>0.13</v>
      </c>
      <c r="R31" s="14">
        <v>0.26</v>
      </c>
      <c r="S31" s="14">
        <v>0.08</v>
      </c>
      <c r="T31" s="14">
        <v>0.17</v>
      </c>
      <c r="U31" s="14">
        <v>0.15</v>
      </c>
      <c r="V31" s="14">
        <v>0.13</v>
      </c>
      <c r="W31" s="14">
        <v>0.23</v>
      </c>
      <c r="X31" s="14">
        <v>0.3</v>
      </c>
      <c r="Y31" s="14">
        <v>0.2</v>
      </c>
      <c r="Z31" s="14">
        <v>0.12</v>
      </c>
      <c r="AA31" s="14">
        <v>0.08</v>
      </c>
      <c r="AB31" s="14">
        <v>0.06</v>
      </c>
      <c r="AC31" s="14">
        <v>0.13</v>
      </c>
      <c r="AD31" s="14">
        <v>0.11</v>
      </c>
      <c r="AE31" s="14">
        <v>0.11</v>
      </c>
      <c r="AF31" s="14">
        <v>0.22</v>
      </c>
    </row>
    <row r="32" spans="1:32">
      <c r="A32" s="19"/>
      <c r="B32" s="11" t="s">
        <v>426</v>
      </c>
      <c r="C32" s="12">
        <v>3514</v>
      </c>
      <c r="D32" s="12">
        <v>188</v>
      </c>
      <c r="E32" s="12">
        <v>76</v>
      </c>
      <c r="F32" s="12">
        <v>132</v>
      </c>
      <c r="G32" s="12">
        <v>205</v>
      </c>
      <c r="H32" s="12">
        <v>166</v>
      </c>
      <c r="I32" s="12">
        <v>232</v>
      </c>
      <c r="J32" s="12">
        <v>66</v>
      </c>
      <c r="K32" s="12">
        <v>59</v>
      </c>
      <c r="L32" s="12">
        <v>102</v>
      </c>
      <c r="M32" s="12">
        <v>68</v>
      </c>
      <c r="N32" s="12">
        <v>80</v>
      </c>
      <c r="O32" s="12">
        <v>175</v>
      </c>
      <c r="P32" s="12">
        <v>109</v>
      </c>
      <c r="Q32" s="12">
        <v>156</v>
      </c>
      <c r="R32" s="12">
        <v>43</v>
      </c>
      <c r="S32" s="12">
        <v>58</v>
      </c>
      <c r="T32" s="12">
        <v>64</v>
      </c>
      <c r="U32" s="12">
        <v>73</v>
      </c>
      <c r="V32" s="12">
        <v>100</v>
      </c>
      <c r="W32" s="12">
        <v>55</v>
      </c>
      <c r="X32" s="12">
        <v>155</v>
      </c>
      <c r="Y32" s="12">
        <v>97</v>
      </c>
      <c r="Z32" s="12">
        <v>113</v>
      </c>
      <c r="AA32" s="12">
        <v>85</v>
      </c>
      <c r="AB32" s="12">
        <v>83</v>
      </c>
      <c r="AC32" s="12">
        <v>101</v>
      </c>
      <c r="AD32" s="12">
        <v>67</v>
      </c>
      <c r="AE32" s="12">
        <v>151</v>
      </c>
      <c r="AF32" s="12">
        <v>246</v>
      </c>
    </row>
    <row r="33" spans="1:32">
      <c r="A33" s="19"/>
      <c r="B33" s="13" t="s">
        <v>427</v>
      </c>
      <c r="C33" s="14">
        <v>0.14000000000000001</v>
      </c>
      <c r="D33" s="14">
        <v>0.19</v>
      </c>
      <c r="E33" s="14">
        <v>0.08</v>
      </c>
      <c r="F33" s="14">
        <v>0.13</v>
      </c>
      <c r="G33" s="14">
        <v>0.22</v>
      </c>
      <c r="H33" s="14">
        <v>0.14000000000000001</v>
      </c>
      <c r="I33" s="14">
        <v>0.16</v>
      </c>
      <c r="J33" s="14">
        <v>0.24</v>
      </c>
      <c r="K33" s="14">
        <v>0.06</v>
      </c>
      <c r="L33" s="14">
        <v>0.1</v>
      </c>
      <c r="M33" s="14">
        <v>7.0000000000000007E-2</v>
      </c>
      <c r="N33" s="14">
        <v>0.08</v>
      </c>
      <c r="O33" s="14">
        <v>0.19</v>
      </c>
      <c r="P33" s="14">
        <v>0.11</v>
      </c>
      <c r="Q33" s="14">
        <v>0.16</v>
      </c>
      <c r="R33" s="14">
        <v>0.09</v>
      </c>
      <c r="S33" s="14">
        <v>0.06</v>
      </c>
      <c r="T33" s="14">
        <v>0.06</v>
      </c>
      <c r="U33" s="14">
        <v>0.15</v>
      </c>
      <c r="V33" s="14">
        <v>0.1</v>
      </c>
      <c r="W33" s="14">
        <v>0.12</v>
      </c>
      <c r="X33" s="14">
        <v>0.16</v>
      </c>
      <c r="Y33" s="14">
        <v>0.1</v>
      </c>
      <c r="Z33" s="14">
        <v>0.12</v>
      </c>
      <c r="AA33" s="14">
        <v>0.08</v>
      </c>
      <c r="AB33" s="14">
        <v>0.08</v>
      </c>
      <c r="AC33" s="14">
        <v>0.1</v>
      </c>
      <c r="AD33" s="14">
        <v>7.0000000000000007E-2</v>
      </c>
      <c r="AE33" s="14">
        <v>0.16</v>
      </c>
      <c r="AF33" s="14">
        <v>0.26</v>
      </c>
    </row>
    <row r="34" spans="1:32">
      <c r="A34" s="19"/>
      <c r="B34" s="11" t="s">
        <v>428</v>
      </c>
      <c r="C34" s="12">
        <v>4238</v>
      </c>
      <c r="D34" s="12">
        <v>158</v>
      </c>
      <c r="E34" s="12">
        <v>133</v>
      </c>
      <c r="F34" s="12">
        <v>132</v>
      </c>
      <c r="G34" s="12">
        <v>244</v>
      </c>
      <c r="H34" s="12">
        <v>324</v>
      </c>
      <c r="I34" s="12">
        <v>382</v>
      </c>
      <c r="J34" s="12">
        <v>58</v>
      </c>
      <c r="K34" s="12">
        <v>91</v>
      </c>
      <c r="L34" s="12">
        <v>90</v>
      </c>
      <c r="M34" s="12">
        <v>207</v>
      </c>
      <c r="N34" s="12">
        <v>112</v>
      </c>
      <c r="O34" s="12">
        <v>93</v>
      </c>
      <c r="P34" s="12">
        <v>101</v>
      </c>
      <c r="Q34" s="12">
        <v>144</v>
      </c>
      <c r="R34" s="12">
        <v>82</v>
      </c>
      <c r="S34" s="12">
        <v>125</v>
      </c>
      <c r="T34" s="12">
        <v>90</v>
      </c>
      <c r="U34" s="12">
        <v>68</v>
      </c>
      <c r="V34" s="12">
        <v>159</v>
      </c>
      <c r="W34" s="12">
        <v>73</v>
      </c>
      <c r="X34" s="12">
        <v>209</v>
      </c>
      <c r="Y34" s="12">
        <v>189</v>
      </c>
      <c r="Z34" s="12">
        <v>130</v>
      </c>
      <c r="AA34" s="12">
        <v>81</v>
      </c>
      <c r="AB34" s="12">
        <v>171</v>
      </c>
      <c r="AC34" s="12">
        <v>94</v>
      </c>
      <c r="AD34" s="12">
        <v>134</v>
      </c>
      <c r="AE34" s="12">
        <v>254</v>
      </c>
      <c r="AF34" s="12">
        <v>365</v>
      </c>
    </row>
    <row r="35" spans="1:32">
      <c r="A35" s="19"/>
      <c r="B35" s="13" t="s">
        <v>429</v>
      </c>
      <c r="C35" s="14">
        <v>0.17</v>
      </c>
      <c r="D35" s="14">
        <v>0.16</v>
      </c>
      <c r="E35" s="14">
        <v>0.14000000000000001</v>
      </c>
      <c r="F35" s="14">
        <v>0.13</v>
      </c>
      <c r="G35" s="14">
        <v>0.26</v>
      </c>
      <c r="H35" s="14">
        <v>0.31</v>
      </c>
      <c r="I35" s="14">
        <v>0.28999999999999998</v>
      </c>
      <c r="J35" s="14">
        <v>0.22</v>
      </c>
      <c r="K35" s="14">
        <v>0.09</v>
      </c>
      <c r="L35" s="14">
        <v>0.09</v>
      </c>
      <c r="M35" s="14">
        <v>0.22</v>
      </c>
      <c r="N35" s="14">
        <v>0.12</v>
      </c>
      <c r="O35" s="14">
        <v>0.1</v>
      </c>
      <c r="P35" s="14">
        <v>0.11</v>
      </c>
      <c r="Q35" s="14">
        <v>0.15</v>
      </c>
      <c r="R35" s="14">
        <v>0.18</v>
      </c>
      <c r="S35" s="14">
        <v>0.13</v>
      </c>
      <c r="T35" s="14">
        <v>0.09</v>
      </c>
      <c r="U35" s="14">
        <v>0.14000000000000001</v>
      </c>
      <c r="V35" s="14">
        <v>0.17</v>
      </c>
      <c r="W35" s="14">
        <v>0.16</v>
      </c>
      <c r="X35" s="14">
        <v>0.23</v>
      </c>
      <c r="Y35" s="14">
        <v>0.21</v>
      </c>
      <c r="Z35" s="14">
        <v>0.14000000000000001</v>
      </c>
      <c r="AA35" s="14">
        <v>0.08</v>
      </c>
      <c r="AB35" s="14">
        <v>0.18</v>
      </c>
      <c r="AC35" s="14">
        <v>0.1</v>
      </c>
      <c r="AD35" s="14">
        <v>0.15</v>
      </c>
      <c r="AE35" s="14">
        <v>0.28000000000000003</v>
      </c>
      <c r="AF35" s="14">
        <v>0.41</v>
      </c>
    </row>
    <row r="36" spans="1:32">
      <c r="A36" s="19"/>
      <c r="B36" s="11" t="s">
        <v>430</v>
      </c>
      <c r="C36" s="12">
        <v>5388</v>
      </c>
      <c r="D36" s="12">
        <v>242</v>
      </c>
      <c r="E36" s="12">
        <v>146</v>
      </c>
      <c r="F36" s="12">
        <v>271</v>
      </c>
      <c r="G36" s="12">
        <v>333</v>
      </c>
      <c r="H36" s="12">
        <v>340</v>
      </c>
      <c r="I36" s="12">
        <v>411</v>
      </c>
      <c r="J36" s="12">
        <v>71</v>
      </c>
      <c r="K36" s="12">
        <v>252</v>
      </c>
      <c r="L36" s="12">
        <v>131</v>
      </c>
      <c r="M36" s="12">
        <v>130</v>
      </c>
      <c r="N36" s="12">
        <v>97</v>
      </c>
      <c r="O36" s="12">
        <v>171</v>
      </c>
      <c r="P36" s="12">
        <v>152</v>
      </c>
      <c r="Q36" s="12">
        <v>186</v>
      </c>
      <c r="R36" s="12">
        <v>129</v>
      </c>
      <c r="S36" s="12">
        <v>186</v>
      </c>
      <c r="T36" s="12">
        <v>238</v>
      </c>
      <c r="U36" s="12">
        <v>124</v>
      </c>
      <c r="V36" s="12">
        <v>157</v>
      </c>
      <c r="W36" s="12">
        <v>68</v>
      </c>
      <c r="X36" s="12">
        <v>357</v>
      </c>
      <c r="Y36" s="12">
        <v>220</v>
      </c>
      <c r="Z36" s="12">
        <v>224</v>
      </c>
      <c r="AA36" s="12">
        <v>165</v>
      </c>
      <c r="AB36" s="12">
        <v>188</v>
      </c>
      <c r="AC36" s="12">
        <v>156</v>
      </c>
      <c r="AD36" s="12">
        <v>219</v>
      </c>
      <c r="AE36" s="12">
        <v>321</v>
      </c>
      <c r="AF36" s="12">
        <v>286</v>
      </c>
    </row>
    <row r="37" spans="1:32">
      <c r="A37" s="19"/>
      <c r="B37" s="13" t="s">
        <v>431</v>
      </c>
      <c r="C37" s="14">
        <v>0.24</v>
      </c>
      <c r="D37" s="14">
        <v>0.28000000000000003</v>
      </c>
      <c r="E37" s="14">
        <v>0.15</v>
      </c>
      <c r="F37" s="14">
        <v>0.32</v>
      </c>
      <c r="G37" s="14">
        <v>0.44</v>
      </c>
      <c r="H37" s="14">
        <v>0.35</v>
      </c>
      <c r="I37" s="14">
        <v>0.33</v>
      </c>
      <c r="J37" s="14">
        <v>0.27</v>
      </c>
      <c r="K37" s="14">
        <v>0.33</v>
      </c>
      <c r="L37" s="14">
        <v>0.14000000000000001</v>
      </c>
      <c r="M37" s="14">
        <v>0.14000000000000001</v>
      </c>
      <c r="N37" s="14">
        <v>0.1</v>
      </c>
      <c r="O37" s="14">
        <v>0.19</v>
      </c>
      <c r="P37" s="14">
        <v>0.17</v>
      </c>
      <c r="Q37" s="14">
        <v>0.21</v>
      </c>
      <c r="R37" s="14">
        <v>0.3</v>
      </c>
      <c r="S37" s="14">
        <v>0.24</v>
      </c>
      <c r="T37" s="14">
        <v>0.32</v>
      </c>
      <c r="U37" s="14">
        <v>0.28999999999999998</v>
      </c>
      <c r="V37" s="14">
        <v>0.17</v>
      </c>
      <c r="W37" s="14">
        <v>0.15</v>
      </c>
      <c r="X37" s="14">
        <v>0.46</v>
      </c>
      <c r="Y37" s="14">
        <v>0.24</v>
      </c>
      <c r="Z37" s="14">
        <v>0.28999999999999998</v>
      </c>
      <c r="AA37" s="14">
        <v>0.17</v>
      </c>
      <c r="AB37" s="14">
        <v>0.2</v>
      </c>
      <c r="AC37" s="14">
        <v>0.17</v>
      </c>
      <c r="AD37" s="14">
        <v>0.25</v>
      </c>
      <c r="AE37" s="14">
        <v>0.42</v>
      </c>
      <c r="AF37" s="14">
        <v>0.33</v>
      </c>
    </row>
    <row r="38" spans="1:32">
      <c r="A38" s="19"/>
      <c r="B38" s="11" t="s">
        <v>432</v>
      </c>
      <c r="C38" s="12">
        <v>3602</v>
      </c>
      <c r="D38" s="12">
        <v>114</v>
      </c>
      <c r="E38" s="12">
        <v>164</v>
      </c>
      <c r="F38" s="12">
        <v>165</v>
      </c>
      <c r="G38" s="12">
        <v>109</v>
      </c>
      <c r="H38" s="12">
        <v>132</v>
      </c>
      <c r="I38" s="12">
        <v>173</v>
      </c>
      <c r="J38" s="12">
        <v>41</v>
      </c>
      <c r="K38" s="12">
        <v>162</v>
      </c>
      <c r="L38" s="12">
        <v>97</v>
      </c>
      <c r="M38" s="12">
        <v>171</v>
      </c>
      <c r="N38" s="12">
        <v>107</v>
      </c>
      <c r="O38" s="12">
        <v>128</v>
      </c>
      <c r="P38" s="12">
        <v>204</v>
      </c>
      <c r="Q38" s="12">
        <v>127</v>
      </c>
      <c r="R38" s="12">
        <v>15</v>
      </c>
      <c r="S38" s="12">
        <v>116</v>
      </c>
      <c r="T38" s="12">
        <v>106</v>
      </c>
      <c r="U38" s="12">
        <v>68</v>
      </c>
      <c r="V38" s="12">
        <v>216</v>
      </c>
      <c r="W38" s="12">
        <v>66</v>
      </c>
      <c r="X38" s="12">
        <v>144</v>
      </c>
      <c r="Y38" s="12">
        <v>149</v>
      </c>
      <c r="Z38" s="12">
        <v>166</v>
      </c>
      <c r="AA38" s="12">
        <v>136</v>
      </c>
      <c r="AB38" s="12">
        <v>182</v>
      </c>
      <c r="AC38" s="12">
        <v>251</v>
      </c>
      <c r="AD38" s="12">
        <v>313</v>
      </c>
      <c r="AE38" s="12">
        <v>214</v>
      </c>
      <c r="AF38" s="12">
        <v>187</v>
      </c>
    </row>
    <row r="39" spans="1:32">
      <c r="A39" s="19"/>
      <c r="B39" s="13" t="s">
        <v>433</v>
      </c>
      <c r="C39" s="14">
        <v>0.14000000000000001</v>
      </c>
      <c r="D39" s="14">
        <v>0.11</v>
      </c>
      <c r="E39" s="14">
        <v>0.17</v>
      </c>
      <c r="F39" s="14">
        <v>0.17</v>
      </c>
      <c r="G39" s="14">
        <v>0.11</v>
      </c>
      <c r="H39" s="14">
        <v>0.11</v>
      </c>
      <c r="I39" s="14">
        <v>0.12</v>
      </c>
      <c r="J39" s="14">
        <v>0.15</v>
      </c>
      <c r="K39" s="14">
        <v>0.17</v>
      </c>
      <c r="L39" s="14">
        <v>0.1</v>
      </c>
      <c r="M39" s="14">
        <v>0.18</v>
      </c>
      <c r="N39" s="14">
        <v>0.11</v>
      </c>
      <c r="O39" s="14">
        <v>0.13</v>
      </c>
      <c r="P39" s="14">
        <v>0.22</v>
      </c>
      <c r="Q39" s="14">
        <v>0.13</v>
      </c>
      <c r="R39" s="14">
        <v>0.03</v>
      </c>
      <c r="S39" s="14">
        <v>0.12</v>
      </c>
      <c r="T39" s="14">
        <v>0.11</v>
      </c>
      <c r="U39" s="14">
        <v>0.14000000000000001</v>
      </c>
      <c r="V39" s="14">
        <v>0.23</v>
      </c>
      <c r="W39" s="14">
        <v>0.14000000000000001</v>
      </c>
      <c r="X39" s="14">
        <v>0.15</v>
      </c>
      <c r="Y39" s="14">
        <v>0.16</v>
      </c>
      <c r="Z39" s="14">
        <v>0.18</v>
      </c>
      <c r="AA39" s="14">
        <v>0.14000000000000001</v>
      </c>
      <c r="AB39" s="14">
        <v>0.19</v>
      </c>
      <c r="AC39" s="14">
        <v>0.28999999999999998</v>
      </c>
      <c r="AD39" s="14">
        <v>0.34</v>
      </c>
      <c r="AE39" s="14">
        <v>0.23</v>
      </c>
      <c r="AF39" s="14">
        <v>0.19</v>
      </c>
    </row>
    <row r="40" spans="1:32">
      <c r="A40" s="19"/>
      <c r="B40" s="11" t="s">
        <v>434</v>
      </c>
      <c r="C40" s="12">
        <v>2053</v>
      </c>
      <c r="D40" s="12">
        <v>55</v>
      </c>
      <c r="E40" s="12">
        <v>58</v>
      </c>
      <c r="F40" s="12">
        <v>59</v>
      </c>
      <c r="G40" s="12">
        <v>105</v>
      </c>
      <c r="H40" s="12">
        <v>68</v>
      </c>
      <c r="I40" s="12">
        <v>87</v>
      </c>
      <c r="J40" s="12">
        <v>19</v>
      </c>
      <c r="K40" s="12">
        <v>36</v>
      </c>
      <c r="L40" s="12">
        <v>69</v>
      </c>
      <c r="M40" s="12">
        <v>44</v>
      </c>
      <c r="N40" s="12">
        <v>69</v>
      </c>
      <c r="O40" s="12">
        <v>97</v>
      </c>
      <c r="P40" s="12">
        <v>105</v>
      </c>
      <c r="Q40" s="12">
        <v>89</v>
      </c>
      <c r="R40" s="12">
        <v>17</v>
      </c>
      <c r="S40" s="12">
        <v>50</v>
      </c>
      <c r="T40" s="12">
        <v>33</v>
      </c>
      <c r="U40" s="12">
        <v>48</v>
      </c>
      <c r="V40" s="12">
        <v>93</v>
      </c>
      <c r="W40" s="12">
        <v>42</v>
      </c>
      <c r="X40" s="12">
        <v>51</v>
      </c>
      <c r="Y40" s="12">
        <v>145</v>
      </c>
      <c r="Z40" s="12">
        <v>82</v>
      </c>
      <c r="AA40" s="12">
        <v>93</v>
      </c>
      <c r="AB40" s="12">
        <v>67</v>
      </c>
      <c r="AC40" s="12">
        <v>42</v>
      </c>
      <c r="AD40" s="12">
        <v>32</v>
      </c>
      <c r="AE40" s="12">
        <v>120</v>
      </c>
      <c r="AF40" s="12">
        <v>208</v>
      </c>
    </row>
    <row r="41" spans="1:32">
      <c r="A41" s="19"/>
      <c r="B41" s="13" t="s">
        <v>435</v>
      </c>
      <c r="C41" s="14">
        <v>0.08</v>
      </c>
      <c r="D41" s="14">
        <v>0.05</v>
      </c>
      <c r="E41" s="14">
        <v>0.06</v>
      </c>
      <c r="F41" s="14">
        <v>0.06</v>
      </c>
      <c r="G41" s="14">
        <v>0.11</v>
      </c>
      <c r="H41" s="14">
        <v>0.06</v>
      </c>
      <c r="I41" s="14">
        <v>0.06</v>
      </c>
      <c r="J41" s="14">
        <v>7.0000000000000007E-2</v>
      </c>
      <c r="K41" s="14">
        <v>0.04</v>
      </c>
      <c r="L41" s="14">
        <v>7.0000000000000007E-2</v>
      </c>
      <c r="M41" s="14">
        <v>0.04</v>
      </c>
      <c r="N41" s="14">
        <v>7.0000000000000007E-2</v>
      </c>
      <c r="O41" s="14">
        <v>0.1</v>
      </c>
      <c r="P41" s="14">
        <v>0.11</v>
      </c>
      <c r="Q41" s="14">
        <v>0.09</v>
      </c>
      <c r="R41" s="14">
        <v>0.03</v>
      </c>
      <c r="S41" s="14">
        <v>0.05</v>
      </c>
      <c r="T41" s="14">
        <v>0.03</v>
      </c>
      <c r="U41" s="14">
        <v>0.1</v>
      </c>
      <c r="V41" s="14">
        <v>0.09</v>
      </c>
      <c r="W41" s="14">
        <v>0.09</v>
      </c>
      <c r="X41" s="14">
        <v>0.05</v>
      </c>
      <c r="Y41" s="14">
        <v>0.15</v>
      </c>
      <c r="Z41" s="14">
        <v>0.08</v>
      </c>
      <c r="AA41" s="14">
        <v>0.09</v>
      </c>
      <c r="AB41" s="14">
        <v>7.0000000000000007E-2</v>
      </c>
      <c r="AC41" s="14">
        <v>0.04</v>
      </c>
      <c r="AD41" s="14">
        <v>0.03</v>
      </c>
      <c r="AE41" s="14">
        <v>0.12</v>
      </c>
      <c r="AF41" s="14">
        <v>0.21</v>
      </c>
    </row>
    <row r="42" spans="1:32">
      <c r="A42" s="19"/>
      <c r="B42" s="11" t="s">
        <v>436</v>
      </c>
      <c r="C42" s="12">
        <v>59</v>
      </c>
      <c r="D42" s="12">
        <v>1</v>
      </c>
      <c r="E42" s="12">
        <v>1</v>
      </c>
      <c r="F42" s="12">
        <v>1</v>
      </c>
      <c r="G42" s="12">
        <v>1</v>
      </c>
      <c r="H42" s="12">
        <v>6</v>
      </c>
      <c r="I42" s="12">
        <v>6</v>
      </c>
      <c r="J42" s="12">
        <v>0</v>
      </c>
      <c r="K42" s="12">
        <v>15</v>
      </c>
      <c r="L42" s="12">
        <v>13</v>
      </c>
      <c r="M42" s="12">
        <v>4</v>
      </c>
      <c r="N42" s="12">
        <v>3</v>
      </c>
      <c r="O42" s="12">
        <v>2</v>
      </c>
      <c r="P42" s="12">
        <v>1</v>
      </c>
      <c r="Q42" s="12">
        <v>0</v>
      </c>
      <c r="R42" s="12">
        <v>1</v>
      </c>
      <c r="S42" s="12">
        <v>9</v>
      </c>
      <c r="T42" s="12">
        <v>1</v>
      </c>
      <c r="U42" s="12">
        <v>7</v>
      </c>
      <c r="V42" s="12">
        <v>0</v>
      </c>
      <c r="W42" s="12">
        <v>2</v>
      </c>
      <c r="X42" s="12">
        <v>0</v>
      </c>
      <c r="Y42" s="12">
        <v>16</v>
      </c>
      <c r="Z42" s="12">
        <v>0</v>
      </c>
      <c r="AA42" s="12">
        <v>1</v>
      </c>
      <c r="AB42" s="12">
        <v>0</v>
      </c>
      <c r="AC42" s="12">
        <v>3</v>
      </c>
      <c r="AD42" s="12">
        <v>2</v>
      </c>
      <c r="AE42" s="12">
        <v>2</v>
      </c>
      <c r="AF42" s="12">
        <v>2</v>
      </c>
    </row>
    <row r="43" spans="1:32">
      <c r="A43" s="19"/>
      <c r="B43" s="13" t="s">
        <v>437</v>
      </c>
      <c r="C43" s="15" t="s">
        <v>375</v>
      </c>
      <c r="D43" s="15" t="s">
        <v>375</v>
      </c>
      <c r="E43" s="15" t="s">
        <v>375</v>
      </c>
      <c r="F43" s="15" t="s">
        <v>375</v>
      </c>
      <c r="G43" s="15" t="s">
        <v>375</v>
      </c>
      <c r="H43" s="15" t="s">
        <v>375</v>
      </c>
      <c r="I43" s="15" t="s">
        <v>375</v>
      </c>
      <c r="J43" s="15" t="s">
        <v>375</v>
      </c>
      <c r="K43" s="14">
        <v>0.01</v>
      </c>
      <c r="L43" s="14">
        <v>0.01</v>
      </c>
      <c r="M43" s="15" t="s">
        <v>375</v>
      </c>
      <c r="N43" s="15" t="s">
        <v>375</v>
      </c>
      <c r="O43" s="15" t="s">
        <v>375</v>
      </c>
      <c r="P43" s="15" t="s">
        <v>375</v>
      </c>
      <c r="Q43" s="15" t="s">
        <v>375</v>
      </c>
      <c r="R43" s="15" t="s">
        <v>375</v>
      </c>
      <c r="S43" s="14">
        <v>0.01</v>
      </c>
      <c r="T43" s="15" t="s">
        <v>375</v>
      </c>
      <c r="U43" s="14">
        <v>0.01</v>
      </c>
      <c r="V43" s="15" t="s">
        <v>375</v>
      </c>
      <c r="W43" s="15" t="s">
        <v>375</v>
      </c>
      <c r="X43" s="15" t="s">
        <v>375</v>
      </c>
      <c r="Y43" s="14">
        <v>0.02</v>
      </c>
      <c r="Z43" s="15" t="s">
        <v>375</v>
      </c>
      <c r="AA43" s="15" t="s">
        <v>375</v>
      </c>
      <c r="AB43" s="15" t="s">
        <v>375</v>
      </c>
      <c r="AC43" s="15" t="s">
        <v>375</v>
      </c>
      <c r="AD43" s="15" t="s">
        <v>375</v>
      </c>
      <c r="AE43" s="15" t="s">
        <v>375</v>
      </c>
      <c r="AF43" s="15" t="s">
        <v>375</v>
      </c>
    </row>
    <row r="44" spans="1:32">
      <c r="A44" s="19"/>
      <c r="B44" s="11" t="s">
        <v>438</v>
      </c>
      <c r="C44" s="12">
        <v>95</v>
      </c>
      <c r="D44" s="12">
        <v>0</v>
      </c>
      <c r="E44" s="12">
        <v>2</v>
      </c>
      <c r="F44" s="12">
        <v>2</v>
      </c>
      <c r="G44" s="12">
        <v>4</v>
      </c>
      <c r="H44" s="12">
        <v>8</v>
      </c>
      <c r="I44" s="12">
        <v>8</v>
      </c>
      <c r="J44" s="12">
        <v>0</v>
      </c>
      <c r="K44" s="12">
        <v>7</v>
      </c>
      <c r="L44" s="12">
        <v>2</v>
      </c>
      <c r="M44" s="12">
        <v>0</v>
      </c>
      <c r="N44" s="12">
        <v>8</v>
      </c>
      <c r="O44" s="12">
        <v>7</v>
      </c>
      <c r="P44" s="12">
        <v>0</v>
      </c>
      <c r="Q44" s="12">
        <v>1</v>
      </c>
      <c r="R44" s="12">
        <v>2</v>
      </c>
      <c r="S44" s="12">
        <v>5</v>
      </c>
      <c r="T44" s="12">
        <v>0</v>
      </c>
      <c r="U44" s="12">
        <v>0</v>
      </c>
      <c r="V44" s="12">
        <v>0</v>
      </c>
      <c r="W44" s="12">
        <v>3</v>
      </c>
      <c r="X44" s="12">
        <v>0</v>
      </c>
      <c r="Y44" s="12">
        <v>2</v>
      </c>
      <c r="Z44" s="12">
        <v>0</v>
      </c>
      <c r="AA44" s="12">
        <v>0</v>
      </c>
      <c r="AB44" s="12">
        <v>1</v>
      </c>
      <c r="AC44" s="12">
        <v>3</v>
      </c>
      <c r="AD44" s="12">
        <v>0</v>
      </c>
      <c r="AE44" s="12">
        <v>7</v>
      </c>
      <c r="AF44" s="12">
        <v>4</v>
      </c>
    </row>
    <row r="45" spans="1:32">
      <c r="A45" s="19"/>
      <c r="B45" s="13" t="s">
        <v>439</v>
      </c>
      <c r="C45" s="15" t="s">
        <v>375</v>
      </c>
      <c r="D45" s="15" t="s">
        <v>375</v>
      </c>
      <c r="E45" s="15" t="s">
        <v>375</v>
      </c>
      <c r="F45" s="15" t="s">
        <v>375</v>
      </c>
      <c r="G45" s="15" t="s">
        <v>375</v>
      </c>
      <c r="H45" s="14">
        <v>0.01</v>
      </c>
      <c r="I45" s="14">
        <v>0.01</v>
      </c>
      <c r="J45" s="15" t="s">
        <v>375</v>
      </c>
      <c r="K45" s="14">
        <v>0.01</v>
      </c>
      <c r="L45" s="15" t="s">
        <v>375</v>
      </c>
      <c r="M45" s="15" t="s">
        <v>375</v>
      </c>
      <c r="N45" s="14">
        <v>0.01</v>
      </c>
      <c r="O45" s="14">
        <v>0.01</v>
      </c>
      <c r="P45" s="15" t="s">
        <v>375</v>
      </c>
      <c r="Q45" s="15" t="s">
        <v>375</v>
      </c>
      <c r="R45" s="15" t="s">
        <v>375</v>
      </c>
      <c r="S45" s="15" t="s">
        <v>375</v>
      </c>
      <c r="T45" s="15" t="s">
        <v>375</v>
      </c>
      <c r="U45" s="15" t="s">
        <v>375</v>
      </c>
      <c r="V45" s="15" t="s">
        <v>375</v>
      </c>
      <c r="W45" s="14">
        <v>0.01</v>
      </c>
      <c r="X45" s="15" t="s">
        <v>375</v>
      </c>
      <c r="Y45" s="15" t="s">
        <v>375</v>
      </c>
      <c r="Z45" s="15" t="s">
        <v>375</v>
      </c>
      <c r="AA45" s="15" t="s">
        <v>375</v>
      </c>
      <c r="AB45" s="15" t="s">
        <v>375</v>
      </c>
      <c r="AC45" s="15" t="s">
        <v>375</v>
      </c>
      <c r="AD45" s="15" t="s">
        <v>375</v>
      </c>
      <c r="AE45" s="14">
        <v>0.01</v>
      </c>
      <c r="AF45" s="15" t="s">
        <v>375</v>
      </c>
    </row>
    <row r="46" spans="1:32">
      <c r="A46" s="19"/>
      <c r="B46" s="11" t="s">
        <v>386</v>
      </c>
      <c r="C46" s="12">
        <v>46</v>
      </c>
      <c r="D46" s="12">
        <v>0</v>
      </c>
      <c r="E46" s="12">
        <v>2</v>
      </c>
      <c r="F46" s="12">
        <v>3</v>
      </c>
      <c r="G46" s="12">
        <v>8</v>
      </c>
      <c r="H46" s="12">
        <v>1</v>
      </c>
      <c r="I46" s="12">
        <v>1</v>
      </c>
      <c r="J46" s="12">
        <v>0</v>
      </c>
      <c r="K46" s="12">
        <v>6</v>
      </c>
      <c r="L46" s="12">
        <v>4</v>
      </c>
      <c r="M46" s="12">
        <v>1</v>
      </c>
      <c r="N46" s="12">
        <v>1</v>
      </c>
      <c r="O46" s="12">
        <v>5</v>
      </c>
      <c r="P46" s="12">
        <v>4</v>
      </c>
      <c r="Q46" s="12">
        <v>0</v>
      </c>
      <c r="R46" s="12">
        <v>1</v>
      </c>
      <c r="S46" s="12">
        <v>9</v>
      </c>
      <c r="T46" s="12">
        <v>5</v>
      </c>
      <c r="U46" s="12">
        <v>2</v>
      </c>
      <c r="V46" s="12">
        <v>0</v>
      </c>
      <c r="W46" s="12">
        <v>2</v>
      </c>
      <c r="X46" s="12">
        <v>0</v>
      </c>
      <c r="Y46" s="12">
        <v>2</v>
      </c>
      <c r="Z46" s="12">
        <v>0</v>
      </c>
      <c r="AA46" s="12">
        <v>3</v>
      </c>
      <c r="AB46" s="12">
        <v>0</v>
      </c>
      <c r="AC46" s="12">
        <v>1</v>
      </c>
      <c r="AD46" s="12">
        <v>2</v>
      </c>
      <c r="AE46" s="12">
        <v>11</v>
      </c>
      <c r="AF46" s="12">
        <v>4</v>
      </c>
    </row>
    <row r="47" spans="1:32">
      <c r="A47" s="19"/>
      <c r="B47" s="13" t="s">
        <v>399</v>
      </c>
      <c r="C47" s="15" t="s">
        <v>375</v>
      </c>
      <c r="D47" s="15" t="s">
        <v>375</v>
      </c>
      <c r="E47" s="15" t="s">
        <v>375</v>
      </c>
      <c r="F47" s="15" t="s">
        <v>375</v>
      </c>
      <c r="G47" s="14">
        <v>0.01</v>
      </c>
      <c r="H47" s="15" t="s">
        <v>375</v>
      </c>
      <c r="I47" s="15" t="s">
        <v>375</v>
      </c>
      <c r="J47" s="15" t="s">
        <v>375</v>
      </c>
      <c r="K47" s="14">
        <v>0.01</v>
      </c>
      <c r="L47" s="15" t="s">
        <v>375</v>
      </c>
      <c r="M47" s="15" t="s">
        <v>375</v>
      </c>
      <c r="N47" s="15" t="s">
        <v>375</v>
      </c>
      <c r="O47" s="14">
        <v>0.01</v>
      </c>
      <c r="P47" s="15" t="s">
        <v>375</v>
      </c>
      <c r="Q47" s="15" t="s">
        <v>375</v>
      </c>
      <c r="R47" s="15" t="s">
        <v>375</v>
      </c>
      <c r="S47" s="14">
        <v>0.01</v>
      </c>
      <c r="T47" s="14">
        <v>0.01</v>
      </c>
      <c r="U47" s="15" t="s">
        <v>375</v>
      </c>
      <c r="V47" s="15" t="s">
        <v>375</v>
      </c>
      <c r="W47" s="15" t="s">
        <v>375</v>
      </c>
      <c r="X47" s="15" t="s">
        <v>375</v>
      </c>
      <c r="Y47" s="15" t="s">
        <v>375</v>
      </c>
      <c r="Z47" s="15" t="s">
        <v>375</v>
      </c>
      <c r="AA47" s="15" t="s">
        <v>375</v>
      </c>
      <c r="AB47" s="15" t="s">
        <v>375</v>
      </c>
      <c r="AC47" s="15" t="s">
        <v>375</v>
      </c>
      <c r="AD47" s="15" t="s">
        <v>375</v>
      </c>
      <c r="AE47" s="14">
        <v>0.01</v>
      </c>
      <c r="AF47" s="15" t="s">
        <v>375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23</v>
      </c>
      <c r="C3" s="17"/>
      <c r="D3" s="17"/>
      <c r="E3" s="17"/>
      <c r="F3" s="17"/>
      <c r="H3" s="17" t="s">
        <v>24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406</v>
      </c>
      <c r="C12" s="12">
        <v>8388</v>
      </c>
      <c r="D12" s="12">
        <v>272</v>
      </c>
      <c r="E12" s="12">
        <v>299</v>
      </c>
      <c r="F12" s="12">
        <v>220</v>
      </c>
      <c r="G12" s="12">
        <v>245</v>
      </c>
      <c r="H12" s="12">
        <v>133</v>
      </c>
      <c r="I12" s="12">
        <v>188</v>
      </c>
      <c r="J12" s="12">
        <v>55</v>
      </c>
      <c r="K12" s="12">
        <v>300</v>
      </c>
      <c r="L12" s="12">
        <v>494</v>
      </c>
      <c r="M12" s="12">
        <v>542</v>
      </c>
      <c r="N12" s="12">
        <v>567</v>
      </c>
      <c r="O12" s="12">
        <v>364</v>
      </c>
      <c r="P12" s="12">
        <v>256</v>
      </c>
      <c r="Q12" s="12">
        <v>376</v>
      </c>
      <c r="R12" s="12">
        <v>195</v>
      </c>
      <c r="S12" s="12">
        <v>449</v>
      </c>
      <c r="T12" s="12">
        <v>444</v>
      </c>
      <c r="U12" s="12">
        <v>152</v>
      </c>
      <c r="V12" s="12">
        <v>359</v>
      </c>
      <c r="W12" s="12">
        <v>193</v>
      </c>
      <c r="X12" s="12">
        <v>170</v>
      </c>
      <c r="Y12" s="12">
        <v>218</v>
      </c>
      <c r="Z12" s="12">
        <v>292</v>
      </c>
      <c r="AA12" s="12">
        <v>708</v>
      </c>
      <c r="AB12" s="12">
        <v>305</v>
      </c>
      <c r="AC12" s="12">
        <v>475</v>
      </c>
      <c r="AD12" s="12">
        <v>333</v>
      </c>
      <c r="AE12" s="12">
        <v>133</v>
      </c>
      <c r="AF12" s="12">
        <v>175</v>
      </c>
    </row>
    <row r="13" spans="1:32">
      <c r="A13" s="19"/>
      <c r="B13" s="13" t="s">
        <v>407</v>
      </c>
      <c r="C13" s="14">
        <v>0.32</v>
      </c>
      <c r="D13" s="14">
        <v>0.27</v>
      </c>
      <c r="E13" s="14">
        <v>0.28999999999999998</v>
      </c>
      <c r="F13" s="14">
        <v>0.21</v>
      </c>
      <c r="G13" s="14">
        <v>0.24</v>
      </c>
      <c r="H13" s="14">
        <v>0.11</v>
      </c>
      <c r="I13" s="14">
        <v>0.12</v>
      </c>
      <c r="J13" s="14">
        <v>0.18</v>
      </c>
      <c r="K13" s="14">
        <v>0.3</v>
      </c>
      <c r="L13" s="14">
        <v>0.49</v>
      </c>
      <c r="M13" s="14">
        <v>0.54</v>
      </c>
      <c r="N13" s="14">
        <v>0.56000000000000005</v>
      </c>
      <c r="O13" s="14">
        <v>0.36</v>
      </c>
      <c r="P13" s="14">
        <v>0.26</v>
      </c>
      <c r="Q13" s="14">
        <v>0.37</v>
      </c>
      <c r="R13" s="14">
        <v>0.39</v>
      </c>
      <c r="S13" s="14">
        <v>0.45</v>
      </c>
      <c r="T13" s="14">
        <v>0.43</v>
      </c>
      <c r="U13" s="14">
        <v>0.3</v>
      </c>
      <c r="V13" s="14">
        <v>0.35</v>
      </c>
      <c r="W13" s="14">
        <v>0.38</v>
      </c>
      <c r="X13" s="14">
        <v>0.17</v>
      </c>
      <c r="Y13" s="14">
        <v>0.22</v>
      </c>
      <c r="Z13" s="14">
        <v>0.28999999999999998</v>
      </c>
      <c r="AA13" s="14">
        <v>0.68</v>
      </c>
      <c r="AB13" s="14">
        <v>0.28999999999999998</v>
      </c>
      <c r="AC13" s="14">
        <v>0.47</v>
      </c>
      <c r="AD13" s="14">
        <v>0.33</v>
      </c>
      <c r="AE13" s="14">
        <v>0.13</v>
      </c>
      <c r="AF13" s="14">
        <v>0.17</v>
      </c>
    </row>
    <row r="14" spans="1:32">
      <c r="A14" s="19"/>
      <c r="B14" s="11" t="s">
        <v>408</v>
      </c>
      <c r="C14" s="12">
        <v>6797</v>
      </c>
      <c r="D14" s="12">
        <v>254</v>
      </c>
      <c r="E14" s="12">
        <v>136</v>
      </c>
      <c r="F14" s="12">
        <v>147</v>
      </c>
      <c r="G14" s="12">
        <v>499</v>
      </c>
      <c r="H14" s="12">
        <v>392</v>
      </c>
      <c r="I14" s="12">
        <v>468</v>
      </c>
      <c r="J14" s="12">
        <v>76</v>
      </c>
      <c r="K14" s="12">
        <v>108</v>
      </c>
      <c r="L14" s="12">
        <v>218</v>
      </c>
      <c r="M14" s="12">
        <v>147</v>
      </c>
      <c r="N14" s="12">
        <v>202</v>
      </c>
      <c r="O14" s="12">
        <v>302</v>
      </c>
      <c r="P14" s="12">
        <v>186</v>
      </c>
      <c r="Q14" s="12">
        <v>260</v>
      </c>
      <c r="R14" s="12">
        <v>66</v>
      </c>
      <c r="S14" s="12">
        <v>109</v>
      </c>
      <c r="T14" s="12">
        <v>104</v>
      </c>
      <c r="U14" s="12">
        <v>116</v>
      </c>
      <c r="V14" s="12">
        <v>229</v>
      </c>
      <c r="W14" s="12">
        <v>169</v>
      </c>
      <c r="X14" s="12">
        <v>465</v>
      </c>
      <c r="Y14" s="12">
        <v>260</v>
      </c>
      <c r="Z14" s="12">
        <v>142</v>
      </c>
      <c r="AA14" s="12">
        <v>164</v>
      </c>
      <c r="AB14" s="12">
        <v>146</v>
      </c>
      <c r="AC14" s="12">
        <v>180</v>
      </c>
      <c r="AD14" s="12">
        <v>176</v>
      </c>
      <c r="AE14" s="12">
        <v>423</v>
      </c>
      <c r="AF14" s="12">
        <v>606</v>
      </c>
    </row>
    <row r="15" spans="1:32">
      <c r="A15" s="19"/>
      <c r="B15" s="13" t="s">
        <v>409</v>
      </c>
      <c r="C15" s="14">
        <v>0.26</v>
      </c>
      <c r="D15" s="14">
        <v>0.25</v>
      </c>
      <c r="E15" s="14">
        <v>0.13</v>
      </c>
      <c r="F15" s="14">
        <v>0.14000000000000001</v>
      </c>
      <c r="G15" s="14">
        <v>0.49</v>
      </c>
      <c r="H15" s="14">
        <v>0.32</v>
      </c>
      <c r="I15" s="14">
        <v>0.31</v>
      </c>
      <c r="J15" s="14">
        <v>0.26</v>
      </c>
      <c r="K15" s="14">
        <v>0.11</v>
      </c>
      <c r="L15" s="14">
        <v>0.22</v>
      </c>
      <c r="M15" s="14">
        <v>0.15</v>
      </c>
      <c r="N15" s="14">
        <v>0.2</v>
      </c>
      <c r="O15" s="14">
        <v>0.3</v>
      </c>
      <c r="P15" s="14">
        <v>0.19</v>
      </c>
      <c r="Q15" s="14">
        <v>0.25</v>
      </c>
      <c r="R15" s="14">
        <v>0.13</v>
      </c>
      <c r="S15" s="14">
        <v>0.11</v>
      </c>
      <c r="T15" s="14">
        <v>0.1</v>
      </c>
      <c r="U15" s="14">
        <v>0.23</v>
      </c>
      <c r="V15" s="14">
        <v>0.22</v>
      </c>
      <c r="W15" s="14">
        <v>0.34</v>
      </c>
      <c r="X15" s="14">
        <v>0.46</v>
      </c>
      <c r="Y15" s="14">
        <v>0.26</v>
      </c>
      <c r="Z15" s="14">
        <v>0.14000000000000001</v>
      </c>
      <c r="AA15" s="14">
        <v>0.16</v>
      </c>
      <c r="AB15" s="14">
        <v>0.14000000000000001</v>
      </c>
      <c r="AC15" s="14">
        <v>0.18</v>
      </c>
      <c r="AD15" s="14">
        <v>0.18</v>
      </c>
      <c r="AE15" s="14">
        <v>0.42</v>
      </c>
      <c r="AF15" s="14">
        <v>0.59</v>
      </c>
    </row>
    <row r="16" spans="1:32">
      <c r="A16" s="19"/>
      <c r="B16" s="11" t="s">
        <v>410</v>
      </c>
      <c r="C16" s="12">
        <v>7398</v>
      </c>
      <c r="D16" s="12">
        <v>320</v>
      </c>
      <c r="E16" s="12">
        <v>430</v>
      </c>
      <c r="F16" s="12">
        <v>184</v>
      </c>
      <c r="G16" s="12">
        <v>195</v>
      </c>
      <c r="H16" s="12">
        <v>316</v>
      </c>
      <c r="I16" s="12">
        <v>385</v>
      </c>
      <c r="J16" s="12">
        <v>69</v>
      </c>
      <c r="K16" s="12">
        <v>216</v>
      </c>
      <c r="L16" s="12">
        <v>239</v>
      </c>
      <c r="M16" s="12">
        <v>461</v>
      </c>
      <c r="N16" s="12">
        <v>303</v>
      </c>
      <c r="O16" s="12">
        <v>385</v>
      </c>
      <c r="P16" s="12">
        <v>332</v>
      </c>
      <c r="Q16" s="12">
        <v>216</v>
      </c>
      <c r="R16" s="12">
        <v>175</v>
      </c>
      <c r="S16" s="12">
        <v>276</v>
      </c>
      <c r="T16" s="12">
        <v>424</v>
      </c>
      <c r="U16" s="12">
        <v>166</v>
      </c>
      <c r="V16" s="12">
        <v>257</v>
      </c>
      <c r="W16" s="12">
        <v>126</v>
      </c>
      <c r="X16" s="12">
        <v>241</v>
      </c>
      <c r="Y16" s="12">
        <v>289</v>
      </c>
      <c r="Z16" s="12">
        <v>173</v>
      </c>
      <c r="AA16" s="12">
        <v>430</v>
      </c>
      <c r="AB16" s="12">
        <v>307</v>
      </c>
      <c r="AC16" s="12">
        <v>263</v>
      </c>
      <c r="AD16" s="12">
        <v>286</v>
      </c>
      <c r="AE16" s="12">
        <v>305</v>
      </c>
      <c r="AF16" s="12">
        <v>273</v>
      </c>
    </row>
    <row r="17" spans="1:32">
      <c r="A17" s="19"/>
      <c r="B17" s="13" t="s">
        <v>411</v>
      </c>
      <c r="C17" s="14">
        <v>0.28000000000000003</v>
      </c>
      <c r="D17" s="14">
        <v>0.31</v>
      </c>
      <c r="E17" s="14">
        <v>0.41</v>
      </c>
      <c r="F17" s="14">
        <v>0.17</v>
      </c>
      <c r="G17" s="14">
        <v>0.19</v>
      </c>
      <c r="H17" s="14">
        <v>0.26</v>
      </c>
      <c r="I17" s="14">
        <v>0.25</v>
      </c>
      <c r="J17" s="14">
        <v>0.23</v>
      </c>
      <c r="K17" s="14">
        <v>0.22</v>
      </c>
      <c r="L17" s="14">
        <v>0.24</v>
      </c>
      <c r="M17" s="14">
        <v>0.46</v>
      </c>
      <c r="N17" s="14">
        <v>0.3</v>
      </c>
      <c r="O17" s="14">
        <v>0.38</v>
      </c>
      <c r="P17" s="14">
        <v>0.33</v>
      </c>
      <c r="Q17" s="14">
        <v>0.21</v>
      </c>
      <c r="R17" s="14">
        <v>0.35</v>
      </c>
      <c r="S17" s="14">
        <v>0.28000000000000003</v>
      </c>
      <c r="T17" s="14">
        <v>0.41</v>
      </c>
      <c r="U17" s="14">
        <v>0.33</v>
      </c>
      <c r="V17" s="14">
        <v>0.25</v>
      </c>
      <c r="W17" s="14">
        <v>0.25</v>
      </c>
      <c r="X17" s="14">
        <v>0.24</v>
      </c>
      <c r="Y17" s="14">
        <v>0.28999999999999998</v>
      </c>
      <c r="Z17" s="14">
        <v>0.17</v>
      </c>
      <c r="AA17" s="14">
        <v>0.41</v>
      </c>
      <c r="AB17" s="14">
        <v>0.3</v>
      </c>
      <c r="AC17" s="14">
        <v>0.26</v>
      </c>
      <c r="AD17" s="14">
        <v>0.28000000000000003</v>
      </c>
      <c r="AE17" s="14">
        <v>0.3</v>
      </c>
      <c r="AF17" s="14">
        <v>0.27</v>
      </c>
    </row>
    <row r="18" spans="1:32">
      <c r="A18" s="19"/>
      <c r="B18" s="11" t="s">
        <v>412</v>
      </c>
      <c r="C18" s="12">
        <v>9237</v>
      </c>
      <c r="D18" s="12">
        <v>301</v>
      </c>
      <c r="E18" s="12">
        <v>492</v>
      </c>
      <c r="F18" s="12">
        <v>302</v>
      </c>
      <c r="G18" s="12">
        <v>262</v>
      </c>
      <c r="H18" s="12">
        <v>374</v>
      </c>
      <c r="I18" s="12">
        <v>481</v>
      </c>
      <c r="J18" s="12">
        <v>107</v>
      </c>
      <c r="K18" s="12">
        <v>474</v>
      </c>
      <c r="L18" s="12">
        <v>324</v>
      </c>
      <c r="M18" s="12">
        <v>601</v>
      </c>
      <c r="N18" s="12">
        <v>505</v>
      </c>
      <c r="O18" s="12">
        <v>228</v>
      </c>
      <c r="P18" s="12">
        <v>433</v>
      </c>
      <c r="Q18" s="12">
        <v>428</v>
      </c>
      <c r="R18" s="12">
        <v>216</v>
      </c>
      <c r="S18" s="12">
        <v>486</v>
      </c>
      <c r="T18" s="12">
        <v>459</v>
      </c>
      <c r="U18" s="12">
        <v>155</v>
      </c>
      <c r="V18" s="12">
        <v>449</v>
      </c>
      <c r="W18" s="12">
        <v>119</v>
      </c>
      <c r="X18" s="12">
        <v>212</v>
      </c>
      <c r="Y18" s="12">
        <v>394</v>
      </c>
      <c r="Z18" s="12">
        <v>258</v>
      </c>
      <c r="AA18" s="12">
        <v>462</v>
      </c>
      <c r="AB18" s="12">
        <v>397</v>
      </c>
      <c r="AC18" s="12">
        <v>386</v>
      </c>
      <c r="AD18" s="12">
        <v>411</v>
      </c>
      <c r="AE18" s="12">
        <v>440</v>
      </c>
      <c r="AF18" s="12">
        <v>296</v>
      </c>
    </row>
    <row r="19" spans="1:32">
      <c r="A19" s="19"/>
      <c r="B19" s="13" t="s">
        <v>413</v>
      </c>
      <c r="C19" s="14">
        <v>0.35</v>
      </c>
      <c r="D19" s="14">
        <v>0.3</v>
      </c>
      <c r="E19" s="14">
        <v>0.47</v>
      </c>
      <c r="F19" s="14">
        <v>0.28000000000000003</v>
      </c>
      <c r="G19" s="14">
        <v>0.26</v>
      </c>
      <c r="H19" s="14">
        <v>0.3</v>
      </c>
      <c r="I19" s="14">
        <v>0.31</v>
      </c>
      <c r="J19" s="14">
        <v>0.36</v>
      </c>
      <c r="K19" s="14">
        <v>0.47</v>
      </c>
      <c r="L19" s="14">
        <v>0.32</v>
      </c>
      <c r="M19" s="14">
        <v>0.6</v>
      </c>
      <c r="N19" s="14">
        <v>0.5</v>
      </c>
      <c r="O19" s="14">
        <v>0.23</v>
      </c>
      <c r="P19" s="14">
        <v>0.43</v>
      </c>
      <c r="Q19" s="14">
        <v>0.41</v>
      </c>
      <c r="R19" s="14">
        <v>0.43</v>
      </c>
      <c r="S19" s="14">
        <v>0.48</v>
      </c>
      <c r="T19" s="14">
        <v>0.45</v>
      </c>
      <c r="U19" s="14">
        <v>0.31</v>
      </c>
      <c r="V19" s="14">
        <v>0.44</v>
      </c>
      <c r="W19" s="14">
        <v>0.24</v>
      </c>
      <c r="X19" s="14">
        <v>0.21</v>
      </c>
      <c r="Y19" s="14">
        <v>0.39</v>
      </c>
      <c r="Z19" s="14">
        <v>0.25</v>
      </c>
      <c r="AA19" s="14">
        <v>0.45</v>
      </c>
      <c r="AB19" s="14">
        <v>0.38</v>
      </c>
      <c r="AC19" s="14">
        <v>0.38</v>
      </c>
      <c r="AD19" s="14">
        <v>0.41</v>
      </c>
      <c r="AE19" s="14">
        <v>0.44</v>
      </c>
      <c r="AF19" s="14">
        <v>0.28999999999999998</v>
      </c>
    </row>
    <row r="20" spans="1:32">
      <c r="A20" s="19"/>
      <c r="B20" s="11" t="s">
        <v>414</v>
      </c>
      <c r="C20" s="12">
        <v>10951</v>
      </c>
      <c r="D20" s="12">
        <v>438</v>
      </c>
      <c r="E20" s="12">
        <v>612</v>
      </c>
      <c r="F20" s="12">
        <v>479</v>
      </c>
      <c r="G20" s="12">
        <v>275</v>
      </c>
      <c r="H20" s="12">
        <v>426</v>
      </c>
      <c r="I20" s="12">
        <v>562</v>
      </c>
      <c r="J20" s="12">
        <v>136</v>
      </c>
      <c r="K20" s="12">
        <v>526</v>
      </c>
      <c r="L20" s="12">
        <v>525</v>
      </c>
      <c r="M20" s="12">
        <v>534</v>
      </c>
      <c r="N20" s="12">
        <v>427</v>
      </c>
      <c r="O20" s="12">
        <v>496</v>
      </c>
      <c r="P20" s="12">
        <v>571</v>
      </c>
      <c r="Q20" s="12">
        <v>418</v>
      </c>
      <c r="R20" s="12">
        <v>169</v>
      </c>
      <c r="S20" s="12">
        <v>412</v>
      </c>
      <c r="T20" s="12">
        <v>359</v>
      </c>
      <c r="U20" s="12">
        <v>203</v>
      </c>
      <c r="V20" s="12">
        <v>461</v>
      </c>
      <c r="W20" s="12">
        <v>203</v>
      </c>
      <c r="X20" s="12">
        <v>295</v>
      </c>
      <c r="Y20" s="12">
        <v>486</v>
      </c>
      <c r="Z20" s="12">
        <v>377</v>
      </c>
      <c r="AA20" s="12">
        <v>604</v>
      </c>
      <c r="AB20" s="12">
        <v>416</v>
      </c>
      <c r="AC20" s="12">
        <v>345</v>
      </c>
      <c r="AD20" s="12">
        <v>608</v>
      </c>
      <c r="AE20" s="12">
        <v>189</v>
      </c>
      <c r="AF20" s="12">
        <v>144</v>
      </c>
    </row>
    <row r="21" spans="1:32">
      <c r="A21" s="19"/>
      <c r="B21" s="13" t="s">
        <v>415</v>
      </c>
      <c r="C21" s="14">
        <v>0.41</v>
      </c>
      <c r="D21" s="14">
        <v>0.43</v>
      </c>
      <c r="E21" s="14">
        <v>0.59</v>
      </c>
      <c r="F21" s="14">
        <v>0.45</v>
      </c>
      <c r="G21" s="14">
        <v>0.27</v>
      </c>
      <c r="H21" s="14">
        <v>0.35</v>
      </c>
      <c r="I21" s="14">
        <v>0.37</v>
      </c>
      <c r="J21" s="14">
        <v>0.46</v>
      </c>
      <c r="K21" s="14">
        <v>0.52</v>
      </c>
      <c r="L21" s="14">
        <v>0.52</v>
      </c>
      <c r="M21" s="14">
        <v>0.53</v>
      </c>
      <c r="N21" s="14">
        <v>0.42</v>
      </c>
      <c r="O21" s="14">
        <v>0.49</v>
      </c>
      <c r="P21" s="14">
        <v>0.57000000000000006</v>
      </c>
      <c r="Q21" s="14">
        <v>0.4</v>
      </c>
      <c r="R21" s="14">
        <v>0.34</v>
      </c>
      <c r="S21" s="14">
        <v>0.41</v>
      </c>
      <c r="T21" s="14">
        <v>0.35</v>
      </c>
      <c r="U21" s="14">
        <v>0.4</v>
      </c>
      <c r="V21" s="14">
        <v>0.45</v>
      </c>
      <c r="W21" s="14">
        <v>0.4</v>
      </c>
      <c r="X21" s="14">
        <v>0.28999999999999998</v>
      </c>
      <c r="Y21" s="14">
        <v>0.48</v>
      </c>
      <c r="Z21" s="14">
        <v>0.37</v>
      </c>
      <c r="AA21" s="14">
        <v>0.57999999999999996</v>
      </c>
      <c r="AB21" s="14">
        <v>0.4</v>
      </c>
      <c r="AC21" s="14">
        <v>0.34</v>
      </c>
      <c r="AD21" s="14">
        <v>0.61</v>
      </c>
      <c r="AE21" s="14">
        <v>0.19</v>
      </c>
      <c r="AF21" s="14">
        <v>0.14000000000000001</v>
      </c>
    </row>
    <row r="22" spans="1:32">
      <c r="A22" s="19"/>
      <c r="B22" s="11" t="s">
        <v>416</v>
      </c>
      <c r="C22" s="12">
        <v>2347</v>
      </c>
      <c r="D22" s="12">
        <v>69</v>
      </c>
      <c r="E22" s="12">
        <v>84</v>
      </c>
      <c r="F22" s="12">
        <v>93</v>
      </c>
      <c r="G22" s="12">
        <v>79</v>
      </c>
      <c r="H22" s="12">
        <v>152</v>
      </c>
      <c r="I22" s="12">
        <v>184</v>
      </c>
      <c r="J22" s="12">
        <v>33</v>
      </c>
      <c r="K22" s="12">
        <v>87</v>
      </c>
      <c r="L22" s="12">
        <v>56</v>
      </c>
      <c r="M22" s="12">
        <v>57</v>
      </c>
      <c r="N22" s="12">
        <v>29</v>
      </c>
      <c r="O22" s="12">
        <v>42</v>
      </c>
      <c r="P22" s="12">
        <v>93</v>
      </c>
      <c r="Q22" s="12">
        <v>147</v>
      </c>
      <c r="R22" s="12">
        <v>19</v>
      </c>
      <c r="S22" s="12">
        <v>56</v>
      </c>
      <c r="T22" s="12">
        <v>105</v>
      </c>
      <c r="U22" s="12">
        <v>47</v>
      </c>
      <c r="V22" s="12">
        <v>127</v>
      </c>
      <c r="W22" s="12">
        <v>39</v>
      </c>
      <c r="X22" s="12">
        <v>128</v>
      </c>
      <c r="Y22" s="12">
        <v>97</v>
      </c>
      <c r="Z22" s="12">
        <v>101</v>
      </c>
      <c r="AA22" s="12">
        <v>65</v>
      </c>
      <c r="AB22" s="12">
        <v>118</v>
      </c>
      <c r="AC22" s="12">
        <v>76</v>
      </c>
      <c r="AD22" s="12">
        <v>87</v>
      </c>
      <c r="AE22" s="12">
        <v>55</v>
      </c>
      <c r="AF22" s="12">
        <v>55</v>
      </c>
    </row>
    <row r="23" spans="1:32">
      <c r="A23" s="19"/>
      <c r="B23" s="13" t="s">
        <v>417</v>
      </c>
      <c r="C23" s="14">
        <v>0.09</v>
      </c>
      <c r="D23" s="14">
        <v>7.0000000000000007E-2</v>
      </c>
      <c r="E23" s="14">
        <v>0.08</v>
      </c>
      <c r="F23" s="14">
        <v>0.09</v>
      </c>
      <c r="G23" s="14">
        <v>0.08</v>
      </c>
      <c r="H23" s="14">
        <v>0.12</v>
      </c>
      <c r="I23" s="14">
        <v>0.12</v>
      </c>
      <c r="J23" s="14">
        <v>0.11</v>
      </c>
      <c r="K23" s="14">
        <v>0.09</v>
      </c>
      <c r="L23" s="14">
        <v>0.06</v>
      </c>
      <c r="M23" s="14">
        <v>0.06</v>
      </c>
      <c r="N23" s="14">
        <v>0.03</v>
      </c>
      <c r="O23" s="14">
        <v>0.04</v>
      </c>
      <c r="P23" s="14">
        <v>0.09</v>
      </c>
      <c r="Q23" s="14">
        <v>0.14000000000000001</v>
      </c>
      <c r="R23" s="14">
        <v>0.04</v>
      </c>
      <c r="S23" s="14">
        <v>0.06</v>
      </c>
      <c r="T23" s="14">
        <v>0.1</v>
      </c>
      <c r="U23" s="14">
        <v>0.09</v>
      </c>
      <c r="V23" s="14">
        <v>0.12</v>
      </c>
      <c r="W23" s="14">
        <v>0.08</v>
      </c>
      <c r="X23" s="14">
        <v>0.13</v>
      </c>
      <c r="Y23" s="14">
        <v>0.1</v>
      </c>
      <c r="Z23" s="14">
        <v>0.1</v>
      </c>
      <c r="AA23" s="14">
        <v>0.06</v>
      </c>
      <c r="AB23" s="14">
        <v>0.11</v>
      </c>
      <c r="AC23" s="14">
        <v>0.08</v>
      </c>
      <c r="AD23" s="14">
        <v>0.09</v>
      </c>
      <c r="AE23" s="14">
        <v>0.06</v>
      </c>
      <c r="AF23" s="14">
        <v>0.05</v>
      </c>
    </row>
    <row r="24" spans="1:32">
      <c r="A24" s="19"/>
      <c r="B24" s="11" t="s">
        <v>418</v>
      </c>
      <c r="C24" s="12">
        <v>2809</v>
      </c>
      <c r="D24" s="12">
        <v>100</v>
      </c>
      <c r="E24" s="12">
        <v>118</v>
      </c>
      <c r="F24" s="12">
        <v>69</v>
      </c>
      <c r="G24" s="12">
        <v>109</v>
      </c>
      <c r="H24" s="12">
        <v>97</v>
      </c>
      <c r="I24" s="12">
        <v>119</v>
      </c>
      <c r="J24" s="12">
        <v>22</v>
      </c>
      <c r="K24" s="12">
        <v>83</v>
      </c>
      <c r="L24" s="12">
        <v>83</v>
      </c>
      <c r="M24" s="12">
        <v>148</v>
      </c>
      <c r="N24" s="12">
        <v>137</v>
      </c>
      <c r="O24" s="12">
        <v>120</v>
      </c>
      <c r="P24" s="12">
        <v>95</v>
      </c>
      <c r="Q24" s="12">
        <v>133</v>
      </c>
      <c r="R24" s="12">
        <v>89</v>
      </c>
      <c r="S24" s="12">
        <v>73</v>
      </c>
      <c r="T24" s="12">
        <v>47</v>
      </c>
      <c r="U24" s="12">
        <v>55</v>
      </c>
      <c r="V24" s="12">
        <v>71</v>
      </c>
      <c r="W24" s="12">
        <v>53</v>
      </c>
      <c r="X24" s="12">
        <v>105</v>
      </c>
      <c r="Y24" s="12">
        <v>69</v>
      </c>
      <c r="Z24" s="12">
        <v>95</v>
      </c>
      <c r="AA24" s="12">
        <v>121</v>
      </c>
      <c r="AB24" s="12">
        <v>138</v>
      </c>
      <c r="AC24" s="12">
        <v>86</v>
      </c>
      <c r="AD24" s="12">
        <v>67</v>
      </c>
      <c r="AE24" s="12">
        <v>76</v>
      </c>
      <c r="AF24" s="12">
        <v>122</v>
      </c>
    </row>
    <row r="25" spans="1:32">
      <c r="A25" s="19"/>
      <c r="B25" s="13" t="s">
        <v>419</v>
      </c>
      <c r="C25" s="14">
        <v>0.11</v>
      </c>
      <c r="D25" s="14">
        <v>0.1</v>
      </c>
      <c r="E25" s="14">
        <v>0.11</v>
      </c>
      <c r="F25" s="14">
        <v>0.06</v>
      </c>
      <c r="G25" s="14">
        <v>0.11</v>
      </c>
      <c r="H25" s="14">
        <v>0.08</v>
      </c>
      <c r="I25" s="14">
        <v>0.08</v>
      </c>
      <c r="J25" s="14">
        <v>7.0000000000000007E-2</v>
      </c>
      <c r="K25" s="14">
        <v>0.08</v>
      </c>
      <c r="L25" s="14">
        <v>0.08</v>
      </c>
      <c r="M25" s="14">
        <v>0.15</v>
      </c>
      <c r="N25" s="14">
        <v>0.14000000000000001</v>
      </c>
      <c r="O25" s="14">
        <v>0.12</v>
      </c>
      <c r="P25" s="14">
        <v>0.09</v>
      </c>
      <c r="Q25" s="14">
        <v>0.13</v>
      </c>
      <c r="R25" s="14">
        <v>0.18</v>
      </c>
      <c r="S25" s="14">
        <v>7.0000000000000007E-2</v>
      </c>
      <c r="T25" s="14">
        <v>0.05</v>
      </c>
      <c r="U25" s="14">
        <v>0.11</v>
      </c>
      <c r="V25" s="14">
        <v>7.0000000000000007E-2</v>
      </c>
      <c r="W25" s="14">
        <v>0.1</v>
      </c>
      <c r="X25" s="14">
        <v>0.1</v>
      </c>
      <c r="Y25" s="14">
        <v>7.0000000000000007E-2</v>
      </c>
      <c r="Z25" s="14">
        <v>0.09</v>
      </c>
      <c r="AA25" s="14">
        <v>0.12</v>
      </c>
      <c r="AB25" s="14">
        <v>0.13</v>
      </c>
      <c r="AC25" s="14">
        <v>0.09</v>
      </c>
      <c r="AD25" s="14">
        <v>7.0000000000000007E-2</v>
      </c>
      <c r="AE25" s="14">
        <v>0.08</v>
      </c>
      <c r="AF25" s="14">
        <v>0.12</v>
      </c>
    </row>
    <row r="26" spans="1:32">
      <c r="A26" s="19"/>
      <c r="B26" s="11" t="s">
        <v>420</v>
      </c>
      <c r="C26" s="12">
        <v>3401</v>
      </c>
      <c r="D26" s="12">
        <v>158</v>
      </c>
      <c r="E26" s="12">
        <v>124</v>
      </c>
      <c r="F26" s="12">
        <v>354</v>
      </c>
      <c r="G26" s="12">
        <v>198</v>
      </c>
      <c r="H26" s="12">
        <v>122</v>
      </c>
      <c r="I26" s="12">
        <v>158</v>
      </c>
      <c r="J26" s="12">
        <v>36</v>
      </c>
      <c r="K26" s="12">
        <v>221</v>
      </c>
      <c r="L26" s="12">
        <v>82</v>
      </c>
      <c r="M26" s="12">
        <v>124</v>
      </c>
      <c r="N26" s="12">
        <v>61</v>
      </c>
      <c r="O26" s="12">
        <v>118</v>
      </c>
      <c r="P26" s="12">
        <v>119</v>
      </c>
      <c r="Q26" s="12">
        <v>172</v>
      </c>
      <c r="R26" s="12">
        <v>12</v>
      </c>
      <c r="S26" s="12">
        <v>96</v>
      </c>
      <c r="T26" s="12">
        <v>98</v>
      </c>
      <c r="U26" s="12">
        <v>80</v>
      </c>
      <c r="V26" s="12">
        <v>148</v>
      </c>
      <c r="W26" s="12">
        <v>42</v>
      </c>
      <c r="X26" s="12">
        <v>194</v>
      </c>
      <c r="Y26" s="12">
        <v>171</v>
      </c>
      <c r="Z26" s="12">
        <v>103</v>
      </c>
      <c r="AA26" s="12">
        <v>161</v>
      </c>
      <c r="AB26" s="12">
        <v>189</v>
      </c>
      <c r="AC26" s="12">
        <v>106</v>
      </c>
      <c r="AD26" s="12">
        <v>103</v>
      </c>
      <c r="AE26" s="12">
        <v>114</v>
      </c>
      <c r="AF26" s="12">
        <v>116</v>
      </c>
    </row>
    <row r="27" spans="1:32">
      <c r="A27" s="19"/>
      <c r="B27" s="13" t="s">
        <v>421</v>
      </c>
      <c r="C27" s="14">
        <v>0.13</v>
      </c>
      <c r="D27" s="14">
        <v>0.16</v>
      </c>
      <c r="E27" s="14">
        <v>0.12</v>
      </c>
      <c r="F27" s="14">
        <v>0.33</v>
      </c>
      <c r="G27" s="14">
        <v>0.19</v>
      </c>
      <c r="H27" s="14">
        <v>0.1</v>
      </c>
      <c r="I27" s="14">
        <v>0.1</v>
      </c>
      <c r="J27" s="14">
        <v>0.12</v>
      </c>
      <c r="K27" s="14">
        <v>0.22</v>
      </c>
      <c r="L27" s="14">
        <v>0.08</v>
      </c>
      <c r="M27" s="14">
        <v>0.12</v>
      </c>
      <c r="N27" s="14">
        <v>0.06</v>
      </c>
      <c r="O27" s="14">
        <v>0.12</v>
      </c>
      <c r="P27" s="14">
        <v>0.12</v>
      </c>
      <c r="Q27" s="14">
        <v>0.17</v>
      </c>
      <c r="R27" s="14">
        <v>0.02</v>
      </c>
      <c r="S27" s="14">
        <v>0.1</v>
      </c>
      <c r="T27" s="14">
        <v>0.1</v>
      </c>
      <c r="U27" s="14">
        <v>0.16</v>
      </c>
      <c r="V27" s="14">
        <v>0.14000000000000001</v>
      </c>
      <c r="W27" s="14">
        <v>0.08</v>
      </c>
      <c r="X27" s="14">
        <v>0.19</v>
      </c>
      <c r="Y27" s="14">
        <v>0.17</v>
      </c>
      <c r="Z27" s="14">
        <v>0.1</v>
      </c>
      <c r="AA27" s="14">
        <v>0.16</v>
      </c>
      <c r="AB27" s="14">
        <v>0.18</v>
      </c>
      <c r="AC27" s="14">
        <v>0.11</v>
      </c>
      <c r="AD27" s="14">
        <v>0.1</v>
      </c>
      <c r="AE27" s="14">
        <v>0.11</v>
      </c>
      <c r="AF27" s="14">
        <v>0.11</v>
      </c>
    </row>
    <row r="28" spans="1:32">
      <c r="A28" s="19"/>
      <c r="B28" s="11" t="s">
        <v>422</v>
      </c>
      <c r="C28" s="12">
        <v>2836</v>
      </c>
      <c r="D28" s="12">
        <v>114</v>
      </c>
      <c r="E28" s="12">
        <v>213</v>
      </c>
      <c r="F28" s="12">
        <v>73</v>
      </c>
      <c r="G28" s="12">
        <v>120</v>
      </c>
      <c r="H28" s="12">
        <v>79</v>
      </c>
      <c r="I28" s="12">
        <v>110</v>
      </c>
      <c r="J28" s="12">
        <v>31</v>
      </c>
      <c r="K28" s="12">
        <v>95</v>
      </c>
      <c r="L28" s="12">
        <v>90</v>
      </c>
      <c r="M28" s="12">
        <v>181</v>
      </c>
      <c r="N28" s="12">
        <v>75</v>
      </c>
      <c r="O28" s="12">
        <v>116</v>
      </c>
      <c r="P28" s="12">
        <v>145</v>
      </c>
      <c r="Q28" s="12">
        <v>195</v>
      </c>
      <c r="R28" s="12">
        <v>64</v>
      </c>
      <c r="S28" s="12">
        <v>85</v>
      </c>
      <c r="T28" s="12">
        <v>61</v>
      </c>
      <c r="U28" s="12">
        <v>77</v>
      </c>
      <c r="V28" s="12">
        <v>96</v>
      </c>
      <c r="W28" s="12">
        <v>81</v>
      </c>
      <c r="X28" s="12">
        <v>64</v>
      </c>
      <c r="Y28" s="12">
        <v>197</v>
      </c>
      <c r="Z28" s="12">
        <v>83</v>
      </c>
      <c r="AA28" s="12">
        <v>65</v>
      </c>
      <c r="AB28" s="12">
        <v>134</v>
      </c>
      <c r="AC28" s="12">
        <v>73</v>
      </c>
      <c r="AD28" s="12">
        <v>117</v>
      </c>
      <c r="AE28" s="12">
        <v>46</v>
      </c>
      <c r="AF28" s="12">
        <v>66</v>
      </c>
    </row>
    <row r="29" spans="1:32">
      <c r="A29" s="19"/>
      <c r="B29" s="13" t="s">
        <v>423</v>
      </c>
      <c r="C29" s="14">
        <v>0.11</v>
      </c>
      <c r="D29" s="14">
        <v>0.11</v>
      </c>
      <c r="E29" s="14">
        <v>0.2</v>
      </c>
      <c r="F29" s="14">
        <v>7.0000000000000007E-2</v>
      </c>
      <c r="G29" s="14">
        <v>0.12</v>
      </c>
      <c r="H29" s="14">
        <v>0.06</v>
      </c>
      <c r="I29" s="14">
        <v>7.0000000000000007E-2</v>
      </c>
      <c r="J29" s="14">
        <v>0.1</v>
      </c>
      <c r="K29" s="14">
        <v>0.09</v>
      </c>
      <c r="L29" s="14">
        <v>0.09</v>
      </c>
      <c r="M29" s="14">
        <v>0.18</v>
      </c>
      <c r="N29" s="14">
        <v>7.0000000000000007E-2</v>
      </c>
      <c r="O29" s="14">
        <v>0.12</v>
      </c>
      <c r="P29" s="14">
        <v>0.14000000000000001</v>
      </c>
      <c r="Q29" s="14">
        <v>0.19</v>
      </c>
      <c r="R29" s="14">
        <v>0.13</v>
      </c>
      <c r="S29" s="14">
        <v>0.09</v>
      </c>
      <c r="T29" s="14">
        <v>0.06</v>
      </c>
      <c r="U29" s="14">
        <v>0.15</v>
      </c>
      <c r="V29" s="14">
        <v>0.09</v>
      </c>
      <c r="W29" s="14">
        <v>0.16</v>
      </c>
      <c r="X29" s="14">
        <v>0.06</v>
      </c>
      <c r="Y29" s="14">
        <v>0.2</v>
      </c>
      <c r="Z29" s="14">
        <v>0.08</v>
      </c>
      <c r="AA29" s="14">
        <v>0.06</v>
      </c>
      <c r="AB29" s="14">
        <v>0.13</v>
      </c>
      <c r="AC29" s="14">
        <v>7.0000000000000007E-2</v>
      </c>
      <c r="AD29" s="14">
        <v>0.12</v>
      </c>
      <c r="AE29" s="14">
        <v>0.05</v>
      </c>
      <c r="AF29" s="14">
        <v>0.06</v>
      </c>
    </row>
    <row r="30" spans="1:32">
      <c r="A30" s="19"/>
      <c r="B30" s="11" t="s">
        <v>424</v>
      </c>
      <c r="C30" s="12">
        <v>6328</v>
      </c>
      <c r="D30" s="12">
        <v>331</v>
      </c>
      <c r="E30" s="12">
        <v>95</v>
      </c>
      <c r="F30" s="12">
        <v>340</v>
      </c>
      <c r="G30" s="12">
        <v>256</v>
      </c>
      <c r="H30" s="12">
        <v>467</v>
      </c>
      <c r="I30" s="12">
        <v>582</v>
      </c>
      <c r="J30" s="12">
        <v>115</v>
      </c>
      <c r="K30" s="12">
        <v>126</v>
      </c>
      <c r="L30" s="12">
        <v>451</v>
      </c>
      <c r="M30" s="12">
        <v>184</v>
      </c>
      <c r="N30" s="12">
        <v>212</v>
      </c>
      <c r="O30" s="12">
        <v>200</v>
      </c>
      <c r="P30" s="12">
        <v>158</v>
      </c>
      <c r="Q30" s="12">
        <v>172</v>
      </c>
      <c r="R30" s="12">
        <v>194</v>
      </c>
      <c r="S30" s="12">
        <v>116</v>
      </c>
      <c r="T30" s="12">
        <v>212</v>
      </c>
      <c r="U30" s="12">
        <v>114</v>
      </c>
      <c r="V30" s="12">
        <v>187</v>
      </c>
      <c r="W30" s="12">
        <v>163</v>
      </c>
      <c r="X30" s="12">
        <v>411</v>
      </c>
      <c r="Y30" s="12">
        <v>291</v>
      </c>
      <c r="Z30" s="12">
        <v>188</v>
      </c>
      <c r="AA30" s="12">
        <v>116</v>
      </c>
      <c r="AB30" s="12">
        <v>93</v>
      </c>
      <c r="AC30" s="12">
        <v>216</v>
      </c>
      <c r="AD30" s="12">
        <v>146</v>
      </c>
      <c r="AE30" s="12">
        <v>142</v>
      </c>
      <c r="AF30" s="12">
        <v>259</v>
      </c>
    </row>
    <row r="31" spans="1:32">
      <c r="A31" s="19"/>
      <c r="B31" s="13" t="s">
        <v>425</v>
      </c>
      <c r="C31" s="14">
        <v>0.24</v>
      </c>
      <c r="D31" s="14">
        <v>0.32</v>
      </c>
      <c r="E31" s="14">
        <v>0.09</v>
      </c>
      <c r="F31" s="14">
        <v>0.32</v>
      </c>
      <c r="G31" s="14">
        <v>0.25</v>
      </c>
      <c r="H31" s="14">
        <v>0.38</v>
      </c>
      <c r="I31" s="14">
        <v>0.38</v>
      </c>
      <c r="J31" s="14">
        <v>0.39</v>
      </c>
      <c r="K31" s="14">
        <v>0.13</v>
      </c>
      <c r="L31" s="14">
        <v>0.45</v>
      </c>
      <c r="M31" s="14">
        <v>0.18</v>
      </c>
      <c r="N31" s="14">
        <v>0.21</v>
      </c>
      <c r="O31" s="14">
        <v>0.2</v>
      </c>
      <c r="P31" s="14">
        <v>0.16</v>
      </c>
      <c r="Q31" s="14">
        <v>0.17</v>
      </c>
      <c r="R31" s="14">
        <v>0.39</v>
      </c>
      <c r="S31" s="14">
        <v>0.12</v>
      </c>
      <c r="T31" s="14">
        <v>0.21</v>
      </c>
      <c r="U31" s="14">
        <v>0.22</v>
      </c>
      <c r="V31" s="14">
        <v>0.18</v>
      </c>
      <c r="W31" s="14">
        <v>0.33</v>
      </c>
      <c r="X31" s="14">
        <v>0.41</v>
      </c>
      <c r="Y31" s="14">
        <v>0.28999999999999998</v>
      </c>
      <c r="Z31" s="14">
        <v>0.18</v>
      </c>
      <c r="AA31" s="14">
        <v>0.11</v>
      </c>
      <c r="AB31" s="14">
        <v>0.09</v>
      </c>
      <c r="AC31" s="14">
        <v>0.21</v>
      </c>
      <c r="AD31" s="14">
        <v>0.15</v>
      </c>
      <c r="AE31" s="14">
        <v>0.14000000000000001</v>
      </c>
      <c r="AF31" s="14">
        <v>0.25</v>
      </c>
    </row>
    <row r="32" spans="1:32">
      <c r="A32" s="19"/>
      <c r="B32" s="11" t="s">
        <v>426</v>
      </c>
      <c r="C32" s="12">
        <v>4625</v>
      </c>
      <c r="D32" s="12">
        <v>234</v>
      </c>
      <c r="E32" s="12">
        <v>95</v>
      </c>
      <c r="F32" s="12">
        <v>183</v>
      </c>
      <c r="G32" s="12">
        <v>263</v>
      </c>
      <c r="H32" s="12">
        <v>196</v>
      </c>
      <c r="I32" s="12">
        <v>280</v>
      </c>
      <c r="J32" s="12">
        <v>84</v>
      </c>
      <c r="K32" s="12">
        <v>83</v>
      </c>
      <c r="L32" s="12">
        <v>136</v>
      </c>
      <c r="M32" s="12">
        <v>84</v>
      </c>
      <c r="N32" s="12">
        <v>98</v>
      </c>
      <c r="O32" s="12">
        <v>230</v>
      </c>
      <c r="P32" s="12">
        <v>151</v>
      </c>
      <c r="Q32" s="12">
        <v>228</v>
      </c>
      <c r="R32" s="12">
        <v>56</v>
      </c>
      <c r="S32" s="12">
        <v>72</v>
      </c>
      <c r="T32" s="12">
        <v>75</v>
      </c>
      <c r="U32" s="12">
        <v>96</v>
      </c>
      <c r="V32" s="12">
        <v>130</v>
      </c>
      <c r="W32" s="12">
        <v>76</v>
      </c>
      <c r="X32" s="12">
        <v>185</v>
      </c>
      <c r="Y32" s="12">
        <v>138</v>
      </c>
      <c r="Z32" s="12">
        <v>167</v>
      </c>
      <c r="AA32" s="12">
        <v>115</v>
      </c>
      <c r="AB32" s="12">
        <v>122</v>
      </c>
      <c r="AC32" s="12">
        <v>132</v>
      </c>
      <c r="AD32" s="12">
        <v>89</v>
      </c>
      <c r="AE32" s="12">
        <v>178</v>
      </c>
      <c r="AF32" s="12">
        <v>321</v>
      </c>
    </row>
    <row r="33" spans="1:32">
      <c r="A33" s="19"/>
      <c r="B33" s="13" t="s">
        <v>427</v>
      </c>
      <c r="C33" s="14">
        <v>0.17</v>
      </c>
      <c r="D33" s="14">
        <v>0.23</v>
      </c>
      <c r="E33" s="14">
        <v>0.09</v>
      </c>
      <c r="F33" s="14">
        <v>0.17</v>
      </c>
      <c r="G33" s="14">
        <v>0.26</v>
      </c>
      <c r="H33" s="14">
        <v>0.16</v>
      </c>
      <c r="I33" s="14">
        <v>0.18</v>
      </c>
      <c r="J33" s="14">
        <v>0.28000000000000003</v>
      </c>
      <c r="K33" s="14">
        <v>0.08</v>
      </c>
      <c r="L33" s="14">
        <v>0.13</v>
      </c>
      <c r="M33" s="14">
        <v>0.08</v>
      </c>
      <c r="N33" s="14">
        <v>0.1</v>
      </c>
      <c r="O33" s="14">
        <v>0.23</v>
      </c>
      <c r="P33" s="14">
        <v>0.15</v>
      </c>
      <c r="Q33" s="14">
        <v>0.22</v>
      </c>
      <c r="R33" s="14">
        <v>0.11</v>
      </c>
      <c r="S33" s="14">
        <v>7.0000000000000007E-2</v>
      </c>
      <c r="T33" s="14">
        <v>7.0000000000000007E-2</v>
      </c>
      <c r="U33" s="14">
        <v>0.19</v>
      </c>
      <c r="V33" s="14">
        <v>0.13</v>
      </c>
      <c r="W33" s="14">
        <v>0.15</v>
      </c>
      <c r="X33" s="14">
        <v>0.18</v>
      </c>
      <c r="Y33" s="14">
        <v>0.14000000000000001</v>
      </c>
      <c r="Z33" s="14">
        <v>0.16</v>
      </c>
      <c r="AA33" s="14">
        <v>0.11</v>
      </c>
      <c r="AB33" s="14">
        <v>0.12</v>
      </c>
      <c r="AC33" s="14">
        <v>0.13</v>
      </c>
      <c r="AD33" s="14">
        <v>0.09</v>
      </c>
      <c r="AE33" s="14">
        <v>0.18</v>
      </c>
      <c r="AF33" s="14">
        <v>0.31</v>
      </c>
    </row>
    <row r="34" spans="1:32">
      <c r="A34" s="19"/>
      <c r="B34" s="11" t="s">
        <v>428</v>
      </c>
      <c r="C34" s="12">
        <v>6153</v>
      </c>
      <c r="D34" s="12">
        <v>213</v>
      </c>
      <c r="E34" s="12">
        <v>188</v>
      </c>
      <c r="F34" s="12">
        <v>195</v>
      </c>
      <c r="G34" s="12">
        <v>327</v>
      </c>
      <c r="H34" s="12">
        <v>496</v>
      </c>
      <c r="I34" s="12">
        <v>583</v>
      </c>
      <c r="J34" s="12">
        <v>87</v>
      </c>
      <c r="K34" s="12">
        <v>122</v>
      </c>
      <c r="L34" s="12">
        <v>119</v>
      </c>
      <c r="M34" s="12">
        <v>281</v>
      </c>
      <c r="N34" s="12">
        <v>163</v>
      </c>
      <c r="O34" s="12">
        <v>137</v>
      </c>
      <c r="P34" s="12">
        <v>139</v>
      </c>
      <c r="Q34" s="12">
        <v>186</v>
      </c>
      <c r="R34" s="12">
        <v>137</v>
      </c>
      <c r="S34" s="12">
        <v>179</v>
      </c>
      <c r="T34" s="12">
        <v>119</v>
      </c>
      <c r="U34" s="12">
        <v>96</v>
      </c>
      <c r="V34" s="12">
        <v>234</v>
      </c>
      <c r="W34" s="12">
        <v>107</v>
      </c>
      <c r="X34" s="12">
        <v>306</v>
      </c>
      <c r="Y34" s="12">
        <v>276</v>
      </c>
      <c r="Z34" s="12">
        <v>196</v>
      </c>
      <c r="AA34" s="12">
        <v>111</v>
      </c>
      <c r="AB34" s="12">
        <v>262</v>
      </c>
      <c r="AC34" s="12">
        <v>142</v>
      </c>
      <c r="AD34" s="12">
        <v>214</v>
      </c>
      <c r="AE34" s="12">
        <v>356</v>
      </c>
      <c r="AF34" s="12">
        <v>503</v>
      </c>
    </row>
    <row r="35" spans="1:32">
      <c r="A35" s="19"/>
      <c r="B35" s="13" t="s">
        <v>429</v>
      </c>
      <c r="C35" s="14">
        <v>0.23</v>
      </c>
      <c r="D35" s="14">
        <v>0.21</v>
      </c>
      <c r="E35" s="14">
        <v>0.18</v>
      </c>
      <c r="F35" s="14">
        <v>0.18</v>
      </c>
      <c r="G35" s="14">
        <v>0.32</v>
      </c>
      <c r="H35" s="14">
        <v>0.4</v>
      </c>
      <c r="I35" s="14">
        <v>0.38</v>
      </c>
      <c r="J35" s="14">
        <v>0.28999999999999998</v>
      </c>
      <c r="K35" s="14">
        <v>0.12</v>
      </c>
      <c r="L35" s="14">
        <v>0.12</v>
      </c>
      <c r="M35" s="14">
        <v>0.28000000000000003</v>
      </c>
      <c r="N35" s="14">
        <v>0.16</v>
      </c>
      <c r="O35" s="14">
        <v>0.14000000000000001</v>
      </c>
      <c r="P35" s="14">
        <v>0.14000000000000001</v>
      </c>
      <c r="Q35" s="14">
        <v>0.18</v>
      </c>
      <c r="R35" s="14">
        <v>0.27</v>
      </c>
      <c r="S35" s="14">
        <v>0.18</v>
      </c>
      <c r="T35" s="14">
        <v>0.12</v>
      </c>
      <c r="U35" s="14">
        <v>0.19</v>
      </c>
      <c r="V35" s="14">
        <v>0.23</v>
      </c>
      <c r="W35" s="14">
        <v>0.21</v>
      </c>
      <c r="X35" s="14">
        <v>0.3</v>
      </c>
      <c r="Y35" s="14">
        <v>0.28000000000000003</v>
      </c>
      <c r="Z35" s="14">
        <v>0.19</v>
      </c>
      <c r="AA35" s="14">
        <v>0.11</v>
      </c>
      <c r="AB35" s="14">
        <v>0.25</v>
      </c>
      <c r="AC35" s="14">
        <v>0.14000000000000001</v>
      </c>
      <c r="AD35" s="14">
        <v>0.21</v>
      </c>
      <c r="AE35" s="14">
        <v>0.36</v>
      </c>
      <c r="AF35" s="14">
        <v>0.49</v>
      </c>
    </row>
    <row r="36" spans="1:32">
      <c r="A36" s="19"/>
      <c r="B36" s="11" t="s">
        <v>430</v>
      </c>
      <c r="C36" s="12">
        <v>8982</v>
      </c>
      <c r="D36" s="12">
        <v>381</v>
      </c>
      <c r="E36" s="12">
        <v>204</v>
      </c>
      <c r="F36" s="12">
        <v>461</v>
      </c>
      <c r="G36" s="12">
        <v>584</v>
      </c>
      <c r="H36" s="12">
        <v>579</v>
      </c>
      <c r="I36" s="12">
        <v>688</v>
      </c>
      <c r="J36" s="12">
        <v>109</v>
      </c>
      <c r="K36" s="12">
        <v>479</v>
      </c>
      <c r="L36" s="12">
        <v>189</v>
      </c>
      <c r="M36" s="12">
        <v>185</v>
      </c>
      <c r="N36" s="12">
        <v>151</v>
      </c>
      <c r="O36" s="12">
        <v>282</v>
      </c>
      <c r="P36" s="12">
        <v>234</v>
      </c>
      <c r="Q36" s="12">
        <v>316</v>
      </c>
      <c r="R36" s="12">
        <v>192</v>
      </c>
      <c r="S36" s="12">
        <v>408</v>
      </c>
      <c r="T36" s="12">
        <v>507</v>
      </c>
      <c r="U36" s="12">
        <v>204</v>
      </c>
      <c r="V36" s="12">
        <v>266</v>
      </c>
      <c r="W36" s="12">
        <v>97</v>
      </c>
      <c r="X36" s="12">
        <v>581</v>
      </c>
      <c r="Y36" s="12">
        <v>301</v>
      </c>
      <c r="Z36" s="12">
        <v>451</v>
      </c>
      <c r="AA36" s="12">
        <v>229</v>
      </c>
      <c r="AB36" s="12">
        <v>282</v>
      </c>
      <c r="AC36" s="12">
        <v>236</v>
      </c>
      <c r="AD36" s="12">
        <v>344</v>
      </c>
      <c r="AE36" s="12">
        <v>560</v>
      </c>
      <c r="AF36" s="12">
        <v>439</v>
      </c>
    </row>
    <row r="37" spans="1:32">
      <c r="A37" s="19"/>
      <c r="B37" s="13" t="s">
        <v>431</v>
      </c>
      <c r="C37" s="14">
        <v>0.34</v>
      </c>
      <c r="D37" s="14">
        <v>0.37</v>
      </c>
      <c r="E37" s="14">
        <v>0.19</v>
      </c>
      <c r="F37" s="14">
        <v>0.43</v>
      </c>
      <c r="G37" s="14">
        <v>0.57000000000000006</v>
      </c>
      <c r="H37" s="14">
        <v>0.47</v>
      </c>
      <c r="I37" s="14">
        <v>0.45</v>
      </c>
      <c r="J37" s="14">
        <v>0.37</v>
      </c>
      <c r="K37" s="14">
        <v>0.48</v>
      </c>
      <c r="L37" s="14">
        <v>0.19</v>
      </c>
      <c r="M37" s="14">
        <v>0.18</v>
      </c>
      <c r="N37" s="14">
        <v>0.15</v>
      </c>
      <c r="O37" s="14">
        <v>0.28000000000000003</v>
      </c>
      <c r="P37" s="14">
        <v>0.23</v>
      </c>
      <c r="Q37" s="14">
        <v>0.31</v>
      </c>
      <c r="R37" s="14">
        <v>0.38</v>
      </c>
      <c r="S37" s="14">
        <v>0.41</v>
      </c>
      <c r="T37" s="14">
        <v>0.5</v>
      </c>
      <c r="U37" s="14">
        <v>0.4</v>
      </c>
      <c r="V37" s="14">
        <v>0.26</v>
      </c>
      <c r="W37" s="14">
        <v>0.19</v>
      </c>
      <c r="X37" s="14">
        <v>0.57999999999999996</v>
      </c>
      <c r="Y37" s="14">
        <v>0.3</v>
      </c>
      <c r="Z37" s="14">
        <v>0.44</v>
      </c>
      <c r="AA37" s="14">
        <v>0.22</v>
      </c>
      <c r="AB37" s="14">
        <v>0.27</v>
      </c>
      <c r="AC37" s="14">
        <v>0.23</v>
      </c>
      <c r="AD37" s="14">
        <v>0.34</v>
      </c>
      <c r="AE37" s="14">
        <v>0.56000000000000005</v>
      </c>
      <c r="AF37" s="14">
        <v>0.43</v>
      </c>
    </row>
    <row r="38" spans="1:32">
      <c r="A38" s="19"/>
      <c r="B38" s="11" t="s">
        <v>432</v>
      </c>
      <c r="C38" s="12">
        <v>4759</v>
      </c>
      <c r="D38" s="12">
        <v>141</v>
      </c>
      <c r="E38" s="12">
        <v>220</v>
      </c>
      <c r="F38" s="12">
        <v>217</v>
      </c>
      <c r="G38" s="12">
        <v>152</v>
      </c>
      <c r="H38" s="12">
        <v>165</v>
      </c>
      <c r="I38" s="12">
        <v>221</v>
      </c>
      <c r="J38" s="12">
        <v>57</v>
      </c>
      <c r="K38" s="12">
        <v>211</v>
      </c>
      <c r="L38" s="12">
        <v>117</v>
      </c>
      <c r="M38" s="12">
        <v>205</v>
      </c>
      <c r="N38" s="12">
        <v>152</v>
      </c>
      <c r="O38" s="12">
        <v>168</v>
      </c>
      <c r="P38" s="12">
        <v>279</v>
      </c>
      <c r="Q38" s="12">
        <v>162</v>
      </c>
      <c r="R38" s="12">
        <v>19</v>
      </c>
      <c r="S38" s="12">
        <v>140</v>
      </c>
      <c r="T38" s="12">
        <v>138</v>
      </c>
      <c r="U38" s="12">
        <v>87</v>
      </c>
      <c r="V38" s="12">
        <v>286</v>
      </c>
      <c r="W38" s="12">
        <v>81</v>
      </c>
      <c r="X38" s="12">
        <v>173</v>
      </c>
      <c r="Y38" s="12">
        <v>191</v>
      </c>
      <c r="Z38" s="12">
        <v>241</v>
      </c>
      <c r="AA38" s="12">
        <v>179</v>
      </c>
      <c r="AB38" s="12">
        <v>252</v>
      </c>
      <c r="AC38" s="12">
        <v>396</v>
      </c>
      <c r="AD38" s="12">
        <v>398</v>
      </c>
      <c r="AE38" s="12">
        <v>293</v>
      </c>
      <c r="AF38" s="12">
        <v>239</v>
      </c>
    </row>
    <row r="39" spans="1:32">
      <c r="A39" s="19"/>
      <c r="B39" s="13" t="s">
        <v>433</v>
      </c>
      <c r="C39" s="14">
        <v>0.18</v>
      </c>
      <c r="D39" s="14">
        <v>0.14000000000000001</v>
      </c>
      <c r="E39" s="14">
        <v>0.21</v>
      </c>
      <c r="F39" s="14">
        <v>0.2</v>
      </c>
      <c r="G39" s="14">
        <v>0.15</v>
      </c>
      <c r="H39" s="14">
        <v>0.13</v>
      </c>
      <c r="I39" s="14">
        <v>0.14000000000000001</v>
      </c>
      <c r="J39" s="14">
        <v>0.19</v>
      </c>
      <c r="K39" s="14">
        <v>0.21</v>
      </c>
      <c r="L39" s="14">
        <v>0.12</v>
      </c>
      <c r="M39" s="14">
        <v>0.2</v>
      </c>
      <c r="N39" s="14">
        <v>0.15</v>
      </c>
      <c r="O39" s="14">
        <v>0.17</v>
      </c>
      <c r="P39" s="14">
        <v>0.28000000000000003</v>
      </c>
      <c r="Q39" s="14">
        <v>0.16</v>
      </c>
      <c r="R39" s="14">
        <v>0.04</v>
      </c>
      <c r="S39" s="14">
        <v>0.14000000000000001</v>
      </c>
      <c r="T39" s="14">
        <v>0.13</v>
      </c>
      <c r="U39" s="14">
        <v>0.17</v>
      </c>
      <c r="V39" s="14">
        <v>0.28000000000000003</v>
      </c>
      <c r="W39" s="14">
        <v>0.16</v>
      </c>
      <c r="X39" s="14">
        <v>0.17</v>
      </c>
      <c r="Y39" s="14">
        <v>0.19</v>
      </c>
      <c r="Z39" s="14">
        <v>0.24</v>
      </c>
      <c r="AA39" s="14">
        <v>0.17</v>
      </c>
      <c r="AB39" s="14">
        <v>0.24</v>
      </c>
      <c r="AC39" s="14">
        <v>0.39</v>
      </c>
      <c r="AD39" s="14">
        <v>0.4</v>
      </c>
      <c r="AE39" s="14">
        <v>0.28999999999999998</v>
      </c>
      <c r="AF39" s="14">
        <v>0.23</v>
      </c>
    </row>
    <row r="40" spans="1:32">
      <c r="A40" s="19"/>
      <c r="B40" s="11" t="s">
        <v>434</v>
      </c>
      <c r="C40" s="12">
        <v>2613</v>
      </c>
      <c r="D40" s="12">
        <v>66</v>
      </c>
      <c r="E40" s="12">
        <v>75</v>
      </c>
      <c r="F40" s="12">
        <v>70</v>
      </c>
      <c r="G40" s="12">
        <v>138</v>
      </c>
      <c r="H40" s="12">
        <v>85</v>
      </c>
      <c r="I40" s="12">
        <v>112</v>
      </c>
      <c r="J40" s="12">
        <v>27</v>
      </c>
      <c r="K40" s="12">
        <v>53</v>
      </c>
      <c r="L40" s="12">
        <v>90</v>
      </c>
      <c r="M40" s="12">
        <v>48</v>
      </c>
      <c r="N40" s="12">
        <v>89</v>
      </c>
      <c r="O40" s="12">
        <v>123</v>
      </c>
      <c r="P40" s="12">
        <v>124</v>
      </c>
      <c r="Q40" s="12">
        <v>112</v>
      </c>
      <c r="R40" s="12">
        <v>21</v>
      </c>
      <c r="S40" s="12">
        <v>57</v>
      </c>
      <c r="T40" s="12">
        <v>40</v>
      </c>
      <c r="U40" s="12">
        <v>56</v>
      </c>
      <c r="V40" s="12">
        <v>115</v>
      </c>
      <c r="W40" s="12">
        <v>53</v>
      </c>
      <c r="X40" s="12">
        <v>63</v>
      </c>
      <c r="Y40" s="12">
        <v>181</v>
      </c>
      <c r="Z40" s="12">
        <v>112</v>
      </c>
      <c r="AA40" s="12">
        <v>122</v>
      </c>
      <c r="AB40" s="12">
        <v>89</v>
      </c>
      <c r="AC40" s="12">
        <v>53</v>
      </c>
      <c r="AD40" s="12">
        <v>45</v>
      </c>
      <c r="AE40" s="12">
        <v>137</v>
      </c>
      <c r="AF40" s="12">
        <v>262</v>
      </c>
    </row>
    <row r="41" spans="1:32">
      <c r="A41" s="19"/>
      <c r="B41" s="13" t="s">
        <v>435</v>
      </c>
      <c r="C41" s="14">
        <v>0.1</v>
      </c>
      <c r="D41" s="14">
        <v>0.06</v>
      </c>
      <c r="E41" s="14">
        <v>7.0000000000000007E-2</v>
      </c>
      <c r="F41" s="14">
        <v>7.0000000000000007E-2</v>
      </c>
      <c r="G41" s="14">
        <v>0.14000000000000001</v>
      </c>
      <c r="H41" s="14">
        <v>7.0000000000000007E-2</v>
      </c>
      <c r="I41" s="14">
        <v>7.0000000000000007E-2</v>
      </c>
      <c r="J41" s="14">
        <v>0.09</v>
      </c>
      <c r="K41" s="14">
        <v>0.05</v>
      </c>
      <c r="L41" s="14">
        <v>0.09</v>
      </c>
      <c r="M41" s="14">
        <v>0.05</v>
      </c>
      <c r="N41" s="14">
        <v>0.09</v>
      </c>
      <c r="O41" s="14">
        <v>0.12</v>
      </c>
      <c r="P41" s="14">
        <v>0.12</v>
      </c>
      <c r="Q41" s="14">
        <v>0.11</v>
      </c>
      <c r="R41" s="14">
        <v>0.04</v>
      </c>
      <c r="S41" s="14">
        <v>0.06</v>
      </c>
      <c r="T41" s="14">
        <v>0.04</v>
      </c>
      <c r="U41" s="14">
        <v>0.11</v>
      </c>
      <c r="V41" s="14">
        <v>0.11</v>
      </c>
      <c r="W41" s="14">
        <v>0.1</v>
      </c>
      <c r="X41" s="14">
        <v>0.06</v>
      </c>
      <c r="Y41" s="14">
        <v>0.18</v>
      </c>
      <c r="Z41" s="14">
        <v>0.11</v>
      </c>
      <c r="AA41" s="14">
        <v>0.12</v>
      </c>
      <c r="AB41" s="14">
        <v>0.09</v>
      </c>
      <c r="AC41" s="14">
        <v>0.05</v>
      </c>
      <c r="AD41" s="14">
        <v>0.05</v>
      </c>
      <c r="AE41" s="14">
        <v>0.14000000000000001</v>
      </c>
      <c r="AF41" s="14">
        <v>0.25</v>
      </c>
    </row>
    <row r="42" spans="1:32">
      <c r="A42" s="19"/>
      <c r="B42" s="11" t="s">
        <v>436</v>
      </c>
      <c r="C42" s="12">
        <v>141</v>
      </c>
      <c r="D42" s="12">
        <v>1</v>
      </c>
      <c r="E42" s="12">
        <v>3</v>
      </c>
      <c r="F42" s="12">
        <v>4</v>
      </c>
      <c r="G42" s="12">
        <v>2</v>
      </c>
      <c r="H42" s="12">
        <v>19</v>
      </c>
      <c r="I42" s="12">
        <v>19</v>
      </c>
      <c r="J42" s="12">
        <v>0</v>
      </c>
      <c r="K42" s="12">
        <v>22</v>
      </c>
      <c r="L42" s="12">
        <v>14</v>
      </c>
      <c r="M42" s="12">
        <v>5</v>
      </c>
      <c r="N42" s="12">
        <v>6</v>
      </c>
      <c r="O42" s="12">
        <v>5</v>
      </c>
      <c r="P42" s="12">
        <v>4</v>
      </c>
      <c r="Q42" s="12">
        <v>2</v>
      </c>
      <c r="R42" s="12">
        <v>4</v>
      </c>
      <c r="S42" s="12">
        <v>13</v>
      </c>
      <c r="T42" s="12">
        <v>2</v>
      </c>
      <c r="U42" s="12">
        <v>8</v>
      </c>
      <c r="V42" s="12">
        <v>0</v>
      </c>
      <c r="W42" s="12">
        <v>2</v>
      </c>
      <c r="X42" s="12">
        <v>1</v>
      </c>
      <c r="Y42" s="12">
        <v>21</v>
      </c>
      <c r="Z42" s="12">
        <v>0</v>
      </c>
      <c r="AA42" s="12">
        <v>4</v>
      </c>
      <c r="AB42" s="12">
        <v>0</v>
      </c>
      <c r="AC42" s="12">
        <v>3</v>
      </c>
      <c r="AD42" s="12">
        <v>2</v>
      </c>
      <c r="AE42" s="12">
        <v>3</v>
      </c>
      <c r="AF42" s="12">
        <v>4</v>
      </c>
    </row>
    <row r="43" spans="1:32">
      <c r="A43" s="19"/>
      <c r="B43" s="13" t="s">
        <v>437</v>
      </c>
      <c r="C43" s="14">
        <v>0.01</v>
      </c>
      <c r="D43" s="15" t="s">
        <v>375</v>
      </c>
      <c r="E43" s="15" t="s">
        <v>375</v>
      </c>
      <c r="F43" s="15" t="s">
        <v>375</v>
      </c>
      <c r="G43" s="15" t="s">
        <v>375</v>
      </c>
      <c r="H43" s="14">
        <v>0.02</v>
      </c>
      <c r="I43" s="14">
        <v>0.01</v>
      </c>
      <c r="J43" s="15" t="s">
        <v>375</v>
      </c>
      <c r="K43" s="14">
        <v>0.02</v>
      </c>
      <c r="L43" s="14">
        <v>0.01</v>
      </c>
      <c r="M43" s="14">
        <v>0.01</v>
      </c>
      <c r="N43" s="14">
        <v>0.01</v>
      </c>
      <c r="O43" s="15" t="s">
        <v>375</v>
      </c>
      <c r="P43" s="15" t="s">
        <v>375</v>
      </c>
      <c r="Q43" s="15" t="s">
        <v>375</v>
      </c>
      <c r="R43" s="14">
        <v>0.01</v>
      </c>
      <c r="S43" s="14">
        <v>0.01</v>
      </c>
      <c r="T43" s="15" t="s">
        <v>375</v>
      </c>
      <c r="U43" s="14">
        <v>0.02</v>
      </c>
      <c r="V43" s="15" t="s">
        <v>375</v>
      </c>
      <c r="W43" s="15" t="s">
        <v>375</v>
      </c>
      <c r="X43" s="15" t="s">
        <v>375</v>
      </c>
      <c r="Y43" s="14">
        <v>0.02</v>
      </c>
      <c r="Z43" s="15" t="s">
        <v>375</v>
      </c>
      <c r="AA43" s="15" t="s">
        <v>375</v>
      </c>
      <c r="AB43" s="15" t="s">
        <v>375</v>
      </c>
      <c r="AC43" s="15" t="s">
        <v>375</v>
      </c>
      <c r="AD43" s="15" t="s">
        <v>375</v>
      </c>
      <c r="AE43" s="15" t="s">
        <v>375</v>
      </c>
      <c r="AF43" s="15" t="s">
        <v>375</v>
      </c>
    </row>
    <row r="44" spans="1:32">
      <c r="A44" s="19"/>
      <c r="B44" s="11" t="s">
        <v>438</v>
      </c>
      <c r="C44" s="12">
        <v>104</v>
      </c>
      <c r="D44" s="12">
        <v>3</v>
      </c>
      <c r="E44" s="12">
        <v>9</v>
      </c>
      <c r="F44" s="12">
        <v>10</v>
      </c>
      <c r="G44" s="12">
        <v>2</v>
      </c>
      <c r="H44" s="12">
        <v>7</v>
      </c>
      <c r="I44" s="12">
        <v>7</v>
      </c>
      <c r="J44" s="12">
        <v>0</v>
      </c>
      <c r="K44" s="12">
        <v>6</v>
      </c>
      <c r="L44" s="12">
        <v>2</v>
      </c>
      <c r="M44" s="12">
        <v>0</v>
      </c>
      <c r="N44" s="12">
        <v>3</v>
      </c>
      <c r="O44" s="12">
        <v>6</v>
      </c>
      <c r="P44" s="12">
        <v>1</v>
      </c>
      <c r="Q44" s="12">
        <v>3</v>
      </c>
      <c r="R44" s="12">
        <v>1</v>
      </c>
      <c r="S44" s="12">
        <v>3</v>
      </c>
      <c r="T44" s="12">
        <v>5</v>
      </c>
      <c r="U44" s="12">
        <v>0</v>
      </c>
      <c r="V44" s="12">
        <v>0</v>
      </c>
      <c r="W44" s="12">
        <v>2</v>
      </c>
      <c r="X44" s="12">
        <v>10</v>
      </c>
      <c r="Y44" s="12">
        <v>5</v>
      </c>
      <c r="Z44" s="12">
        <v>2</v>
      </c>
      <c r="AA44" s="12">
        <v>0</v>
      </c>
      <c r="AB44" s="12">
        <v>4</v>
      </c>
      <c r="AC44" s="12">
        <v>4</v>
      </c>
      <c r="AD44" s="12">
        <v>0</v>
      </c>
      <c r="AE44" s="12">
        <v>3</v>
      </c>
      <c r="AF44" s="12">
        <v>3</v>
      </c>
    </row>
    <row r="45" spans="1:32">
      <c r="A45" s="19"/>
      <c r="B45" s="13" t="s">
        <v>439</v>
      </c>
      <c r="C45" s="15" t="s">
        <v>375</v>
      </c>
      <c r="D45" s="15" t="s">
        <v>375</v>
      </c>
      <c r="E45" s="14">
        <v>0.01</v>
      </c>
      <c r="F45" s="14">
        <v>0.01</v>
      </c>
      <c r="G45" s="15" t="s">
        <v>375</v>
      </c>
      <c r="H45" s="14">
        <v>0.01</v>
      </c>
      <c r="I45" s="15" t="s">
        <v>375</v>
      </c>
      <c r="J45" s="15" t="s">
        <v>375</v>
      </c>
      <c r="K45" s="14">
        <v>0.01</v>
      </c>
      <c r="L45" s="15" t="s">
        <v>375</v>
      </c>
      <c r="M45" s="15" t="s">
        <v>375</v>
      </c>
      <c r="N45" s="15" t="s">
        <v>375</v>
      </c>
      <c r="O45" s="14">
        <v>0.01</v>
      </c>
      <c r="P45" s="15" t="s">
        <v>375</v>
      </c>
      <c r="Q45" s="15" t="s">
        <v>375</v>
      </c>
      <c r="R45" s="15" t="s">
        <v>375</v>
      </c>
      <c r="S45" s="15" t="s">
        <v>375</v>
      </c>
      <c r="T45" s="14">
        <v>0.01</v>
      </c>
      <c r="U45" s="15" t="s">
        <v>375</v>
      </c>
      <c r="V45" s="15" t="s">
        <v>375</v>
      </c>
      <c r="W45" s="15" t="s">
        <v>375</v>
      </c>
      <c r="X45" s="14">
        <v>0.01</v>
      </c>
      <c r="Y45" s="15" t="s">
        <v>375</v>
      </c>
      <c r="Z45" s="15" t="s">
        <v>375</v>
      </c>
      <c r="AA45" s="15" t="s">
        <v>375</v>
      </c>
      <c r="AB45" s="15" t="s">
        <v>375</v>
      </c>
      <c r="AC45" s="15" t="s">
        <v>375</v>
      </c>
      <c r="AD45" s="15" t="s">
        <v>375</v>
      </c>
      <c r="AE45" s="15" t="s">
        <v>375</v>
      </c>
      <c r="AF45" s="15" t="s">
        <v>375</v>
      </c>
    </row>
    <row r="46" spans="1:32">
      <c r="A46" s="19"/>
      <c r="B46" s="11" t="s">
        <v>386</v>
      </c>
      <c r="C46" s="12">
        <v>106</v>
      </c>
      <c r="D46" s="12">
        <v>1</v>
      </c>
      <c r="E46" s="12">
        <v>14</v>
      </c>
      <c r="F46" s="12">
        <v>11</v>
      </c>
      <c r="G46" s="12">
        <v>8</v>
      </c>
      <c r="H46" s="12">
        <v>5</v>
      </c>
      <c r="I46" s="12">
        <v>5</v>
      </c>
      <c r="J46" s="12">
        <v>0</v>
      </c>
      <c r="K46" s="12">
        <v>6</v>
      </c>
      <c r="L46" s="12">
        <v>3</v>
      </c>
      <c r="M46" s="12">
        <v>1</v>
      </c>
      <c r="N46" s="12">
        <v>3</v>
      </c>
      <c r="O46" s="12">
        <v>6</v>
      </c>
      <c r="P46" s="12">
        <v>4</v>
      </c>
      <c r="Q46" s="12">
        <v>5</v>
      </c>
      <c r="R46" s="12">
        <v>2</v>
      </c>
      <c r="S46" s="12">
        <v>14</v>
      </c>
      <c r="T46" s="12">
        <v>8</v>
      </c>
      <c r="U46" s="12">
        <v>1</v>
      </c>
      <c r="V46" s="12">
        <v>3</v>
      </c>
      <c r="W46" s="12">
        <v>3</v>
      </c>
      <c r="X46" s="12">
        <v>0</v>
      </c>
      <c r="Y46" s="12">
        <v>1</v>
      </c>
      <c r="Z46" s="12">
        <v>2</v>
      </c>
      <c r="AA46" s="12">
        <v>4</v>
      </c>
      <c r="AB46" s="12">
        <v>11</v>
      </c>
      <c r="AC46" s="12">
        <v>1</v>
      </c>
      <c r="AD46" s="12">
        <v>0</v>
      </c>
      <c r="AE46" s="12">
        <v>1</v>
      </c>
      <c r="AF46" s="12">
        <v>0</v>
      </c>
    </row>
    <row r="47" spans="1:32">
      <c r="A47" s="19"/>
      <c r="B47" s="13" t="s">
        <v>399</v>
      </c>
      <c r="C47" s="15" t="s">
        <v>375</v>
      </c>
      <c r="D47" s="15" t="s">
        <v>375</v>
      </c>
      <c r="E47" s="14">
        <v>0.01</v>
      </c>
      <c r="F47" s="14">
        <v>0.01</v>
      </c>
      <c r="G47" s="14">
        <v>0.01</v>
      </c>
      <c r="H47" s="15" t="s">
        <v>375</v>
      </c>
      <c r="I47" s="15" t="s">
        <v>375</v>
      </c>
      <c r="J47" s="15" t="s">
        <v>375</v>
      </c>
      <c r="K47" s="14">
        <v>0.01</v>
      </c>
      <c r="L47" s="15" t="s">
        <v>375</v>
      </c>
      <c r="M47" s="15" t="s">
        <v>375</v>
      </c>
      <c r="N47" s="15" t="s">
        <v>375</v>
      </c>
      <c r="O47" s="14">
        <v>0.01</v>
      </c>
      <c r="P47" s="15" t="s">
        <v>375</v>
      </c>
      <c r="Q47" s="14">
        <v>0.01</v>
      </c>
      <c r="R47" s="15" t="s">
        <v>375</v>
      </c>
      <c r="S47" s="14">
        <v>0.01</v>
      </c>
      <c r="T47" s="14">
        <v>0.01</v>
      </c>
      <c r="U47" s="15" t="s">
        <v>375</v>
      </c>
      <c r="V47" s="15" t="s">
        <v>375</v>
      </c>
      <c r="W47" s="14">
        <v>0.01</v>
      </c>
      <c r="X47" s="15" t="s">
        <v>375</v>
      </c>
      <c r="Y47" s="15" t="s">
        <v>375</v>
      </c>
      <c r="Z47" s="15" t="s">
        <v>375</v>
      </c>
      <c r="AA47" s="15" t="s">
        <v>375</v>
      </c>
      <c r="AB47" s="14">
        <v>0.01</v>
      </c>
      <c r="AC47" s="15" t="s">
        <v>375</v>
      </c>
      <c r="AD47" s="15" t="s">
        <v>375</v>
      </c>
      <c r="AE47" s="15" t="s">
        <v>375</v>
      </c>
      <c r="AF47" s="15" t="s">
        <v>375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25</v>
      </c>
      <c r="C3" s="17"/>
      <c r="D3" s="17"/>
      <c r="E3" s="17"/>
      <c r="F3" s="17"/>
      <c r="H3" s="17" t="s">
        <v>26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442</v>
      </c>
      <c r="C12" s="12">
        <v>1075</v>
      </c>
      <c r="D12" s="12">
        <v>71</v>
      </c>
      <c r="E12" s="12">
        <v>15</v>
      </c>
      <c r="F12" s="12">
        <v>27</v>
      </c>
      <c r="G12" s="12">
        <v>21</v>
      </c>
      <c r="H12" s="12">
        <v>10</v>
      </c>
      <c r="I12" s="12">
        <v>19</v>
      </c>
      <c r="J12" s="12">
        <v>8</v>
      </c>
      <c r="K12" s="12">
        <v>32</v>
      </c>
      <c r="L12" s="12">
        <v>55</v>
      </c>
      <c r="M12" s="12">
        <v>16</v>
      </c>
      <c r="N12" s="12">
        <v>75</v>
      </c>
      <c r="O12" s="12">
        <v>57</v>
      </c>
      <c r="P12" s="12">
        <v>40</v>
      </c>
      <c r="Q12" s="12">
        <v>48</v>
      </c>
      <c r="R12" s="12">
        <v>16</v>
      </c>
      <c r="S12" s="12">
        <v>17</v>
      </c>
      <c r="T12" s="12">
        <v>25</v>
      </c>
      <c r="U12" s="12">
        <v>17</v>
      </c>
      <c r="V12" s="12">
        <v>30</v>
      </c>
      <c r="W12" s="12">
        <v>24</v>
      </c>
      <c r="X12" s="12">
        <v>51</v>
      </c>
      <c r="Y12" s="12">
        <v>48</v>
      </c>
      <c r="Z12" s="12">
        <v>37</v>
      </c>
      <c r="AA12" s="12">
        <v>59</v>
      </c>
      <c r="AB12" s="12">
        <v>37</v>
      </c>
      <c r="AC12" s="12">
        <v>20</v>
      </c>
      <c r="AD12" s="12">
        <v>18</v>
      </c>
      <c r="AE12" s="12">
        <v>36</v>
      </c>
      <c r="AF12" s="12">
        <v>30</v>
      </c>
    </row>
    <row r="13" spans="1:32">
      <c r="A13" s="19"/>
      <c r="B13" s="13" t="s">
        <v>443</v>
      </c>
      <c r="C13" s="14">
        <v>0.04</v>
      </c>
      <c r="D13" s="14">
        <v>7.0000000000000007E-2</v>
      </c>
      <c r="E13" s="14">
        <v>0.01</v>
      </c>
      <c r="F13" s="14">
        <v>0.02</v>
      </c>
      <c r="G13" s="14">
        <v>0.02</v>
      </c>
      <c r="H13" s="14">
        <v>0.01</v>
      </c>
      <c r="I13" s="14">
        <v>0.01</v>
      </c>
      <c r="J13" s="14">
        <v>0.03</v>
      </c>
      <c r="K13" s="14">
        <v>0.03</v>
      </c>
      <c r="L13" s="14">
        <v>0.06</v>
      </c>
      <c r="M13" s="14">
        <v>0.02</v>
      </c>
      <c r="N13" s="14">
        <v>7.0000000000000007E-2</v>
      </c>
      <c r="O13" s="14">
        <v>0.06</v>
      </c>
      <c r="P13" s="14">
        <v>0.04</v>
      </c>
      <c r="Q13" s="14">
        <v>0.05</v>
      </c>
      <c r="R13" s="14">
        <v>0.03</v>
      </c>
      <c r="S13" s="14">
        <v>0.02</v>
      </c>
      <c r="T13" s="14">
        <v>0.03</v>
      </c>
      <c r="U13" s="14">
        <v>0.03</v>
      </c>
      <c r="V13" s="14">
        <v>0.03</v>
      </c>
      <c r="W13" s="14">
        <v>0.05</v>
      </c>
      <c r="X13" s="14">
        <v>0.05</v>
      </c>
      <c r="Y13" s="14">
        <v>0.05</v>
      </c>
      <c r="Z13" s="14">
        <v>0.04</v>
      </c>
      <c r="AA13" s="14">
        <v>0.06</v>
      </c>
      <c r="AB13" s="14">
        <v>0.04</v>
      </c>
      <c r="AC13" s="14">
        <v>0.02</v>
      </c>
      <c r="AD13" s="14">
        <v>0.02</v>
      </c>
      <c r="AE13" s="14">
        <v>0.04</v>
      </c>
      <c r="AF13" s="14">
        <v>0.03</v>
      </c>
    </row>
    <row r="14" spans="1:32">
      <c r="A14" s="19"/>
      <c r="B14" s="11" t="s">
        <v>444</v>
      </c>
      <c r="C14" s="12">
        <v>809</v>
      </c>
      <c r="D14" s="12">
        <v>35</v>
      </c>
      <c r="E14" s="12">
        <v>38</v>
      </c>
      <c r="F14" s="12">
        <v>8</v>
      </c>
      <c r="G14" s="12">
        <v>7</v>
      </c>
      <c r="H14" s="12">
        <v>24</v>
      </c>
      <c r="I14" s="12">
        <v>30</v>
      </c>
      <c r="J14" s="12">
        <v>6</v>
      </c>
      <c r="K14" s="12">
        <v>27</v>
      </c>
      <c r="L14" s="12">
        <v>31</v>
      </c>
      <c r="M14" s="12">
        <v>26</v>
      </c>
      <c r="N14" s="12">
        <v>32</v>
      </c>
      <c r="O14" s="12">
        <v>45</v>
      </c>
      <c r="P14" s="12">
        <v>33</v>
      </c>
      <c r="Q14" s="12">
        <v>36</v>
      </c>
      <c r="R14" s="12">
        <v>11</v>
      </c>
      <c r="S14" s="12">
        <v>20</v>
      </c>
      <c r="T14" s="12">
        <v>18</v>
      </c>
      <c r="U14" s="12">
        <v>19</v>
      </c>
      <c r="V14" s="12">
        <v>41</v>
      </c>
      <c r="W14" s="12">
        <v>23</v>
      </c>
      <c r="X14" s="12">
        <v>21</v>
      </c>
      <c r="Y14" s="12">
        <v>19</v>
      </c>
      <c r="Z14" s="12">
        <v>38</v>
      </c>
      <c r="AA14" s="12">
        <v>40</v>
      </c>
      <c r="AB14" s="12">
        <v>49</v>
      </c>
      <c r="AC14" s="12">
        <v>6</v>
      </c>
      <c r="AD14" s="12">
        <v>16</v>
      </c>
      <c r="AE14" s="12">
        <v>20</v>
      </c>
      <c r="AF14" s="12">
        <v>15</v>
      </c>
    </row>
    <row r="15" spans="1:32">
      <c r="A15" s="19"/>
      <c r="B15" s="13" t="s">
        <v>445</v>
      </c>
      <c r="C15" s="14">
        <v>0.03</v>
      </c>
      <c r="D15" s="14">
        <v>0.03</v>
      </c>
      <c r="E15" s="14">
        <v>0.04</v>
      </c>
      <c r="F15" s="14">
        <v>0.01</v>
      </c>
      <c r="G15" s="14">
        <v>0.01</v>
      </c>
      <c r="H15" s="14">
        <v>0.02</v>
      </c>
      <c r="I15" s="14">
        <v>0.02</v>
      </c>
      <c r="J15" s="14">
        <v>0.02</v>
      </c>
      <c r="K15" s="14">
        <v>0.03</v>
      </c>
      <c r="L15" s="14">
        <v>0.03</v>
      </c>
      <c r="M15" s="14">
        <v>0.03</v>
      </c>
      <c r="N15" s="14">
        <v>0.03</v>
      </c>
      <c r="O15" s="14">
        <v>0.05</v>
      </c>
      <c r="P15" s="14">
        <v>0.03</v>
      </c>
      <c r="Q15" s="14">
        <v>0.03</v>
      </c>
      <c r="R15" s="14">
        <v>0.02</v>
      </c>
      <c r="S15" s="14">
        <v>0.02</v>
      </c>
      <c r="T15" s="14">
        <v>0.02</v>
      </c>
      <c r="U15" s="14">
        <v>0.04</v>
      </c>
      <c r="V15" s="14">
        <v>0.04</v>
      </c>
      <c r="W15" s="14">
        <v>0.05</v>
      </c>
      <c r="X15" s="14">
        <v>0.02</v>
      </c>
      <c r="Y15" s="14">
        <v>0.02</v>
      </c>
      <c r="Z15" s="14">
        <v>0.04</v>
      </c>
      <c r="AA15" s="14">
        <v>0.04</v>
      </c>
      <c r="AB15" s="14">
        <v>0.05</v>
      </c>
      <c r="AC15" s="14">
        <v>0.01</v>
      </c>
      <c r="AD15" s="14">
        <v>0.01</v>
      </c>
      <c r="AE15" s="14">
        <v>0.02</v>
      </c>
      <c r="AF15" s="14">
        <v>0.01</v>
      </c>
    </row>
    <row r="16" spans="1:32">
      <c r="A16" s="19"/>
      <c r="B16" s="11" t="s">
        <v>446</v>
      </c>
      <c r="C16" s="12">
        <v>1058</v>
      </c>
      <c r="D16" s="12">
        <v>46</v>
      </c>
      <c r="E16" s="12">
        <v>33</v>
      </c>
      <c r="F16" s="12">
        <v>17</v>
      </c>
      <c r="G16" s="12">
        <v>25</v>
      </c>
      <c r="H16" s="12">
        <v>49</v>
      </c>
      <c r="I16" s="12">
        <v>58</v>
      </c>
      <c r="J16" s="12">
        <v>9</v>
      </c>
      <c r="K16" s="12">
        <v>41</v>
      </c>
      <c r="L16" s="12">
        <v>44</v>
      </c>
      <c r="M16" s="12">
        <v>17</v>
      </c>
      <c r="N16" s="12">
        <v>58</v>
      </c>
      <c r="O16" s="12">
        <v>53</v>
      </c>
      <c r="P16" s="12">
        <v>41</v>
      </c>
      <c r="Q16" s="12">
        <v>37</v>
      </c>
      <c r="R16" s="12">
        <v>8</v>
      </c>
      <c r="S16" s="12">
        <v>15</v>
      </c>
      <c r="T16" s="12">
        <v>33</v>
      </c>
      <c r="U16" s="12">
        <v>33</v>
      </c>
      <c r="V16" s="12">
        <v>41</v>
      </c>
      <c r="W16" s="12">
        <v>27</v>
      </c>
      <c r="X16" s="12">
        <v>42</v>
      </c>
      <c r="Y16" s="12">
        <v>28</v>
      </c>
      <c r="Z16" s="12">
        <v>34</v>
      </c>
      <c r="AA16" s="12">
        <v>29</v>
      </c>
      <c r="AB16" s="12">
        <v>33</v>
      </c>
      <c r="AC16" s="12">
        <v>71</v>
      </c>
      <c r="AD16" s="12">
        <v>41</v>
      </c>
      <c r="AE16" s="12">
        <v>28</v>
      </c>
      <c r="AF16" s="12">
        <v>33</v>
      </c>
    </row>
    <row r="17" spans="1:32">
      <c r="A17" s="19"/>
      <c r="B17" s="13" t="s">
        <v>447</v>
      </c>
      <c r="C17" s="14">
        <v>0.04</v>
      </c>
      <c r="D17" s="14">
        <v>0.04</v>
      </c>
      <c r="E17" s="14">
        <v>0.03</v>
      </c>
      <c r="F17" s="14">
        <v>0.02</v>
      </c>
      <c r="G17" s="14">
        <v>0.02</v>
      </c>
      <c r="H17" s="14">
        <v>0.04</v>
      </c>
      <c r="I17" s="14">
        <v>0.04</v>
      </c>
      <c r="J17" s="14">
        <v>0.03</v>
      </c>
      <c r="K17" s="14">
        <v>0.04</v>
      </c>
      <c r="L17" s="14">
        <v>0.04</v>
      </c>
      <c r="M17" s="14">
        <v>0.02</v>
      </c>
      <c r="N17" s="14">
        <v>0.06</v>
      </c>
      <c r="O17" s="14">
        <v>0.05</v>
      </c>
      <c r="P17" s="14">
        <v>0.04</v>
      </c>
      <c r="Q17" s="14">
        <v>0.04</v>
      </c>
      <c r="R17" s="14">
        <v>0.02</v>
      </c>
      <c r="S17" s="14">
        <v>0.01</v>
      </c>
      <c r="T17" s="14">
        <v>0.03</v>
      </c>
      <c r="U17" s="14">
        <v>0.06</v>
      </c>
      <c r="V17" s="14">
        <v>0.04</v>
      </c>
      <c r="W17" s="14">
        <v>0.05</v>
      </c>
      <c r="X17" s="14">
        <v>0.04</v>
      </c>
      <c r="Y17" s="14">
        <v>0.03</v>
      </c>
      <c r="Z17" s="14">
        <v>0.03</v>
      </c>
      <c r="AA17" s="14">
        <v>0.03</v>
      </c>
      <c r="AB17" s="14">
        <v>0.03</v>
      </c>
      <c r="AC17" s="14">
        <v>7.0000000000000007E-2</v>
      </c>
      <c r="AD17" s="14">
        <v>0.04</v>
      </c>
      <c r="AE17" s="14">
        <v>0.03</v>
      </c>
      <c r="AF17" s="14">
        <v>0.03</v>
      </c>
    </row>
    <row r="18" spans="1:32">
      <c r="A18" s="19"/>
      <c r="B18" s="11" t="s">
        <v>448</v>
      </c>
      <c r="C18" s="12">
        <v>1520</v>
      </c>
      <c r="D18" s="12">
        <v>71</v>
      </c>
      <c r="E18" s="12">
        <v>64</v>
      </c>
      <c r="F18" s="12">
        <v>65</v>
      </c>
      <c r="G18" s="12">
        <v>53</v>
      </c>
      <c r="H18" s="12">
        <v>59</v>
      </c>
      <c r="I18" s="12">
        <v>73</v>
      </c>
      <c r="J18" s="12">
        <v>14</v>
      </c>
      <c r="K18" s="12">
        <v>33</v>
      </c>
      <c r="L18" s="12">
        <v>47</v>
      </c>
      <c r="M18" s="12">
        <v>87</v>
      </c>
      <c r="N18" s="12">
        <v>49</v>
      </c>
      <c r="O18" s="12">
        <v>53</v>
      </c>
      <c r="P18" s="12">
        <v>54</v>
      </c>
      <c r="Q18" s="12">
        <v>69</v>
      </c>
      <c r="R18" s="12">
        <v>36</v>
      </c>
      <c r="S18" s="12">
        <v>37</v>
      </c>
      <c r="T18" s="12">
        <v>52</v>
      </c>
      <c r="U18" s="12">
        <v>27</v>
      </c>
      <c r="V18" s="12">
        <v>58</v>
      </c>
      <c r="W18" s="12">
        <v>21</v>
      </c>
      <c r="X18" s="12">
        <v>69</v>
      </c>
      <c r="Y18" s="12">
        <v>38</v>
      </c>
      <c r="Z18" s="12">
        <v>61</v>
      </c>
      <c r="AA18" s="12">
        <v>110</v>
      </c>
      <c r="AB18" s="12">
        <v>68</v>
      </c>
      <c r="AC18" s="12">
        <v>52</v>
      </c>
      <c r="AD18" s="12">
        <v>79</v>
      </c>
      <c r="AE18" s="12">
        <v>42</v>
      </c>
      <c r="AF18" s="12">
        <v>46</v>
      </c>
    </row>
    <row r="19" spans="1:32">
      <c r="A19" s="19"/>
      <c r="B19" s="13" t="s">
        <v>449</v>
      </c>
      <c r="C19" s="14">
        <v>0.06</v>
      </c>
      <c r="D19" s="14">
        <v>7.0000000000000007E-2</v>
      </c>
      <c r="E19" s="14">
        <v>0.06</v>
      </c>
      <c r="F19" s="14">
        <v>0.06</v>
      </c>
      <c r="G19" s="14">
        <v>0.05</v>
      </c>
      <c r="H19" s="14">
        <v>0.05</v>
      </c>
      <c r="I19" s="14">
        <v>0.05</v>
      </c>
      <c r="J19" s="14">
        <v>0.05</v>
      </c>
      <c r="K19" s="14">
        <v>0.03</v>
      </c>
      <c r="L19" s="14">
        <v>0.05</v>
      </c>
      <c r="M19" s="14">
        <v>0.09</v>
      </c>
      <c r="N19" s="14">
        <v>0.05</v>
      </c>
      <c r="O19" s="14">
        <v>0.05</v>
      </c>
      <c r="P19" s="14">
        <v>0.05</v>
      </c>
      <c r="Q19" s="14">
        <v>7.0000000000000007E-2</v>
      </c>
      <c r="R19" s="14">
        <v>7.0000000000000007E-2</v>
      </c>
      <c r="S19" s="14">
        <v>0.04</v>
      </c>
      <c r="T19" s="14">
        <v>0.05</v>
      </c>
      <c r="U19" s="14">
        <v>0.05</v>
      </c>
      <c r="V19" s="14">
        <v>0.06</v>
      </c>
      <c r="W19" s="14">
        <v>0.04</v>
      </c>
      <c r="X19" s="14">
        <v>7.0000000000000007E-2</v>
      </c>
      <c r="Y19" s="14">
        <v>0.04</v>
      </c>
      <c r="Z19" s="14">
        <v>0.06</v>
      </c>
      <c r="AA19" s="14">
        <v>0.11</v>
      </c>
      <c r="AB19" s="14">
        <v>7.0000000000000007E-2</v>
      </c>
      <c r="AC19" s="14">
        <v>0.05</v>
      </c>
      <c r="AD19" s="14">
        <v>0.08</v>
      </c>
      <c r="AE19" s="14">
        <v>0.04</v>
      </c>
      <c r="AF19" s="14">
        <v>0.04</v>
      </c>
    </row>
    <row r="20" spans="1:32">
      <c r="A20" s="19"/>
      <c r="B20" s="11" t="s">
        <v>450</v>
      </c>
      <c r="C20" s="12">
        <v>799</v>
      </c>
      <c r="D20" s="12">
        <v>30</v>
      </c>
      <c r="E20" s="12">
        <v>34</v>
      </c>
      <c r="F20" s="12">
        <v>27</v>
      </c>
      <c r="G20" s="12">
        <v>17</v>
      </c>
      <c r="H20" s="12">
        <v>20</v>
      </c>
      <c r="I20" s="12">
        <v>21</v>
      </c>
      <c r="J20" s="12">
        <v>2</v>
      </c>
      <c r="K20" s="12">
        <v>19</v>
      </c>
      <c r="L20" s="12">
        <v>40</v>
      </c>
      <c r="M20" s="12">
        <v>34</v>
      </c>
      <c r="N20" s="12">
        <v>37</v>
      </c>
      <c r="O20" s="12">
        <v>20</v>
      </c>
      <c r="P20" s="12">
        <v>65</v>
      </c>
      <c r="Q20" s="12">
        <v>43</v>
      </c>
      <c r="R20" s="12">
        <v>24</v>
      </c>
      <c r="S20" s="12">
        <v>17</v>
      </c>
      <c r="T20" s="12">
        <v>18</v>
      </c>
      <c r="U20" s="12">
        <v>12</v>
      </c>
      <c r="V20" s="12">
        <v>23</v>
      </c>
      <c r="W20" s="12">
        <v>16</v>
      </c>
      <c r="X20" s="12">
        <v>28</v>
      </c>
      <c r="Y20" s="12">
        <v>26</v>
      </c>
      <c r="Z20" s="12">
        <v>52</v>
      </c>
      <c r="AA20" s="12">
        <v>36</v>
      </c>
      <c r="AB20" s="12">
        <v>62</v>
      </c>
      <c r="AC20" s="12">
        <v>26</v>
      </c>
      <c r="AD20" s="12">
        <v>29</v>
      </c>
      <c r="AE20" s="12">
        <v>13</v>
      </c>
      <c r="AF20" s="12">
        <v>21</v>
      </c>
    </row>
    <row r="21" spans="1:32">
      <c r="A21" s="19"/>
      <c r="B21" s="13" t="s">
        <v>451</v>
      </c>
      <c r="C21" s="14">
        <v>0.03</v>
      </c>
      <c r="D21" s="14">
        <v>0.03</v>
      </c>
      <c r="E21" s="14">
        <v>0.03</v>
      </c>
      <c r="F21" s="14">
        <v>0.02</v>
      </c>
      <c r="G21" s="14">
        <v>0.02</v>
      </c>
      <c r="H21" s="14">
        <v>0.02</v>
      </c>
      <c r="I21" s="14">
        <v>0.01</v>
      </c>
      <c r="J21" s="15" t="s">
        <v>375</v>
      </c>
      <c r="K21" s="14">
        <v>0.02</v>
      </c>
      <c r="L21" s="14">
        <v>0.04</v>
      </c>
      <c r="M21" s="14">
        <v>0.03</v>
      </c>
      <c r="N21" s="14">
        <v>0.04</v>
      </c>
      <c r="O21" s="14">
        <v>0.02</v>
      </c>
      <c r="P21" s="14">
        <v>7.0000000000000007E-2</v>
      </c>
      <c r="Q21" s="14">
        <v>0.04</v>
      </c>
      <c r="R21" s="14">
        <v>0.05</v>
      </c>
      <c r="S21" s="14">
        <v>0.02</v>
      </c>
      <c r="T21" s="14">
        <v>0.02</v>
      </c>
      <c r="U21" s="14">
        <v>0.02</v>
      </c>
      <c r="V21" s="14">
        <v>0.02</v>
      </c>
      <c r="W21" s="14">
        <v>0.03</v>
      </c>
      <c r="X21" s="14">
        <v>0.03</v>
      </c>
      <c r="Y21" s="14">
        <v>0.03</v>
      </c>
      <c r="Z21" s="14">
        <v>0.05</v>
      </c>
      <c r="AA21" s="14">
        <v>0.03</v>
      </c>
      <c r="AB21" s="14">
        <v>0.06</v>
      </c>
      <c r="AC21" s="14">
        <v>0.03</v>
      </c>
      <c r="AD21" s="14">
        <v>0.03</v>
      </c>
      <c r="AE21" s="14">
        <v>0.01</v>
      </c>
      <c r="AF21" s="14">
        <v>0.02</v>
      </c>
    </row>
    <row r="22" spans="1:32">
      <c r="A22" s="19"/>
      <c r="B22" s="11" t="s">
        <v>452</v>
      </c>
      <c r="C22" s="12">
        <v>2034</v>
      </c>
      <c r="D22" s="12">
        <v>86</v>
      </c>
      <c r="E22" s="12">
        <v>59</v>
      </c>
      <c r="F22" s="12">
        <v>79</v>
      </c>
      <c r="G22" s="12">
        <v>103</v>
      </c>
      <c r="H22" s="12">
        <v>92</v>
      </c>
      <c r="I22" s="12">
        <v>113</v>
      </c>
      <c r="J22" s="12">
        <v>21</v>
      </c>
      <c r="K22" s="12">
        <v>73</v>
      </c>
      <c r="L22" s="12">
        <v>82</v>
      </c>
      <c r="M22" s="12">
        <v>92</v>
      </c>
      <c r="N22" s="12">
        <v>89</v>
      </c>
      <c r="O22" s="12">
        <v>68</v>
      </c>
      <c r="P22" s="12">
        <v>61</v>
      </c>
      <c r="Q22" s="12">
        <v>76</v>
      </c>
      <c r="R22" s="12">
        <v>57</v>
      </c>
      <c r="S22" s="12">
        <v>93</v>
      </c>
      <c r="T22" s="12">
        <v>87</v>
      </c>
      <c r="U22" s="12">
        <v>33</v>
      </c>
      <c r="V22" s="12">
        <v>78</v>
      </c>
      <c r="W22" s="12">
        <v>38</v>
      </c>
      <c r="X22" s="12">
        <v>99</v>
      </c>
      <c r="Y22" s="12">
        <v>81</v>
      </c>
      <c r="Z22" s="12">
        <v>50</v>
      </c>
      <c r="AA22" s="12">
        <v>76</v>
      </c>
      <c r="AB22" s="12">
        <v>85</v>
      </c>
      <c r="AC22" s="12">
        <v>77</v>
      </c>
      <c r="AD22" s="12">
        <v>87</v>
      </c>
      <c r="AE22" s="12">
        <v>89</v>
      </c>
      <c r="AF22" s="12">
        <v>153</v>
      </c>
    </row>
    <row r="23" spans="1:32">
      <c r="A23" s="19"/>
      <c r="B23" s="13" t="s">
        <v>453</v>
      </c>
      <c r="C23" s="14">
        <v>0.08</v>
      </c>
      <c r="D23" s="14">
        <v>0.08</v>
      </c>
      <c r="E23" s="14">
        <v>0.06</v>
      </c>
      <c r="F23" s="14">
        <v>7.0000000000000007E-2</v>
      </c>
      <c r="G23" s="14">
        <v>0.1</v>
      </c>
      <c r="H23" s="14">
        <v>7.0000000000000007E-2</v>
      </c>
      <c r="I23" s="14">
        <v>7.0000000000000007E-2</v>
      </c>
      <c r="J23" s="14">
        <v>7.0000000000000007E-2</v>
      </c>
      <c r="K23" s="14">
        <v>7.0000000000000007E-2</v>
      </c>
      <c r="L23" s="14">
        <v>0.08</v>
      </c>
      <c r="M23" s="14">
        <v>0.09</v>
      </c>
      <c r="N23" s="14">
        <v>0.09</v>
      </c>
      <c r="O23" s="14">
        <v>7.0000000000000007E-2</v>
      </c>
      <c r="P23" s="14">
        <v>0.06</v>
      </c>
      <c r="Q23" s="14">
        <v>7.0000000000000007E-2</v>
      </c>
      <c r="R23" s="14">
        <v>0.12</v>
      </c>
      <c r="S23" s="14">
        <v>0.09</v>
      </c>
      <c r="T23" s="14">
        <v>0.09</v>
      </c>
      <c r="U23" s="14">
        <v>0.06</v>
      </c>
      <c r="V23" s="14">
        <v>0.08</v>
      </c>
      <c r="W23" s="14">
        <v>0.08</v>
      </c>
      <c r="X23" s="14">
        <v>0.1</v>
      </c>
      <c r="Y23" s="14">
        <v>0.08</v>
      </c>
      <c r="Z23" s="14">
        <v>0.05</v>
      </c>
      <c r="AA23" s="14">
        <v>7.0000000000000007E-2</v>
      </c>
      <c r="AB23" s="14">
        <v>0.08</v>
      </c>
      <c r="AC23" s="14">
        <v>0.08</v>
      </c>
      <c r="AD23" s="14">
        <v>0.09</v>
      </c>
      <c r="AE23" s="14">
        <v>0.09</v>
      </c>
      <c r="AF23" s="14">
        <v>0.15</v>
      </c>
    </row>
    <row r="24" spans="1:32">
      <c r="A24" s="19"/>
      <c r="B24" s="11" t="s">
        <v>454</v>
      </c>
      <c r="C24" s="12">
        <v>356</v>
      </c>
      <c r="D24" s="12">
        <v>15</v>
      </c>
      <c r="E24" s="12">
        <v>19</v>
      </c>
      <c r="F24" s="12">
        <v>7</v>
      </c>
      <c r="G24" s="12">
        <v>11</v>
      </c>
      <c r="H24" s="12">
        <v>5</v>
      </c>
      <c r="I24" s="12">
        <v>5</v>
      </c>
      <c r="J24" s="12">
        <v>0</v>
      </c>
      <c r="K24" s="12">
        <v>22</v>
      </c>
      <c r="L24" s="12">
        <v>32</v>
      </c>
      <c r="M24" s="12">
        <v>8</v>
      </c>
      <c r="N24" s="12">
        <v>7</v>
      </c>
      <c r="O24" s="12">
        <v>25</v>
      </c>
      <c r="P24" s="12">
        <v>24</v>
      </c>
      <c r="Q24" s="12">
        <v>12</v>
      </c>
      <c r="R24" s="12">
        <v>22</v>
      </c>
      <c r="S24" s="12">
        <v>12</v>
      </c>
      <c r="T24" s="12">
        <v>15</v>
      </c>
      <c r="U24" s="12">
        <v>5</v>
      </c>
      <c r="V24" s="12">
        <v>20</v>
      </c>
      <c r="W24" s="12">
        <v>13</v>
      </c>
      <c r="X24" s="12">
        <v>11</v>
      </c>
      <c r="Y24" s="12">
        <v>12</v>
      </c>
      <c r="Z24" s="12">
        <v>17</v>
      </c>
      <c r="AA24" s="12">
        <v>6</v>
      </c>
      <c r="AB24" s="12">
        <v>44</v>
      </c>
      <c r="AC24" s="12">
        <v>15</v>
      </c>
      <c r="AD24" s="12">
        <v>12</v>
      </c>
      <c r="AE24" s="12">
        <v>11</v>
      </c>
      <c r="AF24" s="12">
        <v>6</v>
      </c>
    </row>
    <row r="25" spans="1:32">
      <c r="A25" s="19"/>
      <c r="B25" s="13" t="s">
        <v>455</v>
      </c>
      <c r="C25" s="14">
        <v>0.01</v>
      </c>
      <c r="D25" s="14">
        <v>0.01</v>
      </c>
      <c r="E25" s="14">
        <v>0.02</v>
      </c>
      <c r="F25" s="14">
        <v>0.01</v>
      </c>
      <c r="G25" s="14">
        <v>0.01</v>
      </c>
      <c r="H25" s="15" t="s">
        <v>375</v>
      </c>
      <c r="I25" s="15" t="s">
        <v>375</v>
      </c>
      <c r="J25" s="15" t="s">
        <v>375</v>
      </c>
      <c r="K25" s="14">
        <v>0.02</v>
      </c>
      <c r="L25" s="14">
        <v>0.03</v>
      </c>
      <c r="M25" s="14">
        <v>0.01</v>
      </c>
      <c r="N25" s="14">
        <v>0.01</v>
      </c>
      <c r="O25" s="14">
        <v>0.02</v>
      </c>
      <c r="P25" s="14">
        <v>0.02</v>
      </c>
      <c r="Q25" s="14">
        <v>0.01</v>
      </c>
      <c r="R25" s="14">
        <v>0.04</v>
      </c>
      <c r="S25" s="14">
        <v>0.01</v>
      </c>
      <c r="T25" s="14">
        <v>0.02</v>
      </c>
      <c r="U25" s="14">
        <v>0.01</v>
      </c>
      <c r="V25" s="14">
        <v>0.02</v>
      </c>
      <c r="W25" s="14">
        <v>0.03</v>
      </c>
      <c r="X25" s="14">
        <v>0.01</v>
      </c>
      <c r="Y25" s="14">
        <v>0.01</v>
      </c>
      <c r="Z25" s="14">
        <v>0.02</v>
      </c>
      <c r="AA25" s="15" t="s">
        <v>375</v>
      </c>
      <c r="AB25" s="14">
        <v>0.04</v>
      </c>
      <c r="AC25" s="14">
        <v>0.01</v>
      </c>
      <c r="AD25" s="14">
        <v>0.01</v>
      </c>
      <c r="AE25" s="14">
        <v>0.01</v>
      </c>
      <c r="AF25" s="14">
        <v>0.01</v>
      </c>
    </row>
    <row r="26" spans="1:32">
      <c r="A26" s="19"/>
      <c r="B26" s="11" t="s">
        <v>456</v>
      </c>
      <c r="C26" s="12">
        <v>988</v>
      </c>
      <c r="D26" s="12">
        <v>28</v>
      </c>
      <c r="E26" s="12">
        <v>108</v>
      </c>
      <c r="F26" s="12">
        <v>53</v>
      </c>
      <c r="G26" s="12">
        <v>44</v>
      </c>
      <c r="H26" s="12">
        <v>18</v>
      </c>
      <c r="I26" s="12">
        <v>27</v>
      </c>
      <c r="J26" s="12">
        <v>8</v>
      </c>
      <c r="K26" s="12">
        <v>77</v>
      </c>
      <c r="L26" s="12">
        <v>75</v>
      </c>
      <c r="M26" s="12">
        <v>24</v>
      </c>
      <c r="N26" s="12">
        <v>27</v>
      </c>
      <c r="O26" s="12">
        <v>24</v>
      </c>
      <c r="P26" s="12">
        <v>57</v>
      </c>
      <c r="Q26" s="12">
        <v>47</v>
      </c>
      <c r="R26" s="12">
        <v>9</v>
      </c>
      <c r="S26" s="12">
        <v>26</v>
      </c>
      <c r="T26" s="12">
        <v>53</v>
      </c>
      <c r="U26" s="12">
        <v>23</v>
      </c>
      <c r="V26" s="12">
        <v>73</v>
      </c>
      <c r="W26" s="12">
        <v>21</v>
      </c>
      <c r="X26" s="12">
        <v>21</v>
      </c>
      <c r="Y26" s="12">
        <v>36</v>
      </c>
      <c r="Z26" s="12">
        <v>77</v>
      </c>
      <c r="AA26" s="12">
        <v>19</v>
      </c>
      <c r="AB26" s="12">
        <v>78</v>
      </c>
      <c r="AC26" s="12">
        <v>30</v>
      </c>
      <c r="AD26" s="12">
        <v>56</v>
      </c>
      <c r="AE26" s="12">
        <v>22</v>
      </c>
      <c r="AF26" s="12">
        <v>34</v>
      </c>
    </row>
    <row r="27" spans="1:32">
      <c r="A27" s="19"/>
      <c r="B27" s="13" t="s">
        <v>457</v>
      </c>
      <c r="C27" s="14">
        <v>0.04</v>
      </c>
      <c r="D27" s="14">
        <v>0.03</v>
      </c>
      <c r="E27" s="14">
        <v>0.1</v>
      </c>
      <c r="F27" s="14">
        <v>0.05</v>
      </c>
      <c r="G27" s="14">
        <v>0.04</v>
      </c>
      <c r="H27" s="14">
        <v>0.01</v>
      </c>
      <c r="I27" s="14">
        <v>0.02</v>
      </c>
      <c r="J27" s="14">
        <v>0.03</v>
      </c>
      <c r="K27" s="14">
        <v>0.08</v>
      </c>
      <c r="L27" s="14">
        <v>7.0000000000000007E-2</v>
      </c>
      <c r="M27" s="14">
        <v>0.02</v>
      </c>
      <c r="N27" s="14">
        <v>0.03</v>
      </c>
      <c r="O27" s="14">
        <v>0.02</v>
      </c>
      <c r="P27" s="14">
        <v>0.06</v>
      </c>
      <c r="Q27" s="14">
        <v>0.05</v>
      </c>
      <c r="R27" s="14">
        <v>0.02</v>
      </c>
      <c r="S27" s="14">
        <v>0.03</v>
      </c>
      <c r="T27" s="14">
        <v>0.05</v>
      </c>
      <c r="U27" s="14">
        <v>0.05</v>
      </c>
      <c r="V27" s="14">
        <v>7.0000000000000007E-2</v>
      </c>
      <c r="W27" s="14">
        <v>0.04</v>
      </c>
      <c r="X27" s="14">
        <v>0.02</v>
      </c>
      <c r="Y27" s="14">
        <v>0.04</v>
      </c>
      <c r="Z27" s="14">
        <v>0.08</v>
      </c>
      <c r="AA27" s="14">
        <v>0.02</v>
      </c>
      <c r="AB27" s="14">
        <v>7.0000000000000007E-2</v>
      </c>
      <c r="AC27" s="14">
        <v>0.03</v>
      </c>
      <c r="AD27" s="14">
        <v>0.06</v>
      </c>
      <c r="AE27" s="14">
        <v>0.02</v>
      </c>
      <c r="AF27" s="14">
        <v>0.03</v>
      </c>
    </row>
    <row r="28" spans="1:32">
      <c r="A28" s="19"/>
      <c r="B28" s="11" t="s">
        <v>458</v>
      </c>
      <c r="C28" s="12">
        <v>1800</v>
      </c>
      <c r="D28" s="12">
        <v>87</v>
      </c>
      <c r="E28" s="12">
        <v>48</v>
      </c>
      <c r="F28" s="12">
        <v>81</v>
      </c>
      <c r="G28" s="12">
        <v>67</v>
      </c>
      <c r="H28" s="12">
        <v>106</v>
      </c>
      <c r="I28" s="12">
        <v>118</v>
      </c>
      <c r="J28" s="12">
        <v>12</v>
      </c>
      <c r="K28" s="12">
        <v>64</v>
      </c>
      <c r="L28" s="12">
        <v>84</v>
      </c>
      <c r="M28" s="12">
        <v>71</v>
      </c>
      <c r="N28" s="12">
        <v>74</v>
      </c>
      <c r="O28" s="12">
        <v>73</v>
      </c>
      <c r="P28" s="12">
        <v>74</v>
      </c>
      <c r="Q28" s="12">
        <v>66</v>
      </c>
      <c r="R28" s="12">
        <v>24</v>
      </c>
      <c r="S28" s="12">
        <v>109</v>
      </c>
      <c r="T28" s="12">
        <v>66</v>
      </c>
      <c r="U28" s="12">
        <v>30</v>
      </c>
      <c r="V28" s="12">
        <v>62</v>
      </c>
      <c r="W28" s="12">
        <v>22</v>
      </c>
      <c r="X28" s="12">
        <v>56</v>
      </c>
      <c r="Y28" s="12">
        <v>83</v>
      </c>
      <c r="Z28" s="12">
        <v>42</v>
      </c>
      <c r="AA28" s="12">
        <v>39</v>
      </c>
      <c r="AB28" s="12">
        <v>78</v>
      </c>
      <c r="AC28" s="12">
        <v>69</v>
      </c>
      <c r="AD28" s="12">
        <v>61</v>
      </c>
      <c r="AE28" s="12">
        <v>57</v>
      </c>
      <c r="AF28" s="12">
        <v>81</v>
      </c>
    </row>
    <row r="29" spans="1:32">
      <c r="A29" s="19"/>
      <c r="B29" s="13" t="s">
        <v>459</v>
      </c>
      <c r="C29" s="14">
        <v>7.0000000000000007E-2</v>
      </c>
      <c r="D29" s="14">
        <v>0.08</v>
      </c>
      <c r="E29" s="14">
        <v>0.05</v>
      </c>
      <c r="F29" s="14">
        <v>0.08</v>
      </c>
      <c r="G29" s="14">
        <v>7.0000000000000007E-2</v>
      </c>
      <c r="H29" s="14">
        <v>0.09</v>
      </c>
      <c r="I29" s="14">
        <v>0.08</v>
      </c>
      <c r="J29" s="14">
        <v>0.04</v>
      </c>
      <c r="K29" s="14">
        <v>0.06</v>
      </c>
      <c r="L29" s="14">
        <v>0.08</v>
      </c>
      <c r="M29" s="14">
        <v>7.0000000000000007E-2</v>
      </c>
      <c r="N29" s="14">
        <v>7.0000000000000007E-2</v>
      </c>
      <c r="O29" s="14">
        <v>7.0000000000000007E-2</v>
      </c>
      <c r="P29" s="14">
        <v>7.0000000000000007E-2</v>
      </c>
      <c r="Q29" s="14">
        <v>0.06</v>
      </c>
      <c r="R29" s="14">
        <v>0.05</v>
      </c>
      <c r="S29" s="14">
        <v>0.11</v>
      </c>
      <c r="T29" s="14">
        <v>0.06</v>
      </c>
      <c r="U29" s="14">
        <v>0.06</v>
      </c>
      <c r="V29" s="14">
        <v>0.06</v>
      </c>
      <c r="W29" s="14">
        <v>0.04</v>
      </c>
      <c r="X29" s="14">
        <v>0.06</v>
      </c>
      <c r="Y29" s="14">
        <v>0.08</v>
      </c>
      <c r="Z29" s="14">
        <v>0.04</v>
      </c>
      <c r="AA29" s="14">
        <v>0.04</v>
      </c>
      <c r="AB29" s="14">
        <v>7.0000000000000007E-2</v>
      </c>
      <c r="AC29" s="14">
        <v>7.0000000000000007E-2</v>
      </c>
      <c r="AD29" s="14">
        <v>0.06</v>
      </c>
      <c r="AE29" s="14">
        <v>0.06</v>
      </c>
      <c r="AF29" s="14">
        <v>0.08</v>
      </c>
    </row>
    <row r="30" spans="1:32">
      <c r="A30" s="19"/>
      <c r="B30" s="11" t="s">
        <v>460</v>
      </c>
      <c r="C30" s="12">
        <v>1197</v>
      </c>
      <c r="D30" s="12">
        <v>34</v>
      </c>
      <c r="E30" s="12">
        <v>40</v>
      </c>
      <c r="F30" s="12">
        <v>50</v>
      </c>
      <c r="G30" s="12">
        <v>62</v>
      </c>
      <c r="H30" s="12">
        <v>31</v>
      </c>
      <c r="I30" s="12">
        <v>48</v>
      </c>
      <c r="J30" s="12">
        <v>17</v>
      </c>
      <c r="K30" s="12">
        <v>24</v>
      </c>
      <c r="L30" s="12">
        <v>39</v>
      </c>
      <c r="M30" s="12">
        <v>40</v>
      </c>
      <c r="N30" s="12">
        <v>63</v>
      </c>
      <c r="O30" s="12">
        <v>57</v>
      </c>
      <c r="P30" s="12">
        <v>60</v>
      </c>
      <c r="Q30" s="12">
        <v>49</v>
      </c>
      <c r="R30" s="12">
        <v>31</v>
      </c>
      <c r="S30" s="12">
        <v>31</v>
      </c>
      <c r="T30" s="12">
        <v>24</v>
      </c>
      <c r="U30" s="12">
        <v>13</v>
      </c>
      <c r="V30" s="12">
        <v>40</v>
      </c>
      <c r="W30" s="12">
        <v>29</v>
      </c>
      <c r="X30" s="12">
        <v>27</v>
      </c>
      <c r="Y30" s="12">
        <v>27</v>
      </c>
      <c r="Z30" s="12">
        <v>42</v>
      </c>
      <c r="AA30" s="12">
        <v>56</v>
      </c>
      <c r="AB30" s="12">
        <v>44</v>
      </c>
      <c r="AC30" s="12">
        <v>53</v>
      </c>
      <c r="AD30" s="12">
        <v>49</v>
      </c>
      <c r="AE30" s="12">
        <v>64</v>
      </c>
      <c r="AF30" s="12">
        <v>64</v>
      </c>
    </row>
    <row r="31" spans="1:32">
      <c r="A31" s="19"/>
      <c r="B31" s="13" t="s">
        <v>461</v>
      </c>
      <c r="C31" s="14">
        <v>0.05</v>
      </c>
      <c r="D31" s="14">
        <v>0.03</v>
      </c>
      <c r="E31" s="14">
        <v>0.04</v>
      </c>
      <c r="F31" s="14">
        <v>0.05</v>
      </c>
      <c r="G31" s="14">
        <v>0.06</v>
      </c>
      <c r="H31" s="14">
        <v>0.03</v>
      </c>
      <c r="I31" s="14">
        <v>0.03</v>
      </c>
      <c r="J31" s="14">
        <v>0.06</v>
      </c>
      <c r="K31" s="14">
        <v>0.02</v>
      </c>
      <c r="L31" s="14">
        <v>0.04</v>
      </c>
      <c r="M31" s="14">
        <v>0.04</v>
      </c>
      <c r="N31" s="14">
        <v>0.06</v>
      </c>
      <c r="O31" s="14">
        <v>0.06</v>
      </c>
      <c r="P31" s="14">
        <v>0.06</v>
      </c>
      <c r="Q31" s="14">
        <v>0.05</v>
      </c>
      <c r="R31" s="14">
        <v>0.06</v>
      </c>
      <c r="S31" s="14">
        <v>0.03</v>
      </c>
      <c r="T31" s="14">
        <v>0.02</v>
      </c>
      <c r="U31" s="14">
        <v>0.03</v>
      </c>
      <c r="V31" s="14">
        <v>0.04</v>
      </c>
      <c r="W31" s="14">
        <v>0.06</v>
      </c>
      <c r="X31" s="14">
        <v>0.03</v>
      </c>
      <c r="Y31" s="14">
        <v>0.03</v>
      </c>
      <c r="Z31" s="14">
        <v>0.04</v>
      </c>
      <c r="AA31" s="14">
        <v>0.05</v>
      </c>
      <c r="AB31" s="14">
        <v>0.04</v>
      </c>
      <c r="AC31" s="14">
        <v>0.05</v>
      </c>
      <c r="AD31" s="14">
        <v>0.05</v>
      </c>
      <c r="AE31" s="14">
        <v>0.06</v>
      </c>
      <c r="AF31" s="14">
        <v>0.06</v>
      </c>
    </row>
    <row r="32" spans="1:32">
      <c r="A32" s="19"/>
      <c r="B32" s="11" t="s">
        <v>462</v>
      </c>
      <c r="C32" s="12">
        <v>3507</v>
      </c>
      <c r="D32" s="12">
        <v>128</v>
      </c>
      <c r="E32" s="12">
        <v>80</v>
      </c>
      <c r="F32" s="12">
        <v>107</v>
      </c>
      <c r="G32" s="12">
        <v>220</v>
      </c>
      <c r="H32" s="12">
        <v>250</v>
      </c>
      <c r="I32" s="12">
        <v>289</v>
      </c>
      <c r="J32" s="12">
        <v>39</v>
      </c>
      <c r="K32" s="12">
        <v>38</v>
      </c>
      <c r="L32" s="12">
        <v>95</v>
      </c>
      <c r="M32" s="12">
        <v>114</v>
      </c>
      <c r="N32" s="12">
        <v>148</v>
      </c>
      <c r="O32" s="12">
        <v>106</v>
      </c>
      <c r="P32" s="12">
        <v>46</v>
      </c>
      <c r="Q32" s="12">
        <v>112</v>
      </c>
      <c r="R32" s="12">
        <v>60</v>
      </c>
      <c r="S32" s="12">
        <v>78</v>
      </c>
      <c r="T32" s="12">
        <v>73</v>
      </c>
      <c r="U32" s="12">
        <v>70</v>
      </c>
      <c r="V32" s="12">
        <v>118</v>
      </c>
      <c r="W32" s="12">
        <v>43</v>
      </c>
      <c r="X32" s="12">
        <v>172</v>
      </c>
      <c r="Y32" s="12">
        <v>134</v>
      </c>
      <c r="Z32" s="12">
        <v>99</v>
      </c>
      <c r="AA32" s="12">
        <v>87</v>
      </c>
      <c r="AB32" s="12">
        <v>104</v>
      </c>
      <c r="AC32" s="12">
        <v>62</v>
      </c>
      <c r="AD32" s="12">
        <v>90</v>
      </c>
      <c r="AE32" s="12">
        <v>151</v>
      </c>
      <c r="AF32" s="12">
        <v>286</v>
      </c>
    </row>
    <row r="33" spans="1:32">
      <c r="A33" s="19"/>
      <c r="B33" s="13" t="s">
        <v>463</v>
      </c>
      <c r="C33" s="14">
        <v>0.13</v>
      </c>
      <c r="D33" s="14">
        <v>0.13</v>
      </c>
      <c r="E33" s="14">
        <v>0.08</v>
      </c>
      <c r="F33" s="14">
        <v>0.1</v>
      </c>
      <c r="G33" s="14">
        <v>0.22</v>
      </c>
      <c r="H33" s="14">
        <v>0.2</v>
      </c>
      <c r="I33" s="14">
        <v>0.19</v>
      </c>
      <c r="J33" s="14">
        <v>0.13</v>
      </c>
      <c r="K33" s="14">
        <v>0.04</v>
      </c>
      <c r="L33" s="14">
        <v>0.1</v>
      </c>
      <c r="M33" s="14">
        <v>0.11</v>
      </c>
      <c r="N33" s="14">
        <v>0.15</v>
      </c>
      <c r="O33" s="14">
        <v>0.11</v>
      </c>
      <c r="P33" s="14">
        <v>0.05</v>
      </c>
      <c r="Q33" s="14">
        <v>0.11</v>
      </c>
      <c r="R33" s="14">
        <v>0.12</v>
      </c>
      <c r="S33" s="14">
        <v>0.08</v>
      </c>
      <c r="T33" s="14">
        <v>7.0000000000000007E-2</v>
      </c>
      <c r="U33" s="14">
        <v>0.14000000000000001</v>
      </c>
      <c r="V33" s="14">
        <v>0.12</v>
      </c>
      <c r="W33" s="14">
        <v>0.09</v>
      </c>
      <c r="X33" s="14">
        <v>0.17</v>
      </c>
      <c r="Y33" s="14">
        <v>0.13</v>
      </c>
      <c r="Z33" s="14">
        <v>0.1</v>
      </c>
      <c r="AA33" s="14">
        <v>0.08</v>
      </c>
      <c r="AB33" s="14">
        <v>0.1</v>
      </c>
      <c r="AC33" s="14">
        <v>0.06</v>
      </c>
      <c r="AD33" s="14">
        <v>0.09</v>
      </c>
      <c r="AE33" s="14">
        <v>0.15</v>
      </c>
      <c r="AF33" s="14">
        <v>0.28000000000000003</v>
      </c>
    </row>
    <row r="34" spans="1:32">
      <c r="A34" s="19"/>
      <c r="B34" s="11" t="s">
        <v>464</v>
      </c>
      <c r="C34" s="12">
        <v>1762</v>
      </c>
      <c r="D34" s="12">
        <v>68</v>
      </c>
      <c r="E34" s="12">
        <v>68</v>
      </c>
      <c r="F34" s="12">
        <v>51</v>
      </c>
      <c r="G34" s="12">
        <v>73</v>
      </c>
      <c r="H34" s="12">
        <v>93</v>
      </c>
      <c r="I34" s="12">
        <v>114</v>
      </c>
      <c r="J34" s="12">
        <v>21</v>
      </c>
      <c r="K34" s="12">
        <v>58</v>
      </c>
      <c r="L34" s="12">
        <v>88</v>
      </c>
      <c r="M34" s="12">
        <v>141</v>
      </c>
      <c r="N34" s="12">
        <v>83</v>
      </c>
      <c r="O34" s="12">
        <v>71</v>
      </c>
      <c r="P34" s="12">
        <v>53</v>
      </c>
      <c r="Q34" s="12">
        <v>38</v>
      </c>
      <c r="R34" s="12">
        <v>66</v>
      </c>
      <c r="S34" s="12">
        <v>87</v>
      </c>
      <c r="T34" s="12">
        <v>30</v>
      </c>
      <c r="U34" s="12">
        <v>31</v>
      </c>
      <c r="V34" s="12">
        <v>46</v>
      </c>
      <c r="W34" s="12">
        <v>65</v>
      </c>
      <c r="X34" s="12">
        <v>98</v>
      </c>
      <c r="Y34" s="12">
        <v>88</v>
      </c>
      <c r="Z34" s="12">
        <v>42</v>
      </c>
      <c r="AA34" s="12">
        <v>56</v>
      </c>
      <c r="AB34" s="12">
        <v>60</v>
      </c>
      <c r="AC34" s="12">
        <v>76</v>
      </c>
      <c r="AD34" s="12">
        <v>69</v>
      </c>
      <c r="AE34" s="12">
        <v>124</v>
      </c>
      <c r="AF34" s="12">
        <v>47</v>
      </c>
    </row>
    <row r="35" spans="1:32">
      <c r="A35" s="19"/>
      <c r="B35" s="13" t="s">
        <v>465</v>
      </c>
      <c r="C35" s="14">
        <v>7.0000000000000007E-2</v>
      </c>
      <c r="D35" s="14">
        <v>7.0000000000000007E-2</v>
      </c>
      <c r="E35" s="14">
        <v>7.0000000000000007E-2</v>
      </c>
      <c r="F35" s="14">
        <v>0.05</v>
      </c>
      <c r="G35" s="14">
        <v>7.0000000000000007E-2</v>
      </c>
      <c r="H35" s="14">
        <v>0.08</v>
      </c>
      <c r="I35" s="14">
        <v>0.08</v>
      </c>
      <c r="J35" s="14">
        <v>7.0000000000000007E-2</v>
      </c>
      <c r="K35" s="14">
        <v>0.06</v>
      </c>
      <c r="L35" s="14">
        <v>0.09</v>
      </c>
      <c r="M35" s="14">
        <v>0.14000000000000001</v>
      </c>
      <c r="N35" s="14">
        <v>0.08</v>
      </c>
      <c r="O35" s="14">
        <v>7.0000000000000007E-2</v>
      </c>
      <c r="P35" s="14">
        <v>0.05</v>
      </c>
      <c r="Q35" s="14">
        <v>0.04</v>
      </c>
      <c r="R35" s="14">
        <v>0.13</v>
      </c>
      <c r="S35" s="14">
        <v>0.09</v>
      </c>
      <c r="T35" s="14">
        <v>0.03</v>
      </c>
      <c r="U35" s="14">
        <v>0.06</v>
      </c>
      <c r="V35" s="14">
        <v>0.04</v>
      </c>
      <c r="W35" s="14">
        <v>0.13</v>
      </c>
      <c r="X35" s="14">
        <v>0.1</v>
      </c>
      <c r="Y35" s="14">
        <v>0.09</v>
      </c>
      <c r="Z35" s="14">
        <v>0.04</v>
      </c>
      <c r="AA35" s="14">
        <v>0.05</v>
      </c>
      <c r="AB35" s="14">
        <v>0.06</v>
      </c>
      <c r="AC35" s="14">
        <v>0.08</v>
      </c>
      <c r="AD35" s="14">
        <v>7.0000000000000007E-2</v>
      </c>
      <c r="AE35" s="14">
        <v>0.13</v>
      </c>
      <c r="AF35" s="14">
        <v>0.05</v>
      </c>
    </row>
    <row r="36" spans="1:32">
      <c r="A36" s="19"/>
      <c r="B36" s="11" t="s">
        <v>466</v>
      </c>
      <c r="C36" s="12">
        <v>1376</v>
      </c>
      <c r="D36" s="12">
        <v>67</v>
      </c>
      <c r="E36" s="12">
        <v>98</v>
      </c>
      <c r="F36" s="12">
        <v>104</v>
      </c>
      <c r="G36" s="12">
        <v>57</v>
      </c>
      <c r="H36" s="12">
        <v>36</v>
      </c>
      <c r="I36" s="12">
        <v>47</v>
      </c>
      <c r="J36" s="12">
        <v>11</v>
      </c>
      <c r="K36" s="12">
        <v>104</v>
      </c>
      <c r="L36" s="12">
        <v>48</v>
      </c>
      <c r="M36" s="12">
        <v>48</v>
      </c>
      <c r="N36" s="12">
        <v>30</v>
      </c>
      <c r="O36" s="12">
        <v>54</v>
      </c>
      <c r="P36" s="12">
        <v>56</v>
      </c>
      <c r="Q36" s="12">
        <v>55</v>
      </c>
      <c r="R36" s="12">
        <v>20</v>
      </c>
      <c r="S36" s="12">
        <v>54</v>
      </c>
      <c r="T36" s="12">
        <v>59</v>
      </c>
      <c r="U36" s="12">
        <v>35</v>
      </c>
      <c r="V36" s="12">
        <v>53</v>
      </c>
      <c r="W36" s="12">
        <v>24</v>
      </c>
      <c r="X36" s="12">
        <v>65</v>
      </c>
      <c r="Y36" s="12">
        <v>33</v>
      </c>
      <c r="Z36" s="12">
        <v>72</v>
      </c>
      <c r="AA36" s="12">
        <v>99</v>
      </c>
      <c r="AB36" s="12">
        <v>89</v>
      </c>
      <c r="AC36" s="12">
        <v>64</v>
      </c>
      <c r="AD36" s="12">
        <v>68</v>
      </c>
      <c r="AE36" s="12">
        <v>34</v>
      </c>
      <c r="AF36" s="12">
        <v>33</v>
      </c>
    </row>
    <row r="37" spans="1:32">
      <c r="A37" s="19"/>
      <c r="B37" s="13" t="s">
        <v>467</v>
      </c>
      <c r="C37" s="14">
        <v>0.05</v>
      </c>
      <c r="D37" s="14">
        <v>7.0000000000000007E-2</v>
      </c>
      <c r="E37" s="14">
        <v>0.09</v>
      </c>
      <c r="F37" s="14">
        <v>0.1</v>
      </c>
      <c r="G37" s="14">
        <v>0.06</v>
      </c>
      <c r="H37" s="14">
        <v>0.03</v>
      </c>
      <c r="I37" s="14">
        <v>0.03</v>
      </c>
      <c r="J37" s="14">
        <v>0.04</v>
      </c>
      <c r="K37" s="14">
        <v>0.1</v>
      </c>
      <c r="L37" s="14">
        <v>0.05</v>
      </c>
      <c r="M37" s="14">
        <v>0.05</v>
      </c>
      <c r="N37" s="14">
        <v>0.03</v>
      </c>
      <c r="O37" s="14">
        <v>0.05</v>
      </c>
      <c r="P37" s="14">
        <v>0.06</v>
      </c>
      <c r="Q37" s="14">
        <v>0.05</v>
      </c>
      <c r="R37" s="14">
        <v>0.04</v>
      </c>
      <c r="S37" s="14">
        <v>0.05</v>
      </c>
      <c r="T37" s="14">
        <v>0.06</v>
      </c>
      <c r="U37" s="14">
        <v>7.0000000000000007E-2</v>
      </c>
      <c r="V37" s="14">
        <v>0.05</v>
      </c>
      <c r="W37" s="14">
        <v>0.05</v>
      </c>
      <c r="X37" s="14">
        <v>0.06</v>
      </c>
      <c r="Y37" s="14">
        <v>0.03</v>
      </c>
      <c r="Z37" s="14">
        <v>7.0000000000000007E-2</v>
      </c>
      <c r="AA37" s="14">
        <v>0.1</v>
      </c>
      <c r="AB37" s="14">
        <v>0.09</v>
      </c>
      <c r="AC37" s="14">
        <v>0.06</v>
      </c>
      <c r="AD37" s="14">
        <v>7.0000000000000007E-2</v>
      </c>
      <c r="AE37" s="14">
        <v>0.04</v>
      </c>
      <c r="AF37" s="14">
        <v>0.03</v>
      </c>
    </row>
    <row r="38" spans="1:32">
      <c r="A38" s="19"/>
      <c r="B38" s="11" t="s">
        <v>468</v>
      </c>
      <c r="C38" s="12">
        <v>361</v>
      </c>
      <c r="D38" s="12">
        <v>8</v>
      </c>
      <c r="E38" s="12">
        <v>12</v>
      </c>
      <c r="F38" s="12">
        <v>9</v>
      </c>
      <c r="G38" s="12">
        <v>8</v>
      </c>
      <c r="H38" s="12">
        <v>18</v>
      </c>
      <c r="I38" s="12">
        <v>21</v>
      </c>
      <c r="J38" s="12">
        <v>3</v>
      </c>
      <c r="K38" s="12">
        <v>6</v>
      </c>
      <c r="L38" s="12">
        <v>14</v>
      </c>
      <c r="M38" s="12">
        <v>2</v>
      </c>
      <c r="N38" s="12">
        <v>14</v>
      </c>
      <c r="O38" s="12">
        <v>10</v>
      </c>
      <c r="P38" s="12">
        <v>9</v>
      </c>
      <c r="Q38" s="12">
        <v>19</v>
      </c>
      <c r="R38" s="12">
        <v>2</v>
      </c>
      <c r="S38" s="12">
        <v>3</v>
      </c>
      <c r="T38" s="12">
        <v>10</v>
      </c>
      <c r="U38" s="12">
        <v>3</v>
      </c>
      <c r="V38" s="12">
        <v>25</v>
      </c>
      <c r="W38" s="12">
        <v>15</v>
      </c>
      <c r="X38" s="12">
        <v>14</v>
      </c>
      <c r="Y38" s="12">
        <v>19</v>
      </c>
      <c r="Z38" s="12">
        <v>22</v>
      </c>
      <c r="AA38" s="12">
        <v>12</v>
      </c>
      <c r="AB38" s="12">
        <v>15</v>
      </c>
      <c r="AC38" s="12">
        <v>6</v>
      </c>
      <c r="AD38" s="12">
        <v>13</v>
      </c>
      <c r="AE38" s="12">
        <v>2</v>
      </c>
      <c r="AF38" s="12">
        <v>7</v>
      </c>
    </row>
    <row r="39" spans="1:32">
      <c r="A39" s="19"/>
      <c r="B39" s="13" t="s">
        <v>469</v>
      </c>
      <c r="C39" s="14">
        <v>0.01</v>
      </c>
      <c r="D39" s="14">
        <v>0.01</v>
      </c>
      <c r="E39" s="14">
        <v>0.01</v>
      </c>
      <c r="F39" s="14">
        <v>0.01</v>
      </c>
      <c r="G39" s="14">
        <v>0.01</v>
      </c>
      <c r="H39" s="14">
        <v>0.01</v>
      </c>
      <c r="I39" s="14">
        <v>0.01</v>
      </c>
      <c r="J39" s="14">
        <v>0.01</v>
      </c>
      <c r="K39" s="14">
        <v>0.01</v>
      </c>
      <c r="L39" s="14">
        <v>0.01</v>
      </c>
      <c r="M39" s="15" t="s">
        <v>375</v>
      </c>
      <c r="N39" s="14">
        <v>0.01</v>
      </c>
      <c r="O39" s="14">
        <v>0.01</v>
      </c>
      <c r="P39" s="14">
        <v>0.01</v>
      </c>
      <c r="Q39" s="14">
        <v>0.02</v>
      </c>
      <c r="R39" s="15" t="s">
        <v>375</v>
      </c>
      <c r="S39" s="15" t="s">
        <v>375</v>
      </c>
      <c r="T39" s="14">
        <v>0.01</v>
      </c>
      <c r="U39" s="14">
        <v>0.01</v>
      </c>
      <c r="V39" s="14">
        <v>0.02</v>
      </c>
      <c r="W39" s="14">
        <v>0.03</v>
      </c>
      <c r="X39" s="14">
        <v>0.01</v>
      </c>
      <c r="Y39" s="14">
        <v>0.02</v>
      </c>
      <c r="Z39" s="14">
        <v>0.02</v>
      </c>
      <c r="AA39" s="14">
        <v>0.01</v>
      </c>
      <c r="AB39" s="14">
        <v>0.01</v>
      </c>
      <c r="AC39" s="14">
        <v>0.01</v>
      </c>
      <c r="AD39" s="14">
        <v>0.01</v>
      </c>
      <c r="AE39" s="15" t="s">
        <v>375</v>
      </c>
      <c r="AF39" s="14">
        <v>0.01</v>
      </c>
    </row>
    <row r="40" spans="1:32">
      <c r="A40" s="19"/>
      <c r="B40" s="11" t="s">
        <v>470</v>
      </c>
      <c r="C40" s="12">
        <v>7500</v>
      </c>
      <c r="D40" s="12">
        <v>240</v>
      </c>
      <c r="E40" s="12">
        <v>305</v>
      </c>
      <c r="F40" s="12">
        <v>347</v>
      </c>
      <c r="G40" s="12">
        <v>237</v>
      </c>
      <c r="H40" s="12">
        <v>406</v>
      </c>
      <c r="I40" s="12">
        <v>533</v>
      </c>
      <c r="J40" s="12">
        <v>126</v>
      </c>
      <c r="K40" s="12">
        <v>357</v>
      </c>
      <c r="L40" s="12">
        <v>220</v>
      </c>
      <c r="M40" s="12">
        <v>284</v>
      </c>
      <c r="N40" s="12">
        <v>209</v>
      </c>
      <c r="O40" s="12">
        <v>269</v>
      </c>
      <c r="P40" s="12">
        <v>328</v>
      </c>
      <c r="Q40" s="12">
        <v>314</v>
      </c>
      <c r="R40" s="12">
        <v>113</v>
      </c>
      <c r="S40" s="12">
        <v>385</v>
      </c>
      <c r="T40" s="12">
        <v>432</v>
      </c>
      <c r="U40" s="12">
        <v>158</v>
      </c>
      <c r="V40" s="12">
        <v>317</v>
      </c>
      <c r="W40" s="12">
        <v>113</v>
      </c>
      <c r="X40" s="12">
        <v>225</v>
      </c>
      <c r="Y40" s="12">
        <v>302</v>
      </c>
      <c r="Z40" s="12">
        <v>325</v>
      </c>
      <c r="AA40" s="12">
        <v>307</v>
      </c>
      <c r="AB40" s="12">
        <v>183</v>
      </c>
      <c r="AC40" s="12">
        <v>370</v>
      </c>
      <c r="AD40" s="12">
        <v>313</v>
      </c>
      <c r="AE40" s="12">
        <v>300</v>
      </c>
      <c r="AF40" s="12">
        <v>171</v>
      </c>
    </row>
    <row r="41" spans="1:32">
      <c r="A41" s="19"/>
      <c r="B41" s="13" t="s">
        <v>471</v>
      </c>
      <c r="C41" s="14">
        <v>0.28000000000000003</v>
      </c>
      <c r="D41" s="14">
        <v>0.24</v>
      </c>
      <c r="E41" s="14">
        <v>0.28999999999999998</v>
      </c>
      <c r="F41" s="14">
        <v>0.33</v>
      </c>
      <c r="G41" s="14">
        <v>0.23</v>
      </c>
      <c r="H41" s="14">
        <v>0.33</v>
      </c>
      <c r="I41" s="14">
        <v>0.35</v>
      </c>
      <c r="J41" s="14">
        <v>0.42</v>
      </c>
      <c r="K41" s="14">
        <v>0.35</v>
      </c>
      <c r="L41" s="14">
        <v>0.22</v>
      </c>
      <c r="M41" s="14">
        <v>0.28000000000000003</v>
      </c>
      <c r="N41" s="14">
        <v>0.21</v>
      </c>
      <c r="O41" s="14">
        <v>0.27</v>
      </c>
      <c r="P41" s="14">
        <v>0.33</v>
      </c>
      <c r="Q41" s="14">
        <v>0.3</v>
      </c>
      <c r="R41" s="14">
        <v>0.23</v>
      </c>
      <c r="S41" s="14">
        <v>0.38</v>
      </c>
      <c r="T41" s="14">
        <v>0.42</v>
      </c>
      <c r="U41" s="14">
        <v>0.31</v>
      </c>
      <c r="V41" s="14">
        <v>0.31</v>
      </c>
      <c r="W41" s="14">
        <v>0.22</v>
      </c>
      <c r="X41" s="14">
        <v>0.22</v>
      </c>
      <c r="Y41" s="14">
        <v>0.3</v>
      </c>
      <c r="Z41" s="14">
        <v>0.32</v>
      </c>
      <c r="AA41" s="14">
        <v>0.3</v>
      </c>
      <c r="AB41" s="14">
        <v>0.18</v>
      </c>
      <c r="AC41" s="14">
        <v>0.37</v>
      </c>
      <c r="AD41" s="14">
        <v>0.31</v>
      </c>
      <c r="AE41" s="14">
        <v>0.3</v>
      </c>
      <c r="AF41" s="14">
        <v>0.17</v>
      </c>
    </row>
    <row r="42" spans="1:32">
      <c r="A42" s="19"/>
      <c r="B42" s="11" t="s">
        <v>436</v>
      </c>
      <c r="C42" s="12">
        <v>62</v>
      </c>
      <c r="D42" s="12">
        <v>1</v>
      </c>
      <c r="E42" s="12">
        <v>5</v>
      </c>
      <c r="F42" s="12">
        <v>4</v>
      </c>
      <c r="G42" s="12">
        <v>3</v>
      </c>
      <c r="H42" s="12">
        <v>2</v>
      </c>
      <c r="I42" s="12">
        <v>2</v>
      </c>
      <c r="J42" s="12">
        <v>0</v>
      </c>
      <c r="K42" s="12">
        <v>17</v>
      </c>
      <c r="L42" s="12">
        <v>5</v>
      </c>
      <c r="M42" s="12">
        <v>2</v>
      </c>
      <c r="N42" s="12">
        <v>4</v>
      </c>
      <c r="O42" s="12">
        <v>4</v>
      </c>
      <c r="P42" s="12">
        <v>1</v>
      </c>
      <c r="Q42" s="12">
        <v>1</v>
      </c>
      <c r="R42" s="12">
        <v>0</v>
      </c>
      <c r="S42" s="12">
        <v>4</v>
      </c>
      <c r="T42" s="12">
        <v>3</v>
      </c>
      <c r="U42" s="12">
        <v>0</v>
      </c>
      <c r="V42" s="12">
        <v>0</v>
      </c>
      <c r="W42" s="12">
        <v>1</v>
      </c>
      <c r="X42" s="12">
        <v>1</v>
      </c>
      <c r="Y42" s="12">
        <v>23</v>
      </c>
      <c r="Z42" s="12">
        <v>0</v>
      </c>
      <c r="AA42" s="12">
        <v>0</v>
      </c>
      <c r="AB42" s="12">
        <v>2</v>
      </c>
      <c r="AC42" s="12">
        <v>1</v>
      </c>
      <c r="AD42" s="12">
        <v>0</v>
      </c>
      <c r="AE42" s="12">
        <v>2</v>
      </c>
      <c r="AF42" s="12">
        <v>2</v>
      </c>
    </row>
    <row r="43" spans="1:32">
      <c r="A43" s="19"/>
      <c r="B43" s="13" t="s">
        <v>437</v>
      </c>
      <c r="C43" s="15" t="s">
        <v>375</v>
      </c>
      <c r="D43" s="15" t="s">
        <v>375</v>
      </c>
      <c r="E43" s="15" t="s">
        <v>375</v>
      </c>
      <c r="F43" s="15" t="s">
        <v>375</v>
      </c>
      <c r="G43" s="15" t="s">
        <v>375</v>
      </c>
      <c r="H43" s="15" t="s">
        <v>375</v>
      </c>
      <c r="I43" s="15" t="s">
        <v>375</v>
      </c>
      <c r="J43" s="15" t="s">
        <v>375</v>
      </c>
      <c r="K43" s="14">
        <v>0.02</v>
      </c>
      <c r="L43" s="15" t="s">
        <v>375</v>
      </c>
      <c r="M43" s="15" t="s">
        <v>375</v>
      </c>
      <c r="N43" s="15" t="s">
        <v>375</v>
      </c>
      <c r="O43" s="15" t="s">
        <v>375</v>
      </c>
      <c r="P43" s="15" t="s">
        <v>375</v>
      </c>
      <c r="Q43" s="15" t="s">
        <v>375</v>
      </c>
      <c r="R43" s="15" t="s">
        <v>375</v>
      </c>
      <c r="S43" s="15" t="s">
        <v>375</v>
      </c>
      <c r="T43" s="15" t="s">
        <v>375</v>
      </c>
      <c r="U43" s="15" t="s">
        <v>375</v>
      </c>
      <c r="V43" s="15" t="s">
        <v>375</v>
      </c>
      <c r="W43" s="15" t="s">
        <v>375</v>
      </c>
      <c r="X43" s="15" t="s">
        <v>375</v>
      </c>
      <c r="Y43" s="14">
        <v>0.02</v>
      </c>
      <c r="Z43" s="15" t="s">
        <v>375</v>
      </c>
      <c r="AA43" s="15" t="s">
        <v>375</v>
      </c>
      <c r="AB43" s="15" t="s">
        <v>375</v>
      </c>
      <c r="AC43" s="15" t="s">
        <v>375</v>
      </c>
      <c r="AD43" s="15" t="s">
        <v>375</v>
      </c>
      <c r="AE43" s="15" t="s">
        <v>375</v>
      </c>
      <c r="AF43" s="15" t="s">
        <v>375</v>
      </c>
    </row>
    <row r="44" spans="1:32">
      <c r="A44" s="19"/>
      <c r="B44" s="11" t="s">
        <v>438</v>
      </c>
      <c r="C44" s="12">
        <v>112</v>
      </c>
      <c r="D44" s="12">
        <v>6</v>
      </c>
      <c r="E44" s="12">
        <v>6</v>
      </c>
      <c r="F44" s="12">
        <v>13</v>
      </c>
      <c r="G44" s="12">
        <v>1</v>
      </c>
      <c r="H44" s="12">
        <v>7</v>
      </c>
      <c r="I44" s="12">
        <v>7</v>
      </c>
      <c r="J44" s="12">
        <v>0</v>
      </c>
      <c r="K44" s="12">
        <v>6</v>
      </c>
      <c r="L44" s="12">
        <v>1</v>
      </c>
      <c r="M44" s="12">
        <v>0</v>
      </c>
      <c r="N44" s="12">
        <v>3</v>
      </c>
      <c r="O44" s="12">
        <v>8</v>
      </c>
      <c r="P44" s="12">
        <v>0</v>
      </c>
      <c r="Q44" s="12">
        <v>3</v>
      </c>
      <c r="R44" s="12">
        <v>1</v>
      </c>
      <c r="S44" s="12">
        <v>5</v>
      </c>
      <c r="T44" s="12">
        <v>10</v>
      </c>
      <c r="U44" s="12">
        <v>0</v>
      </c>
      <c r="V44" s="12">
        <v>0</v>
      </c>
      <c r="W44" s="12">
        <v>2</v>
      </c>
      <c r="X44" s="12">
        <v>10</v>
      </c>
      <c r="Y44" s="12">
        <v>4</v>
      </c>
      <c r="Z44" s="12">
        <v>3</v>
      </c>
      <c r="AA44" s="12">
        <v>0</v>
      </c>
      <c r="AB44" s="12">
        <v>1</v>
      </c>
      <c r="AC44" s="12">
        <v>2</v>
      </c>
      <c r="AD44" s="12">
        <v>1</v>
      </c>
      <c r="AE44" s="12">
        <v>2</v>
      </c>
      <c r="AF44" s="12">
        <v>3</v>
      </c>
    </row>
    <row r="45" spans="1:32">
      <c r="A45" s="19"/>
      <c r="B45" s="13" t="s">
        <v>439</v>
      </c>
      <c r="C45" s="15" t="s">
        <v>375</v>
      </c>
      <c r="D45" s="14">
        <v>0.01</v>
      </c>
      <c r="E45" s="14">
        <v>0.01</v>
      </c>
      <c r="F45" s="14">
        <v>0.01</v>
      </c>
      <c r="G45" s="15" t="s">
        <v>375</v>
      </c>
      <c r="H45" s="14">
        <v>0.01</v>
      </c>
      <c r="I45" s="14">
        <v>0.01</v>
      </c>
      <c r="J45" s="15" t="s">
        <v>375</v>
      </c>
      <c r="K45" s="14">
        <v>0.01</v>
      </c>
      <c r="L45" s="15" t="s">
        <v>375</v>
      </c>
      <c r="M45" s="15" t="s">
        <v>375</v>
      </c>
      <c r="N45" s="15" t="s">
        <v>375</v>
      </c>
      <c r="O45" s="14">
        <v>0.01</v>
      </c>
      <c r="P45" s="15" t="s">
        <v>375</v>
      </c>
      <c r="Q45" s="15" t="s">
        <v>375</v>
      </c>
      <c r="R45" s="15" t="s">
        <v>375</v>
      </c>
      <c r="S45" s="14">
        <v>0.01</v>
      </c>
      <c r="T45" s="14">
        <v>0.01</v>
      </c>
      <c r="U45" s="15" t="s">
        <v>375</v>
      </c>
      <c r="V45" s="15" t="s">
        <v>375</v>
      </c>
      <c r="W45" s="15" t="s">
        <v>375</v>
      </c>
      <c r="X45" s="14">
        <v>0.01</v>
      </c>
      <c r="Y45" s="15" t="s">
        <v>375</v>
      </c>
      <c r="Z45" s="15" t="s">
        <v>375</v>
      </c>
      <c r="AA45" s="15" t="s">
        <v>375</v>
      </c>
      <c r="AB45" s="15" t="s">
        <v>375</v>
      </c>
      <c r="AC45" s="15" t="s">
        <v>375</v>
      </c>
      <c r="AD45" s="15" t="s">
        <v>375</v>
      </c>
      <c r="AE45" s="15" t="s">
        <v>375</v>
      </c>
      <c r="AF45" s="15" t="s">
        <v>375</v>
      </c>
    </row>
    <row r="46" spans="1:32">
      <c r="A46" s="19"/>
      <c r="B46" s="11" t="s">
        <v>386</v>
      </c>
      <c r="C46" s="12">
        <v>137</v>
      </c>
      <c r="D46" s="12">
        <v>0</v>
      </c>
      <c r="E46" s="12">
        <v>12</v>
      </c>
      <c r="F46" s="12">
        <v>16</v>
      </c>
      <c r="G46" s="12">
        <v>6</v>
      </c>
      <c r="H46" s="12">
        <v>2</v>
      </c>
      <c r="I46" s="12">
        <v>2</v>
      </c>
      <c r="J46" s="12">
        <v>0</v>
      </c>
      <c r="K46" s="12">
        <v>9</v>
      </c>
      <c r="L46" s="12">
        <v>7</v>
      </c>
      <c r="M46" s="12">
        <v>0</v>
      </c>
      <c r="N46" s="12">
        <v>11</v>
      </c>
      <c r="O46" s="12">
        <v>8</v>
      </c>
      <c r="P46" s="12">
        <v>2</v>
      </c>
      <c r="Q46" s="12">
        <v>6</v>
      </c>
      <c r="R46" s="12">
        <v>2</v>
      </c>
      <c r="S46" s="12">
        <v>10</v>
      </c>
      <c r="T46" s="12">
        <v>14</v>
      </c>
      <c r="U46" s="12">
        <v>0</v>
      </c>
      <c r="V46" s="12">
        <v>3</v>
      </c>
      <c r="W46" s="12">
        <v>3</v>
      </c>
      <c r="X46" s="12">
        <v>1</v>
      </c>
      <c r="Y46" s="12">
        <v>3</v>
      </c>
      <c r="Z46" s="12">
        <v>2</v>
      </c>
      <c r="AA46" s="12">
        <v>7</v>
      </c>
      <c r="AB46" s="12">
        <v>8</v>
      </c>
      <c r="AC46" s="12">
        <v>3</v>
      </c>
      <c r="AD46" s="12">
        <v>0</v>
      </c>
      <c r="AE46" s="12">
        <v>3</v>
      </c>
      <c r="AF46" s="12">
        <v>0</v>
      </c>
    </row>
    <row r="47" spans="1:32">
      <c r="A47" s="19"/>
      <c r="B47" s="13" t="s">
        <v>399</v>
      </c>
      <c r="C47" s="14">
        <v>0.01</v>
      </c>
      <c r="D47" s="15" t="s">
        <v>375</v>
      </c>
      <c r="E47" s="14">
        <v>0.01</v>
      </c>
      <c r="F47" s="14">
        <v>0.01</v>
      </c>
      <c r="G47" s="14">
        <v>0.01</v>
      </c>
      <c r="H47" s="15" t="s">
        <v>375</v>
      </c>
      <c r="I47" s="15" t="s">
        <v>375</v>
      </c>
      <c r="J47" s="15" t="s">
        <v>375</v>
      </c>
      <c r="K47" s="14">
        <v>0.01</v>
      </c>
      <c r="L47" s="14">
        <v>0.01</v>
      </c>
      <c r="M47" s="15" t="s">
        <v>375</v>
      </c>
      <c r="N47" s="14">
        <v>0.01</v>
      </c>
      <c r="O47" s="14">
        <v>0.01</v>
      </c>
      <c r="P47" s="15" t="s">
        <v>375</v>
      </c>
      <c r="Q47" s="14">
        <v>0.01</v>
      </c>
      <c r="R47" s="15" t="s">
        <v>375</v>
      </c>
      <c r="S47" s="14">
        <v>0.01</v>
      </c>
      <c r="T47" s="14">
        <v>0.01</v>
      </c>
      <c r="U47" s="15" t="s">
        <v>375</v>
      </c>
      <c r="V47" s="15" t="s">
        <v>375</v>
      </c>
      <c r="W47" s="14">
        <v>0.01</v>
      </c>
      <c r="X47" s="15" t="s">
        <v>375</v>
      </c>
      <c r="Y47" s="15" t="s">
        <v>375</v>
      </c>
      <c r="Z47" s="15" t="s">
        <v>375</v>
      </c>
      <c r="AA47" s="14">
        <v>0.01</v>
      </c>
      <c r="AB47" s="14">
        <v>0.01</v>
      </c>
      <c r="AC47" s="15" t="s">
        <v>375</v>
      </c>
      <c r="AD47" s="15" t="s">
        <v>375</v>
      </c>
      <c r="AE47" s="15" t="s">
        <v>375</v>
      </c>
      <c r="AF47" s="15" t="s">
        <v>375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27</v>
      </c>
      <c r="C3" s="17"/>
      <c r="D3" s="17"/>
      <c r="E3" s="17"/>
      <c r="F3" s="17"/>
      <c r="H3" s="17" t="s">
        <v>28</v>
      </c>
      <c r="I3" s="17"/>
      <c r="J3" s="17"/>
      <c r="K3" s="17"/>
      <c r="L3" s="17"/>
    </row>
    <row r="4" spans="1:32" ht="27" customHeight="1">
      <c r="B4" s="17"/>
      <c r="C4" s="17"/>
      <c r="D4" s="17"/>
      <c r="E4" s="17"/>
      <c r="F4" s="17"/>
      <c r="H4" s="17"/>
      <c r="I4" s="17"/>
      <c r="J4" s="17"/>
      <c r="K4" s="17"/>
      <c r="L4" s="17"/>
    </row>
    <row r="5" spans="1:32" ht="24" customHeight="1">
      <c r="B5" s="17" t="s">
        <v>472</v>
      </c>
      <c r="C5" s="17"/>
      <c r="D5" s="17"/>
      <c r="E5" s="17"/>
      <c r="F5" s="17"/>
      <c r="H5" s="17" t="s">
        <v>473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26204</v>
      </c>
      <c r="D10" s="10">
        <v>1015</v>
      </c>
      <c r="E10" s="10">
        <v>1028</v>
      </c>
      <c r="F10" s="10">
        <v>1035</v>
      </c>
      <c r="G10" s="10">
        <v>1009</v>
      </c>
      <c r="H10" s="10">
        <v>1221</v>
      </c>
      <c r="I10" s="10">
        <v>1518</v>
      </c>
      <c r="J10" s="10">
        <v>297</v>
      </c>
      <c r="K10" s="10">
        <v>991</v>
      </c>
      <c r="L10" s="10">
        <v>998</v>
      </c>
      <c r="M10" s="10">
        <v>1007</v>
      </c>
      <c r="N10" s="10">
        <v>997</v>
      </c>
      <c r="O10" s="10">
        <v>988</v>
      </c>
      <c r="P10" s="10">
        <v>1001</v>
      </c>
      <c r="Q10" s="10">
        <v>1022</v>
      </c>
      <c r="R10" s="10">
        <v>498</v>
      </c>
      <c r="S10" s="10">
        <v>989</v>
      </c>
      <c r="T10" s="10">
        <v>998</v>
      </c>
      <c r="U10" s="10">
        <v>508</v>
      </c>
      <c r="V10" s="10">
        <v>1023</v>
      </c>
      <c r="W10" s="10">
        <v>497</v>
      </c>
      <c r="X10" s="10">
        <v>1000</v>
      </c>
      <c r="Y10" s="10">
        <v>997</v>
      </c>
      <c r="Z10" s="10">
        <v>1011</v>
      </c>
      <c r="AA10" s="10">
        <v>1030</v>
      </c>
      <c r="AB10" s="10">
        <v>1031</v>
      </c>
      <c r="AC10" s="10">
        <v>1000</v>
      </c>
      <c r="AD10" s="10">
        <v>1002</v>
      </c>
      <c r="AE10" s="10">
        <v>995</v>
      </c>
      <c r="AF10" s="10">
        <v>1028</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442</v>
      </c>
      <c r="C12" s="12">
        <v>2794</v>
      </c>
      <c r="D12" s="12">
        <v>139</v>
      </c>
      <c r="E12" s="12">
        <v>72</v>
      </c>
      <c r="F12" s="12">
        <v>75</v>
      </c>
      <c r="G12" s="12">
        <v>79</v>
      </c>
      <c r="H12" s="12">
        <v>88</v>
      </c>
      <c r="I12" s="12">
        <v>116</v>
      </c>
      <c r="J12" s="12">
        <v>27</v>
      </c>
      <c r="K12" s="12">
        <v>75</v>
      </c>
      <c r="L12" s="12">
        <v>96</v>
      </c>
      <c r="M12" s="12">
        <v>53</v>
      </c>
      <c r="N12" s="12">
        <v>143</v>
      </c>
      <c r="O12" s="12">
        <v>146</v>
      </c>
      <c r="P12" s="12">
        <v>89</v>
      </c>
      <c r="Q12" s="12">
        <v>116</v>
      </c>
      <c r="R12" s="12">
        <v>25</v>
      </c>
      <c r="S12" s="12">
        <v>54</v>
      </c>
      <c r="T12" s="12">
        <v>59</v>
      </c>
      <c r="U12" s="12">
        <v>50</v>
      </c>
      <c r="V12" s="12">
        <v>77</v>
      </c>
      <c r="W12" s="12">
        <v>53</v>
      </c>
      <c r="X12" s="12">
        <v>145</v>
      </c>
      <c r="Y12" s="12">
        <v>112</v>
      </c>
      <c r="Z12" s="12">
        <v>82</v>
      </c>
      <c r="AA12" s="12">
        <v>153</v>
      </c>
      <c r="AB12" s="12">
        <v>65</v>
      </c>
      <c r="AC12" s="12">
        <v>91</v>
      </c>
      <c r="AD12" s="12">
        <v>67</v>
      </c>
      <c r="AE12" s="12">
        <v>90</v>
      </c>
      <c r="AF12" s="12">
        <v>135</v>
      </c>
    </row>
    <row r="13" spans="1:32">
      <c r="A13" s="19"/>
      <c r="B13" s="13" t="s">
        <v>443</v>
      </c>
      <c r="C13" s="14">
        <v>0.11</v>
      </c>
      <c r="D13" s="14">
        <v>0.15</v>
      </c>
      <c r="E13" s="14">
        <v>7.0000000000000007E-2</v>
      </c>
      <c r="F13" s="14">
        <v>7.0000000000000007E-2</v>
      </c>
      <c r="G13" s="14">
        <v>0.08</v>
      </c>
      <c r="H13" s="14">
        <v>7.0000000000000007E-2</v>
      </c>
      <c r="I13" s="14">
        <v>0.08</v>
      </c>
      <c r="J13" s="14">
        <v>0.09</v>
      </c>
      <c r="K13" s="14">
        <v>0.08</v>
      </c>
      <c r="L13" s="14">
        <v>0.1</v>
      </c>
      <c r="M13" s="14">
        <v>0.05</v>
      </c>
      <c r="N13" s="14">
        <v>0.15</v>
      </c>
      <c r="O13" s="14">
        <v>0.16</v>
      </c>
      <c r="P13" s="14">
        <v>0.09</v>
      </c>
      <c r="Q13" s="14">
        <v>0.12</v>
      </c>
      <c r="R13" s="14">
        <v>0.05</v>
      </c>
      <c r="S13" s="14">
        <v>0.06</v>
      </c>
      <c r="T13" s="14">
        <v>0.06</v>
      </c>
      <c r="U13" s="14">
        <v>0.1</v>
      </c>
      <c r="V13" s="14">
        <v>0.08</v>
      </c>
      <c r="W13" s="14">
        <v>0.11</v>
      </c>
      <c r="X13" s="14">
        <v>0.15</v>
      </c>
      <c r="Y13" s="14">
        <v>0.12</v>
      </c>
      <c r="Z13" s="14">
        <v>0.08</v>
      </c>
      <c r="AA13" s="14">
        <v>0.16</v>
      </c>
      <c r="AB13" s="14">
        <v>7.0000000000000007E-2</v>
      </c>
      <c r="AC13" s="14">
        <v>0.09</v>
      </c>
      <c r="AD13" s="14">
        <v>7.0000000000000007E-2</v>
      </c>
      <c r="AE13" s="14">
        <v>0.09</v>
      </c>
      <c r="AF13" s="14">
        <v>0.14000000000000001</v>
      </c>
    </row>
    <row r="14" spans="1:32">
      <c r="A14" s="19"/>
      <c r="B14" s="11" t="s">
        <v>444</v>
      </c>
      <c r="C14" s="12">
        <v>2031</v>
      </c>
      <c r="D14" s="12">
        <v>79</v>
      </c>
      <c r="E14" s="12">
        <v>57</v>
      </c>
      <c r="F14" s="12">
        <v>35</v>
      </c>
      <c r="G14" s="12">
        <v>69</v>
      </c>
      <c r="H14" s="12">
        <v>77</v>
      </c>
      <c r="I14" s="12">
        <v>100</v>
      </c>
      <c r="J14" s="12">
        <v>23</v>
      </c>
      <c r="K14" s="12">
        <v>56</v>
      </c>
      <c r="L14" s="12">
        <v>76</v>
      </c>
      <c r="M14" s="12">
        <v>86</v>
      </c>
      <c r="N14" s="12">
        <v>72</v>
      </c>
      <c r="O14" s="12">
        <v>83</v>
      </c>
      <c r="P14" s="12">
        <v>77</v>
      </c>
      <c r="Q14" s="12">
        <v>90</v>
      </c>
      <c r="R14" s="12">
        <v>28</v>
      </c>
      <c r="S14" s="12">
        <v>54</v>
      </c>
      <c r="T14" s="12">
        <v>76</v>
      </c>
      <c r="U14" s="12">
        <v>44</v>
      </c>
      <c r="V14" s="12">
        <v>109</v>
      </c>
      <c r="W14" s="12">
        <v>48</v>
      </c>
      <c r="X14" s="12">
        <v>87</v>
      </c>
      <c r="Y14" s="12">
        <v>86</v>
      </c>
      <c r="Z14" s="12">
        <v>82</v>
      </c>
      <c r="AA14" s="12">
        <v>115</v>
      </c>
      <c r="AB14" s="12">
        <v>88</v>
      </c>
      <c r="AC14" s="12">
        <v>37</v>
      </c>
      <c r="AD14" s="12">
        <v>44</v>
      </c>
      <c r="AE14" s="12">
        <v>93</v>
      </c>
      <c r="AF14" s="12">
        <v>60</v>
      </c>
    </row>
    <row r="15" spans="1:32">
      <c r="A15" s="19"/>
      <c r="B15" s="13" t="s">
        <v>445</v>
      </c>
      <c r="C15" s="14">
        <v>0.08</v>
      </c>
      <c r="D15" s="14">
        <v>0.08</v>
      </c>
      <c r="E15" s="14">
        <v>0.06</v>
      </c>
      <c r="F15" s="14">
        <v>0.03</v>
      </c>
      <c r="G15" s="14">
        <v>7.0000000000000007E-2</v>
      </c>
      <c r="H15" s="14">
        <v>0.06</v>
      </c>
      <c r="I15" s="14">
        <v>7.0000000000000007E-2</v>
      </c>
      <c r="J15" s="14">
        <v>0.08</v>
      </c>
      <c r="K15" s="14">
        <v>0.06</v>
      </c>
      <c r="L15" s="14">
        <v>0.08</v>
      </c>
      <c r="M15" s="14">
        <v>0.09</v>
      </c>
      <c r="N15" s="14">
        <v>7.0000000000000007E-2</v>
      </c>
      <c r="O15" s="14">
        <v>0.09</v>
      </c>
      <c r="P15" s="14">
        <v>0.08</v>
      </c>
      <c r="Q15" s="14">
        <v>0.09</v>
      </c>
      <c r="R15" s="14">
        <v>0.06</v>
      </c>
      <c r="S15" s="14">
        <v>0.06</v>
      </c>
      <c r="T15" s="14">
        <v>0.08</v>
      </c>
      <c r="U15" s="14">
        <v>0.09</v>
      </c>
      <c r="V15" s="14">
        <v>0.11</v>
      </c>
      <c r="W15" s="14">
        <v>0.1</v>
      </c>
      <c r="X15" s="14">
        <v>0.09</v>
      </c>
      <c r="Y15" s="14">
        <v>0.09</v>
      </c>
      <c r="Z15" s="14">
        <v>0.08</v>
      </c>
      <c r="AA15" s="14">
        <v>0.12</v>
      </c>
      <c r="AB15" s="14">
        <v>0.09</v>
      </c>
      <c r="AC15" s="14">
        <v>0.04</v>
      </c>
      <c r="AD15" s="14">
        <v>0.04</v>
      </c>
      <c r="AE15" s="14">
        <v>0.1</v>
      </c>
      <c r="AF15" s="14">
        <v>0.06</v>
      </c>
    </row>
    <row r="16" spans="1:32">
      <c r="A16" s="19"/>
      <c r="B16" s="11" t="s">
        <v>446</v>
      </c>
      <c r="C16" s="12">
        <v>2717</v>
      </c>
      <c r="D16" s="12">
        <v>97</v>
      </c>
      <c r="E16" s="12">
        <v>117</v>
      </c>
      <c r="F16" s="12">
        <v>72</v>
      </c>
      <c r="G16" s="12">
        <v>115</v>
      </c>
      <c r="H16" s="12">
        <v>117</v>
      </c>
      <c r="I16" s="12">
        <v>154</v>
      </c>
      <c r="J16" s="12">
        <v>37</v>
      </c>
      <c r="K16" s="12">
        <v>106</v>
      </c>
      <c r="L16" s="12">
        <v>89</v>
      </c>
      <c r="M16" s="12">
        <v>64</v>
      </c>
      <c r="N16" s="12">
        <v>108</v>
      </c>
      <c r="O16" s="12">
        <v>113</v>
      </c>
      <c r="P16" s="12">
        <v>123</v>
      </c>
      <c r="Q16" s="12">
        <v>105</v>
      </c>
      <c r="R16" s="12">
        <v>18</v>
      </c>
      <c r="S16" s="12">
        <v>38</v>
      </c>
      <c r="T16" s="12">
        <v>92</v>
      </c>
      <c r="U16" s="12">
        <v>41</v>
      </c>
      <c r="V16" s="12">
        <v>112</v>
      </c>
      <c r="W16" s="12">
        <v>44</v>
      </c>
      <c r="X16" s="12">
        <v>147</v>
      </c>
      <c r="Y16" s="12">
        <v>105</v>
      </c>
      <c r="Z16" s="12">
        <v>105</v>
      </c>
      <c r="AA16" s="12">
        <v>75</v>
      </c>
      <c r="AB16" s="12">
        <v>85</v>
      </c>
      <c r="AC16" s="12">
        <v>170</v>
      </c>
      <c r="AD16" s="12">
        <v>138</v>
      </c>
      <c r="AE16" s="12">
        <v>92</v>
      </c>
      <c r="AF16" s="12">
        <v>102</v>
      </c>
    </row>
    <row r="17" spans="1:32">
      <c r="A17" s="19"/>
      <c r="B17" s="13" t="s">
        <v>447</v>
      </c>
      <c r="C17" s="14">
        <v>0.11</v>
      </c>
      <c r="D17" s="14">
        <v>0.1</v>
      </c>
      <c r="E17" s="14">
        <v>0.12</v>
      </c>
      <c r="F17" s="14">
        <v>7.0000000000000007E-2</v>
      </c>
      <c r="G17" s="14">
        <v>0.12</v>
      </c>
      <c r="H17" s="14">
        <v>0.1</v>
      </c>
      <c r="I17" s="14">
        <v>0.11</v>
      </c>
      <c r="J17" s="14">
        <v>0.13</v>
      </c>
      <c r="K17" s="14">
        <v>0.11</v>
      </c>
      <c r="L17" s="14">
        <v>0.09</v>
      </c>
      <c r="M17" s="14">
        <v>0.06</v>
      </c>
      <c r="N17" s="14">
        <v>0.11</v>
      </c>
      <c r="O17" s="14">
        <v>0.12</v>
      </c>
      <c r="P17" s="14">
        <v>0.13</v>
      </c>
      <c r="Q17" s="14">
        <v>0.11</v>
      </c>
      <c r="R17" s="14">
        <v>0.04</v>
      </c>
      <c r="S17" s="14">
        <v>0.04</v>
      </c>
      <c r="T17" s="14">
        <v>0.09</v>
      </c>
      <c r="U17" s="14">
        <v>0.09</v>
      </c>
      <c r="V17" s="14">
        <v>0.11</v>
      </c>
      <c r="W17" s="14">
        <v>0.09</v>
      </c>
      <c r="X17" s="14">
        <v>0.15</v>
      </c>
      <c r="Y17" s="14">
        <v>0.11</v>
      </c>
      <c r="Z17" s="14">
        <v>0.11</v>
      </c>
      <c r="AA17" s="14">
        <v>0.08</v>
      </c>
      <c r="AB17" s="14">
        <v>0.08</v>
      </c>
      <c r="AC17" s="14">
        <v>0.18</v>
      </c>
      <c r="AD17" s="14">
        <v>0.14000000000000001</v>
      </c>
      <c r="AE17" s="14">
        <v>0.09</v>
      </c>
      <c r="AF17" s="14">
        <v>0.1</v>
      </c>
    </row>
    <row r="18" spans="1:32">
      <c r="A18" s="19"/>
      <c r="B18" s="11" t="s">
        <v>448</v>
      </c>
      <c r="C18" s="12">
        <v>3036</v>
      </c>
      <c r="D18" s="12">
        <v>107</v>
      </c>
      <c r="E18" s="12">
        <v>145</v>
      </c>
      <c r="F18" s="12">
        <v>144</v>
      </c>
      <c r="G18" s="12">
        <v>99</v>
      </c>
      <c r="H18" s="12">
        <v>123</v>
      </c>
      <c r="I18" s="12">
        <v>152</v>
      </c>
      <c r="J18" s="12">
        <v>29</v>
      </c>
      <c r="K18" s="12">
        <v>83</v>
      </c>
      <c r="L18" s="12">
        <v>92</v>
      </c>
      <c r="M18" s="12">
        <v>126</v>
      </c>
      <c r="N18" s="12">
        <v>106</v>
      </c>
      <c r="O18" s="12">
        <v>100</v>
      </c>
      <c r="P18" s="12">
        <v>138</v>
      </c>
      <c r="Q18" s="12">
        <v>138</v>
      </c>
      <c r="R18" s="12">
        <v>60</v>
      </c>
      <c r="S18" s="12">
        <v>60</v>
      </c>
      <c r="T18" s="12">
        <v>115</v>
      </c>
      <c r="U18" s="12">
        <v>60</v>
      </c>
      <c r="V18" s="12">
        <v>110</v>
      </c>
      <c r="W18" s="12">
        <v>41</v>
      </c>
      <c r="X18" s="12">
        <v>124</v>
      </c>
      <c r="Y18" s="12">
        <v>92</v>
      </c>
      <c r="Z18" s="12">
        <v>136</v>
      </c>
      <c r="AA18" s="12">
        <v>169</v>
      </c>
      <c r="AB18" s="12">
        <v>140</v>
      </c>
      <c r="AC18" s="12">
        <v>135</v>
      </c>
      <c r="AD18" s="12">
        <v>176</v>
      </c>
      <c r="AE18" s="12">
        <v>109</v>
      </c>
      <c r="AF18" s="12">
        <v>94</v>
      </c>
    </row>
    <row r="19" spans="1:32">
      <c r="A19" s="19"/>
      <c r="B19" s="13" t="s">
        <v>449</v>
      </c>
      <c r="C19" s="14">
        <v>0.12</v>
      </c>
      <c r="D19" s="14">
        <v>0.11</v>
      </c>
      <c r="E19" s="14">
        <v>0.15</v>
      </c>
      <c r="F19" s="14">
        <v>0.15</v>
      </c>
      <c r="G19" s="14">
        <v>0.1</v>
      </c>
      <c r="H19" s="14">
        <v>0.11</v>
      </c>
      <c r="I19" s="14">
        <v>0.11</v>
      </c>
      <c r="J19" s="14">
        <v>0.1</v>
      </c>
      <c r="K19" s="14">
        <v>0.09</v>
      </c>
      <c r="L19" s="14">
        <v>0.1</v>
      </c>
      <c r="M19" s="14">
        <v>0.14000000000000001</v>
      </c>
      <c r="N19" s="14">
        <v>0.11</v>
      </c>
      <c r="O19" s="14">
        <v>0.11</v>
      </c>
      <c r="P19" s="14">
        <v>0.15</v>
      </c>
      <c r="Q19" s="14">
        <v>0.14000000000000001</v>
      </c>
      <c r="R19" s="14">
        <v>0.13</v>
      </c>
      <c r="S19" s="14">
        <v>0.06</v>
      </c>
      <c r="T19" s="14">
        <v>0.12</v>
      </c>
      <c r="U19" s="14">
        <v>0.12</v>
      </c>
      <c r="V19" s="14">
        <v>0.11</v>
      </c>
      <c r="W19" s="14">
        <v>0.09</v>
      </c>
      <c r="X19" s="14">
        <v>0.13</v>
      </c>
      <c r="Y19" s="14">
        <v>0.1</v>
      </c>
      <c r="Z19" s="14">
        <v>0.14000000000000001</v>
      </c>
      <c r="AA19" s="14">
        <v>0.18</v>
      </c>
      <c r="AB19" s="14">
        <v>0.15</v>
      </c>
      <c r="AC19" s="14">
        <v>0.14000000000000001</v>
      </c>
      <c r="AD19" s="14">
        <v>0.19</v>
      </c>
      <c r="AE19" s="14">
        <v>0.11</v>
      </c>
      <c r="AF19" s="14">
        <v>0.1</v>
      </c>
    </row>
    <row r="20" spans="1:32">
      <c r="A20" s="19"/>
      <c r="B20" s="11" t="s">
        <v>450</v>
      </c>
      <c r="C20" s="12">
        <v>1802</v>
      </c>
      <c r="D20" s="12">
        <v>63</v>
      </c>
      <c r="E20" s="12">
        <v>86</v>
      </c>
      <c r="F20" s="12">
        <v>65</v>
      </c>
      <c r="G20" s="12">
        <v>68</v>
      </c>
      <c r="H20" s="12">
        <v>64</v>
      </c>
      <c r="I20" s="12">
        <v>81</v>
      </c>
      <c r="J20" s="12">
        <v>17</v>
      </c>
      <c r="K20" s="12">
        <v>31</v>
      </c>
      <c r="L20" s="12">
        <v>75</v>
      </c>
      <c r="M20" s="12">
        <v>88</v>
      </c>
      <c r="N20" s="12">
        <v>70</v>
      </c>
      <c r="O20" s="12">
        <v>48</v>
      </c>
      <c r="P20" s="12">
        <v>104</v>
      </c>
      <c r="Q20" s="12">
        <v>92</v>
      </c>
      <c r="R20" s="12">
        <v>40</v>
      </c>
      <c r="S20" s="12">
        <v>36</v>
      </c>
      <c r="T20" s="12">
        <v>46</v>
      </c>
      <c r="U20" s="12">
        <v>39</v>
      </c>
      <c r="V20" s="12">
        <v>83</v>
      </c>
      <c r="W20" s="12">
        <v>33</v>
      </c>
      <c r="X20" s="12">
        <v>56</v>
      </c>
      <c r="Y20" s="12">
        <v>55</v>
      </c>
      <c r="Z20" s="12">
        <v>97</v>
      </c>
      <c r="AA20" s="12">
        <v>102</v>
      </c>
      <c r="AB20" s="12">
        <v>81</v>
      </c>
      <c r="AC20" s="12">
        <v>70</v>
      </c>
      <c r="AD20" s="12">
        <v>46</v>
      </c>
      <c r="AE20" s="12">
        <v>39</v>
      </c>
      <c r="AF20" s="12">
        <v>78</v>
      </c>
    </row>
    <row r="21" spans="1:32">
      <c r="A21" s="19"/>
      <c r="B21" s="13" t="s">
        <v>451</v>
      </c>
      <c r="C21" s="14">
        <v>7.0000000000000007E-2</v>
      </c>
      <c r="D21" s="14">
        <v>0.06</v>
      </c>
      <c r="E21" s="14">
        <v>0.09</v>
      </c>
      <c r="F21" s="14">
        <v>0.06</v>
      </c>
      <c r="G21" s="14">
        <v>7.0000000000000007E-2</v>
      </c>
      <c r="H21" s="14">
        <v>0.05</v>
      </c>
      <c r="I21" s="14">
        <v>0.05</v>
      </c>
      <c r="J21" s="14">
        <v>0.06</v>
      </c>
      <c r="K21" s="14">
        <v>0.03</v>
      </c>
      <c r="L21" s="14">
        <v>0.08</v>
      </c>
      <c r="M21" s="14">
        <v>0.09</v>
      </c>
      <c r="N21" s="14">
        <v>7.0000000000000007E-2</v>
      </c>
      <c r="O21" s="14">
        <v>0.05</v>
      </c>
      <c r="P21" s="14">
        <v>0.11</v>
      </c>
      <c r="Q21" s="14">
        <v>0.09</v>
      </c>
      <c r="R21" s="14">
        <v>0.08</v>
      </c>
      <c r="S21" s="14">
        <v>0.04</v>
      </c>
      <c r="T21" s="14">
        <v>0.05</v>
      </c>
      <c r="U21" s="14">
        <v>0.08</v>
      </c>
      <c r="V21" s="14">
        <v>0.08</v>
      </c>
      <c r="W21" s="14">
        <v>7.0000000000000007E-2</v>
      </c>
      <c r="X21" s="14">
        <v>0.06</v>
      </c>
      <c r="Y21" s="14">
        <v>0.06</v>
      </c>
      <c r="Z21" s="14">
        <v>0.1</v>
      </c>
      <c r="AA21" s="14">
        <v>0.1</v>
      </c>
      <c r="AB21" s="14">
        <v>0.08</v>
      </c>
      <c r="AC21" s="14">
        <v>7.0000000000000007E-2</v>
      </c>
      <c r="AD21" s="14">
        <v>0.05</v>
      </c>
      <c r="AE21" s="14">
        <v>0.04</v>
      </c>
      <c r="AF21" s="14">
        <v>0.08</v>
      </c>
    </row>
    <row r="22" spans="1:32">
      <c r="A22" s="19"/>
      <c r="B22" s="11" t="s">
        <v>452</v>
      </c>
      <c r="C22" s="12">
        <v>3823</v>
      </c>
      <c r="D22" s="12">
        <v>132</v>
      </c>
      <c r="E22" s="12">
        <v>132</v>
      </c>
      <c r="F22" s="12">
        <v>138</v>
      </c>
      <c r="G22" s="12">
        <v>188</v>
      </c>
      <c r="H22" s="12">
        <v>152</v>
      </c>
      <c r="I22" s="12">
        <v>195</v>
      </c>
      <c r="J22" s="12">
        <v>43</v>
      </c>
      <c r="K22" s="12">
        <v>133</v>
      </c>
      <c r="L22" s="12">
        <v>163</v>
      </c>
      <c r="M22" s="12">
        <v>161</v>
      </c>
      <c r="N22" s="12">
        <v>135</v>
      </c>
      <c r="O22" s="12">
        <v>139</v>
      </c>
      <c r="P22" s="12">
        <v>129</v>
      </c>
      <c r="Q22" s="12">
        <v>146</v>
      </c>
      <c r="R22" s="12">
        <v>89</v>
      </c>
      <c r="S22" s="12">
        <v>159</v>
      </c>
      <c r="T22" s="12">
        <v>156</v>
      </c>
      <c r="U22" s="12">
        <v>91</v>
      </c>
      <c r="V22" s="12">
        <v>181</v>
      </c>
      <c r="W22" s="12">
        <v>74</v>
      </c>
      <c r="X22" s="12">
        <v>190</v>
      </c>
      <c r="Y22" s="12">
        <v>164</v>
      </c>
      <c r="Z22" s="12">
        <v>131</v>
      </c>
      <c r="AA22" s="12">
        <v>233</v>
      </c>
      <c r="AB22" s="12">
        <v>144</v>
      </c>
      <c r="AC22" s="12">
        <v>175</v>
      </c>
      <c r="AD22" s="12">
        <v>176</v>
      </c>
      <c r="AE22" s="12">
        <v>158</v>
      </c>
      <c r="AF22" s="12">
        <v>220</v>
      </c>
    </row>
    <row r="23" spans="1:32">
      <c r="A23" s="19"/>
      <c r="B23" s="13" t="s">
        <v>453</v>
      </c>
      <c r="C23" s="14">
        <v>0.16</v>
      </c>
      <c r="D23" s="14">
        <v>0.14000000000000001</v>
      </c>
      <c r="E23" s="14">
        <v>0.14000000000000001</v>
      </c>
      <c r="F23" s="14">
        <v>0.14000000000000001</v>
      </c>
      <c r="G23" s="14">
        <v>0.21</v>
      </c>
      <c r="H23" s="14">
        <v>0.13</v>
      </c>
      <c r="I23" s="14">
        <v>0.14000000000000001</v>
      </c>
      <c r="J23" s="14">
        <v>0.16</v>
      </c>
      <c r="K23" s="14">
        <v>0.14000000000000001</v>
      </c>
      <c r="L23" s="14">
        <v>0.18</v>
      </c>
      <c r="M23" s="14">
        <v>0.18</v>
      </c>
      <c r="N23" s="14">
        <v>0.15</v>
      </c>
      <c r="O23" s="14">
        <v>0.15</v>
      </c>
      <c r="P23" s="14">
        <v>0.14000000000000001</v>
      </c>
      <c r="Q23" s="14">
        <v>0.15</v>
      </c>
      <c r="R23" s="14">
        <v>0.2</v>
      </c>
      <c r="S23" s="14">
        <v>0.18</v>
      </c>
      <c r="T23" s="14">
        <v>0.17</v>
      </c>
      <c r="U23" s="14">
        <v>0.19</v>
      </c>
      <c r="V23" s="14">
        <v>0.19</v>
      </c>
      <c r="W23" s="14">
        <v>0.16</v>
      </c>
      <c r="X23" s="14">
        <v>0.21</v>
      </c>
      <c r="Y23" s="14">
        <v>0.18</v>
      </c>
      <c r="Z23" s="14">
        <v>0.14000000000000001</v>
      </c>
      <c r="AA23" s="14">
        <v>0.24</v>
      </c>
      <c r="AB23" s="14">
        <v>0.15</v>
      </c>
      <c r="AC23" s="14">
        <v>0.19</v>
      </c>
      <c r="AD23" s="14">
        <v>0.19</v>
      </c>
      <c r="AE23" s="14">
        <v>0.17</v>
      </c>
      <c r="AF23" s="14">
        <v>0.25</v>
      </c>
    </row>
    <row r="24" spans="1:32">
      <c r="A24" s="19"/>
      <c r="B24" s="11" t="s">
        <v>454</v>
      </c>
      <c r="C24" s="12">
        <v>1267</v>
      </c>
      <c r="D24" s="12">
        <v>53</v>
      </c>
      <c r="E24" s="12">
        <v>59</v>
      </c>
      <c r="F24" s="12">
        <v>31</v>
      </c>
      <c r="G24" s="12">
        <v>58</v>
      </c>
      <c r="H24" s="12">
        <v>25</v>
      </c>
      <c r="I24" s="12">
        <v>32</v>
      </c>
      <c r="J24" s="12">
        <v>7</v>
      </c>
      <c r="K24" s="12">
        <v>75</v>
      </c>
      <c r="L24" s="12">
        <v>75</v>
      </c>
      <c r="M24" s="12">
        <v>35</v>
      </c>
      <c r="N24" s="12">
        <v>37</v>
      </c>
      <c r="O24" s="12">
        <v>53</v>
      </c>
      <c r="P24" s="12">
        <v>60</v>
      </c>
      <c r="Q24" s="12">
        <v>76</v>
      </c>
      <c r="R24" s="12">
        <v>26</v>
      </c>
      <c r="S24" s="12">
        <v>28</v>
      </c>
      <c r="T24" s="12">
        <v>26</v>
      </c>
      <c r="U24" s="12">
        <v>22</v>
      </c>
      <c r="V24" s="12">
        <v>50</v>
      </c>
      <c r="W24" s="12">
        <v>35</v>
      </c>
      <c r="X24" s="12">
        <v>32</v>
      </c>
      <c r="Y24" s="12">
        <v>44</v>
      </c>
      <c r="Z24" s="12">
        <v>66</v>
      </c>
      <c r="AA24" s="12">
        <v>27</v>
      </c>
      <c r="AB24" s="12">
        <v>119</v>
      </c>
      <c r="AC24" s="12">
        <v>41</v>
      </c>
      <c r="AD24" s="12">
        <v>42</v>
      </c>
      <c r="AE24" s="12">
        <v>45</v>
      </c>
      <c r="AF24" s="12">
        <v>26</v>
      </c>
    </row>
    <row r="25" spans="1:32">
      <c r="A25" s="19"/>
      <c r="B25" s="13" t="s">
        <v>455</v>
      </c>
      <c r="C25" s="14">
        <v>0.05</v>
      </c>
      <c r="D25" s="14">
        <v>0.05</v>
      </c>
      <c r="E25" s="14">
        <v>0.06</v>
      </c>
      <c r="F25" s="14">
        <v>0.03</v>
      </c>
      <c r="G25" s="14">
        <v>0.06</v>
      </c>
      <c r="H25" s="14">
        <v>0.02</v>
      </c>
      <c r="I25" s="14">
        <v>0.02</v>
      </c>
      <c r="J25" s="14">
        <v>0.02</v>
      </c>
      <c r="K25" s="14">
        <v>0.08</v>
      </c>
      <c r="L25" s="14">
        <v>0.08</v>
      </c>
      <c r="M25" s="14">
        <v>0.04</v>
      </c>
      <c r="N25" s="14">
        <v>0.04</v>
      </c>
      <c r="O25" s="14">
        <v>0.05</v>
      </c>
      <c r="P25" s="14">
        <v>0.06</v>
      </c>
      <c r="Q25" s="14">
        <v>0.08</v>
      </c>
      <c r="R25" s="14">
        <v>0.06</v>
      </c>
      <c r="S25" s="14">
        <v>0.03</v>
      </c>
      <c r="T25" s="14">
        <v>0.03</v>
      </c>
      <c r="U25" s="14">
        <v>0.04</v>
      </c>
      <c r="V25" s="14">
        <v>0.05</v>
      </c>
      <c r="W25" s="14">
        <v>7.0000000000000007E-2</v>
      </c>
      <c r="X25" s="14">
        <v>0.03</v>
      </c>
      <c r="Y25" s="14">
        <v>0.04</v>
      </c>
      <c r="Z25" s="14">
        <v>7.0000000000000007E-2</v>
      </c>
      <c r="AA25" s="14">
        <v>0.03</v>
      </c>
      <c r="AB25" s="14">
        <v>0.12</v>
      </c>
      <c r="AC25" s="14">
        <v>0.04</v>
      </c>
      <c r="AD25" s="14">
        <v>0.04</v>
      </c>
      <c r="AE25" s="14">
        <v>0.05</v>
      </c>
      <c r="AF25" s="14">
        <v>0.03</v>
      </c>
    </row>
    <row r="26" spans="1:32">
      <c r="A26" s="19"/>
      <c r="B26" s="11" t="s">
        <v>456</v>
      </c>
      <c r="C26" s="12">
        <v>2672</v>
      </c>
      <c r="D26" s="12">
        <v>103</v>
      </c>
      <c r="E26" s="12">
        <v>229</v>
      </c>
      <c r="F26" s="12">
        <v>184</v>
      </c>
      <c r="G26" s="12">
        <v>84</v>
      </c>
      <c r="H26" s="12">
        <v>98</v>
      </c>
      <c r="I26" s="12">
        <v>114</v>
      </c>
      <c r="J26" s="12">
        <v>16</v>
      </c>
      <c r="K26" s="12">
        <v>217</v>
      </c>
      <c r="L26" s="12">
        <v>130</v>
      </c>
      <c r="M26" s="12">
        <v>118</v>
      </c>
      <c r="N26" s="12">
        <v>70</v>
      </c>
      <c r="O26" s="12">
        <v>78</v>
      </c>
      <c r="P26" s="12">
        <v>144</v>
      </c>
      <c r="Q26" s="12">
        <v>149</v>
      </c>
      <c r="R26" s="12">
        <v>37</v>
      </c>
      <c r="S26" s="12">
        <v>97</v>
      </c>
      <c r="T26" s="12">
        <v>156</v>
      </c>
      <c r="U26" s="12">
        <v>77</v>
      </c>
      <c r="V26" s="12">
        <v>164</v>
      </c>
      <c r="W26" s="12">
        <v>55</v>
      </c>
      <c r="X26" s="12">
        <v>47</v>
      </c>
      <c r="Y26" s="12">
        <v>88</v>
      </c>
      <c r="Z26" s="12">
        <v>120</v>
      </c>
      <c r="AA26" s="12">
        <v>48</v>
      </c>
      <c r="AB26" s="12">
        <v>151</v>
      </c>
      <c r="AC26" s="12">
        <v>107</v>
      </c>
      <c r="AD26" s="12">
        <v>146</v>
      </c>
      <c r="AE26" s="12">
        <v>118</v>
      </c>
      <c r="AF26" s="12">
        <v>89</v>
      </c>
    </row>
    <row r="27" spans="1:32">
      <c r="A27" s="19"/>
      <c r="B27" s="13" t="s">
        <v>457</v>
      </c>
      <c r="C27" s="14">
        <v>0.11</v>
      </c>
      <c r="D27" s="14">
        <v>0.1</v>
      </c>
      <c r="E27" s="14">
        <v>0.25</v>
      </c>
      <c r="F27" s="14">
        <v>0.19</v>
      </c>
      <c r="G27" s="14">
        <v>0.09</v>
      </c>
      <c r="H27" s="14">
        <v>0.08</v>
      </c>
      <c r="I27" s="14">
        <v>0.08</v>
      </c>
      <c r="J27" s="14">
        <v>0.05</v>
      </c>
      <c r="K27" s="14">
        <v>0.24</v>
      </c>
      <c r="L27" s="14">
        <v>0.14000000000000001</v>
      </c>
      <c r="M27" s="14">
        <v>0.12</v>
      </c>
      <c r="N27" s="14">
        <v>7.0000000000000007E-2</v>
      </c>
      <c r="O27" s="14">
        <v>0.08</v>
      </c>
      <c r="P27" s="14">
        <v>0.15</v>
      </c>
      <c r="Q27" s="14">
        <v>0.15</v>
      </c>
      <c r="R27" s="14">
        <v>0.08</v>
      </c>
      <c r="S27" s="14">
        <v>0.1</v>
      </c>
      <c r="T27" s="14">
        <v>0.16</v>
      </c>
      <c r="U27" s="14">
        <v>0.16</v>
      </c>
      <c r="V27" s="14">
        <v>0.17</v>
      </c>
      <c r="W27" s="14">
        <v>0.12</v>
      </c>
      <c r="X27" s="14">
        <v>0.05</v>
      </c>
      <c r="Y27" s="14">
        <v>0.09</v>
      </c>
      <c r="Z27" s="14">
        <v>0.13</v>
      </c>
      <c r="AA27" s="14">
        <v>0.05</v>
      </c>
      <c r="AB27" s="14">
        <v>0.16</v>
      </c>
      <c r="AC27" s="14">
        <v>0.11</v>
      </c>
      <c r="AD27" s="14">
        <v>0.15</v>
      </c>
      <c r="AE27" s="14">
        <v>0.12</v>
      </c>
      <c r="AF27" s="14">
        <v>0.09</v>
      </c>
    </row>
    <row r="28" spans="1:32">
      <c r="A28" s="19"/>
      <c r="B28" s="11" t="s">
        <v>458</v>
      </c>
      <c r="C28" s="12">
        <v>4303</v>
      </c>
      <c r="D28" s="12">
        <v>170</v>
      </c>
      <c r="E28" s="12">
        <v>142</v>
      </c>
      <c r="F28" s="12">
        <v>207</v>
      </c>
      <c r="G28" s="12">
        <v>196</v>
      </c>
      <c r="H28" s="12">
        <v>254</v>
      </c>
      <c r="I28" s="12">
        <v>316</v>
      </c>
      <c r="J28" s="12">
        <v>62</v>
      </c>
      <c r="K28" s="12">
        <v>197</v>
      </c>
      <c r="L28" s="12">
        <v>148</v>
      </c>
      <c r="M28" s="12">
        <v>165</v>
      </c>
      <c r="N28" s="12">
        <v>131</v>
      </c>
      <c r="O28" s="12">
        <v>171</v>
      </c>
      <c r="P28" s="12">
        <v>166</v>
      </c>
      <c r="Q28" s="12">
        <v>155</v>
      </c>
      <c r="R28" s="12">
        <v>74</v>
      </c>
      <c r="S28" s="12">
        <v>202</v>
      </c>
      <c r="T28" s="12">
        <v>199</v>
      </c>
      <c r="U28" s="12">
        <v>94</v>
      </c>
      <c r="V28" s="12">
        <v>133</v>
      </c>
      <c r="W28" s="12">
        <v>66</v>
      </c>
      <c r="X28" s="12">
        <v>184</v>
      </c>
      <c r="Y28" s="12">
        <v>225</v>
      </c>
      <c r="Z28" s="12">
        <v>99</v>
      </c>
      <c r="AA28" s="12">
        <v>75</v>
      </c>
      <c r="AB28" s="12">
        <v>146</v>
      </c>
      <c r="AC28" s="12">
        <v>128</v>
      </c>
      <c r="AD28" s="12">
        <v>152</v>
      </c>
      <c r="AE28" s="12">
        <v>166</v>
      </c>
      <c r="AF28" s="12">
        <v>257</v>
      </c>
    </row>
    <row r="29" spans="1:32">
      <c r="A29" s="19"/>
      <c r="B29" s="13" t="s">
        <v>459</v>
      </c>
      <c r="C29" s="14">
        <v>0.18</v>
      </c>
      <c r="D29" s="14">
        <v>0.18</v>
      </c>
      <c r="E29" s="14">
        <v>0.15</v>
      </c>
      <c r="F29" s="14">
        <v>0.22</v>
      </c>
      <c r="G29" s="14">
        <v>0.21</v>
      </c>
      <c r="H29" s="14">
        <v>0.23</v>
      </c>
      <c r="I29" s="14">
        <v>0.23</v>
      </c>
      <c r="J29" s="14">
        <v>0.22</v>
      </c>
      <c r="K29" s="14">
        <v>0.21</v>
      </c>
      <c r="L29" s="14">
        <v>0.16</v>
      </c>
      <c r="M29" s="14">
        <v>0.18</v>
      </c>
      <c r="N29" s="14">
        <v>0.14000000000000001</v>
      </c>
      <c r="O29" s="14">
        <v>0.19</v>
      </c>
      <c r="P29" s="14">
        <v>0.18</v>
      </c>
      <c r="Q29" s="14">
        <v>0.16</v>
      </c>
      <c r="R29" s="14">
        <v>0.16</v>
      </c>
      <c r="S29" s="14">
        <v>0.23</v>
      </c>
      <c r="T29" s="14">
        <v>0.21</v>
      </c>
      <c r="U29" s="14">
        <v>0.2</v>
      </c>
      <c r="V29" s="14">
        <v>0.14000000000000001</v>
      </c>
      <c r="W29" s="14">
        <v>0.14000000000000001</v>
      </c>
      <c r="X29" s="14">
        <v>0.19</v>
      </c>
      <c r="Y29" s="14">
        <v>0.25</v>
      </c>
      <c r="Z29" s="14">
        <v>0.1</v>
      </c>
      <c r="AA29" s="14">
        <v>0.08</v>
      </c>
      <c r="AB29" s="14">
        <v>0.15</v>
      </c>
      <c r="AC29" s="14">
        <v>0.14000000000000001</v>
      </c>
      <c r="AD29" s="14">
        <v>0.16</v>
      </c>
      <c r="AE29" s="14">
        <v>0.18</v>
      </c>
      <c r="AF29" s="14">
        <v>0.27</v>
      </c>
    </row>
    <row r="30" spans="1:32">
      <c r="A30" s="19"/>
      <c r="B30" s="11" t="s">
        <v>460</v>
      </c>
      <c r="C30" s="12">
        <v>2542</v>
      </c>
      <c r="D30" s="12">
        <v>88</v>
      </c>
      <c r="E30" s="12">
        <v>78</v>
      </c>
      <c r="F30" s="12">
        <v>80</v>
      </c>
      <c r="G30" s="12">
        <v>146</v>
      </c>
      <c r="H30" s="12">
        <v>113</v>
      </c>
      <c r="I30" s="12">
        <v>147</v>
      </c>
      <c r="J30" s="12">
        <v>34</v>
      </c>
      <c r="K30" s="12">
        <v>73</v>
      </c>
      <c r="L30" s="12">
        <v>102</v>
      </c>
      <c r="M30" s="12">
        <v>127</v>
      </c>
      <c r="N30" s="12">
        <v>111</v>
      </c>
      <c r="O30" s="12">
        <v>88</v>
      </c>
      <c r="P30" s="12">
        <v>95</v>
      </c>
      <c r="Q30" s="12">
        <v>108</v>
      </c>
      <c r="R30" s="12">
        <v>57</v>
      </c>
      <c r="S30" s="12">
        <v>59</v>
      </c>
      <c r="T30" s="12">
        <v>59</v>
      </c>
      <c r="U30" s="12">
        <v>39</v>
      </c>
      <c r="V30" s="12">
        <v>81</v>
      </c>
      <c r="W30" s="12">
        <v>47</v>
      </c>
      <c r="X30" s="12">
        <v>89</v>
      </c>
      <c r="Y30" s="12">
        <v>76</v>
      </c>
      <c r="Z30" s="12">
        <v>84</v>
      </c>
      <c r="AA30" s="12">
        <v>129</v>
      </c>
      <c r="AB30" s="12">
        <v>75</v>
      </c>
      <c r="AC30" s="12">
        <v>76</v>
      </c>
      <c r="AD30" s="12">
        <v>95</v>
      </c>
      <c r="AE30" s="12">
        <v>107</v>
      </c>
      <c r="AF30" s="12">
        <v>151</v>
      </c>
    </row>
    <row r="31" spans="1:32">
      <c r="A31" s="19"/>
      <c r="B31" s="13" t="s">
        <v>461</v>
      </c>
      <c r="C31" s="14">
        <v>0.1</v>
      </c>
      <c r="D31" s="14">
        <v>0.09</v>
      </c>
      <c r="E31" s="14">
        <v>0.08</v>
      </c>
      <c r="F31" s="14">
        <v>0.08</v>
      </c>
      <c r="G31" s="14">
        <v>0.15</v>
      </c>
      <c r="H31" s="14">
        <v>0.1</v>
      </c>
      <c r="I31" s="14">
        <v>0.1</v>
      </c>
      <c r="J31" s="14">
        <v>0.12</v>
      </c>
      <c r="K31" s="14">
        <v>0.08</v>
      </c>
      <c r="L31" s="14">
        <v>0.11</v>
      </c>
      <c r="M31" s="14">
        <v>0.13</v>
      </c>
      <c r="N31" s="14">
        <v>0.12</v>
      </c>
      <c r="O31" s="14">
        <v>0.09</v>
      </c>
      <c r="P31" s="14">
        <v>0.1</v>
      </c>
      <c r="Q31" s="14">
        <v>0.11</v>
      </c>
      <c r="R31" s="14">
        <v>0.12</v>
      </c>
      <c r="S31" s="14">
        <v>0.06</v>
      </c>
      <c r="T31" s="14">
        <v>0.06</v>
      </c>
      <c r="U31" s="14">
        <v>0.08</v>
      </c>
      <c r="V31" s="14">
        <v>0.08</v>
      </c>
      <c r="W31" s="14">
        <v>0.1</v>
      </c>
      <c r="X31" s="14">
        <v>0.09</v>
      </c>
      <c r="Y31" s="14">
        <v>0.08</v>
      </c>
      <c r="Z31" s="14">
        <v>0.09</v>
      </c>
      <c r="AA31" s="14">
        <v>0.13</v>
      </c>
      <c r="AB31" s="14">
        <v>0.08</v>
      </c>
      <c r="AC31" s="14">
        <v>0.08</v>
      </c>
      <c r="AD31" s="14">
        <v>0.1</v>
      </c>
      <c r="AE31" s="14">
        <v>0.11</v>
      </c>
      <c r="AF31" s="14">
        <v>0.16</v>
      </c>
    </row>
    <row r="32" spans="1:32">
      <c r="A32" s="19"/>
      <c r="B32" s="11" t="s">
        <v>462</v>
      </c>
      <c r="C32" s="12">
        <v>5725</v>
      </c>
      <c r="D32" s="12">
        <v>239</v>
      </c>
      <c r="E32" s="12">
        <v>133</v>
      </c>
      <c r="F32" s="12">
        <v>210</v>
      </c>
      <c r="G32" s="12">
        <v>257</v>
      </c>
      <c r="H32" s="12">
        <v>340</v>
      </c>
      <c r="I32" s="12">
        <v>420</v>
      </c>
      <c r="J32" s="12">
        <v>80</v>
      </c>
      <c r="K32" s="12">
        <v>107</v>
      </c>
      <c r="L32" s="12">
        <v>186</v>
      </c>
      <c r="M32" s="12">
        <v>259</v>
      </c>
      <c r="N32" s="12">
        <v>205</v>
      </c>
      <c r="O32" s="12">
        <v>216</v>
      </c>
      <c r="P32" s="12">
        <v>135</v>
      </c>
      <c r="Q32" s="12">
        <v>224</v>
      </c>
      <c r="R32" s="12">
        <v>139</v>
      </c>
      <c r="S32" s="12">
        <v>186</v>
      </c>
      <c r="T32" s="12">
        <v>154</v>
      </c>
      <c r="U32" s="12">
        <v>130</v>
      </c>
      <c r="V32" s="12">
        <v>216</v>
      </c>
      <c r="W32" s="12">
        <v>98</v>
      </c>
      <c r="X32" s="12">
        <v>220</v>
      </c>
      <c r="Y32" s="12">
        <v>225</v>
      </c>
      <c r="Z32" s="12">
        <v>151</v>
      </c>
      <c r="AA32" s="12">
        <v>228</v>
      </c>
      <c r="AB32" s="12">
        <v>155</v>
      </c>
      <c r="AC32" s="12">
        <v>141</v>
      </c>
      <c r="AD32" s="12">
        <v>131</v>
      </c>
      <c r="AE32" s="12">
        <v>257</v>
      </c>
      <c r="AF32" s="12">
        <v>281</v>
      </c>
    </row>
    <row r="33" spans="1:32">
      <c r="A33" s="19"/>
      <c r="B33" s="13" t="s">
        <v>463</v>
      </c>
      <c r="C33" s="14">
        <v>0.25</v>
      </c>
      <c r="D33" s="14">
        <v>0.27</v>
      </c>
      <c r="E33" s="14">
        <v>0.14000000000000001</v>
      </c>
      <c r="F33" s="14">
        <v>0.23</v>
      </c>
      <c r="G33" s="14">
        <v>0.33</v>
      </c>
      <c r="H33" s="14">
        <v>0.35</v>
      </c>
      <c r="I33" s="14">
        <v>0.34</v>
      </c>
      <c r="J33" s="14">
        <v>0.31</v>
      </c>
      <c r="K33" s="14">
        <v>0.11</v>
      </c>
      <c r="L33" s="14">
        <v>0.21</v>
      </c>
      <c r="M33" s="14">
        <v>0.28999999999999998</v>
      </c>
      <c r="N33" s="14">
        <v>0.24</v>
      </c>
      <c r="O33" s="14">
        <v>0.24</v>
      </c>
      <c r="P33" s="14">
        <v>0.14000000000000001</v>
      </c>
      <c r="Q33" s="14">
        <v>0.25</v>
      </c>
      <c r="R33" s="14">
        <v>0.32</v>
      </c>
      <c r="S33" s="14">
        <v>0.2</v>
      </c>
      <c r="T33" s="14">
        <v>0.17</v>
      </c>
      <c r="U33" s="14">
        <v>0.3</v>
      </c>
      <c r="V33" s="14">
        <v>0.24</v>
      </c>
      <c r="W33" s="14">
        <v>0.22</v>
      </c>
      <c r="X33" s="14">
        <v>0.27</v>
      </c>
      <c r="Y33" s="14">
        <v>0.26</v>
      </c>
      <c r="Z33" s="14">
        <v>0.17</v>
      </c>
      <c r="AA33" s="14">
        <v>0.24</v>
      </c>
      <c r="AB33" s="14">
        <v>0.17</v>
      </c>
      <c r="AC33" s="14">
        <v>0.15</v>
      </c>
      <c r="AD33" s="14">
        <v>0.14000000000000001</v>
      </c>
      <c r="AE33" s="14">
        <v>0.3</v>
      </c>
      <c r="AF33" s="14">
        <v>0.38</v>
      </c>
    </row>
    <row r="34" spans="1:32">
      <c r="A34" s="19"/>
      <c r="B34" s="11" t="s">
        <v>464</v>
      </c>
      <c r="C34" s="12">
        <v>3870</v>
      </c>
      <c r="D34" s="12">
        <v>158</v>
      </c>
      <c r="E34" s="12">
        <v>150</v>
      </c>
      <c r="F34" s="12">
        <v>139</v>
      </c>
      <c r="G34" s="12">
        <v>175</v>
      </c>
      <c r="H34" s="12">
        <v>247</v>
      </c>
      <c r="I34" s="12">
        <v>303</v>
      </c>
      <c r="J34" s="12">
        <v>57</v>
      </c>
      <c r="K34" s="12">
        <v>110</v>
      </c>
      <c r="L34" s="12">
        <v>138</v>
      </c>
      <c r="M34" s="12">
        <v>238</v>
      </c>
      <c r="N34" s="12">
        <v>140</v>
      </c>
      <c r="O34" s="12">
        <v>117</v>
      </c>
      <c r="P34" s="12">
        <v>148</v>
      </c>
      <c r="Q34" s="12">
        <v>109</v>
      </c>
      <c r="R34" s="12">
        <v>107</v>
      </c>
      <c r="S34" s="12">
        <v>179</v>
      </c>
      <c r="T34" s="12">
        <v>112</v>
      </c>
      <c r="U34" s="12">
        <v>60</v>
      </c>
      <c r="V34" s="12">
        <v>124</v>
      </c>
      <c r="W34" s="12">
        <v>81</v>
      </c>
      <c r="X34" s="12">
        <v>174</v>
      </c>
      <c r="Y34" s="12">
        <v>212</v>
      </c>
      <c r="Z34" s="12">
        <v>129</v>
      </c>
      <c r="AA34" s="12">
        <v>79</v>
      </c>
      <c r="AB34" s="12">
        <v>128</v>
      </c>
      <c r="AC34" s="12">
        <v>203</v>
      </c>
      <c r="AD34" s="12">
        <v>192</v>
      </c>
      <c r="AE34" s="12">
        <v>183</v>
      </c>
      <c r="AF34" s="12">
        <v>151</v>
      </c>
    </row>
    <row r="35" spans="1:32">
      <c r="A35" s="19"/>
      <c r="B35" s="13" t="s">
        <v>465</v>
      </c>
      <c r="C35" s="14">
        <v>0.16</v>
      </c>
      <c r="D35" s="14">
        <v>0.17</v>
      </c>
      <c r="E35" s="14">
        <v>0.16</v>
      </c>
      <c r="F35" s="14">
        <v>0.14000000000000001</v>
      </c>
      <c r="G35" s="14">
        <v>0.19</v>
      </c>
      <c r="H35" s="14">
        <v>0.22</v>
      </c>
      <c r="I35" s="14">
        <v>0.22</v>
      </c>
      <c r="J35" s="14">
        <v>0.2</v>
      </c>
      <c r="K35" s="14">
        <v>0.12</v>
      </c>
      <c r="L35" s="14">
        <v>0.15</v>
      </c>
      <c r="M35" s="14">
        <v>0.28000000000000003</v>
      </c>
      <c r="N35" s="14">
        <v>0.15</v>
      </c>
      <c r="O35" s="14">
        <v>0.13</v>
      </c>
      <c r="P35" s="14">
        <v>0.16</v>
      </c>
      <c r="Q35" s="14">
        <v>0.11</v>
      </c>
      <c r="R35" s="14">
        <v>0.25</v>
      </c>
      <c r="S35" s="14">
        <v>0.2</v>
      </c>
      <c r="T35" s="14">
        <v>0.12</v>
      </c>
      <c r="U35" s="14">
        <v>0.13</v>
      </c>
      <c r="V35" s="14">
        <v>0.13</v>
      </c>
      <c r="W35" s="14">
        <v>0.19</v>
      </c>
      <c r="X35" s="14">
        <v>0.19</v>
      </c>
      <c r="Y35" s="14">
        <v>0.23</v>
      </c>
      <c r="Z35" s="14">
        <v>0.13</v>
      </c>
      <c r="AA35" s="14">
        <v>0.08</v>
      </c>
      <c r="AB35" s="14">
        <v>0.13</v>
      </c>
      <c r="AC35" s="14">
        <v>0.22</v>
      </c>
      <c r="AD35" s="14">
        <v>0.21</v>
      </c>
      <c r="AE35" s="14">
        <v>0.21</v>
      </c>
      <c r="AF35" s="14">
        <v>0.15</v>
      </c>
    </row>
    <row r="36" spans="1:32">
      <c r="A36" s="19"/>
      <c r="B36" s="11" t="s">
        <v>466</v>
      </c>
      <c r="C36" s="12">
        <v>2536</v>
      </c>
      <c r="D36" s="12">
        <v>79</v>
      </c>
      <c r="E36" s="12">
        <v>168</v>
      </c>
      <c r="F36" s="12">
        <v>132</v>
      </c>
      <c r="G36" s="12">
        <v>123</v>
      </c>
      <c r="H36" s="12">
        <v>83</v>
      </c>
      <c r="I36" s="12">
        <v>109</v>
      </c>
      <c r="J36" s="12">
        <v>26</v>
      </c>
      <c r="K36" s="12">
        <v>173</v>
      </c>
      <c r="L36" s="12">
        <v>95</v>
      </c>
      <c r="M36" s="12">
        <v>106</v>
      </c>
      <c r="N36" s="12">
        <v>73</v>
      </c>
      <c r="O36" s="12">
        <v>81</v>
      </c>
      <c r="P36" s="12">
        <v>137</v>
      </c>
      <c r="Q36" s="12">
        <v>122</v>
      </c>
      <c r="R36" s="12">
        <v>34</v>
      </c>
      <c r="S36" s="12">
        <v>119</v>
      </c>
      <c r="T36" s="12">
        <v>128</v>
      </c>
      <c r="U36" s="12">
        <v>65</v>
      </c>
      <c r="V36" s="12">
        <v>123</v>
      </c>
      <c r="W36" s="12">
        <v>49</v>
      </c>
      <c r="X36" s="12">
        <v>97</v>
      </c>
      <c r="Y36" s="12">
        <v>105</v>
      </c>
      <c r="Z36" s="12">
        <v>116</v>
      </c>
      <c r="AA36" s="12">
        <v>113</v>
      </c>
      <c r="AB36" s="12">
        <v>150</v>
      </c>
      <c r="AC36" s="12">
        <v>92</v>
      </c>
      <c r="AD36" s="12">
        <v>130</v>
      </c>
      <c r="AE36" s="12">
        <v>71</v>
      </c>
      <c r="AF36" s="12">
        <v>61</v>
      </c>
    </row>
    <row r="37" spans="1:32">
      <c r="A37" s="19"/>
      <c r="B37" s="13" t="s">
        <v>467</v>
      </c>
      <c r="C37" s="14">
        <v>0.1</v>
      </c>
      <c r="D37" s="14">
        <v>0.08</v>
      </c>
      <c r="E37" s="14">
        <v>0.18</v>
      </c>
      <c r="F37" s="14">
        <v>0.14000000000000001</v>
      </c>
      <c r="G37" s="14">
        <v>0.13</v>
      </c>
      <c r="H37" s="14">
        <v>7.0000000000000007E-2</v>
      </c>
      <c r="I37" s="14">
        <v>7.0000000000000007E-2</v>
      </c>
      <c r="J37" s="14">
        <v>0.09</v>
      </c>
      <c r="K37" s="14">
        <v>0.19</v>
      </c>
      <c r="L37" s="14">
        <v>0.1</v>
      </c>
      <c r="M37" s="14">
        <v>0.11</v>
      </c>
      <c r="N37" s="14">
        <v>0.08</v>
      </c>
      <c r="O37" s="14">
        <v>0.09</v>
      </c>
      <c r="P37" s="14">
        <v>0.15</v>
      </c>
      <c r="Q37" s="14">
        <v>0.13</v>
      </c>
      <c r="R37" s="14">
        <v>7.0000000000000007E-2</v>
      </c>
      <c r="S37" s="14">
        <v>0.13</v>
      </c>
      <c r="T37" s="14">
        <v>0.14000000000000001</v>
      </c>
      <c r="U37" s="14">
        <v>0.14000000000000001</v>
      </c>
      <c r="V37" s="14">
        <v>0.13</v>
      </c>
      <c r="W37" s="14">
        <v>0.1</v>
      </c>
      <c r="X37" s="14">
        <v>0.1</v>
      </c>
      <c r="Y37" s="14">
        <v>0.11</v>
      </c>
      <c r="Z37" s="14">
        <v>0.12</v>
      </c>
      <c r="AA37" s="14">
        <v>0.12</v>
      </c>
      <c r="AB37" s="14">
        <v>0.16</v>
      </c>
      <c r="AC37" s="14">
        <v>0.1</v>
      </c>
      <c r="AD37" s="14">
        <v>0.14000000000000001</v>
      </c>
      <c r="AE37" s="14">
        <v>7.0000000000000007E-2</v>
      </c>
      <c r="AF37" s="14">
        <v>0.06</v>
      </c>
    </row>
    <row r="38" spans="1:32">
      <c r="A38" s="19"/>
      <c r="B38" s="11" t="s">
        <v>468</v>
      </c>
      <c r="C38" s="12">
        <v>1035</v>
      </c>
      <c r="D38" s="12">
        <v>32</v>
      </c>
      <c r="E38" s="12">
        <v>30</v>
      </c>
      <c r="F38" s="12">
        <v>22</v>
      </c>
      <c r="G38" s="12">
        <v>34</v>
      </c>
      <c r="H38" s="12">
        <v>46</v>
      </c>
      <c r="I38" s="12">
        <v>54</v>
      </c>
      <c r="J38" s="12">
        <v>8</v>
      </c>
      <c r="K38" s="12">
        <v>36</v>
      </c>
      <c r="L38" s="12">
        <v>46</v>
      </c>
      <c r="M38" s="12">
        <v>27</v>
      </c>
      <c r="N38" s="12">
        <v>35</v>
      </c>
      <c r="O38" s="12">
        <v>43</v>
      </c>
      <c r="P38" s="12">
        <v>28</v>
      </c>
      <c r="Q38" s="12">
        <v>46</v>
      </c>
      <c r="R38" s="12">
        <v>6</v>
      </c>
      <c r="S38" s="12">
        <v>14</v>
      </c>
      <c r="T38" s="12">
        <v>26</v>
      </c>
      <c r="U38" s="12">
        <v>23</v>
      </c>
      <c r="V38" s="12">
        <v>60</v>
      </c>
      <c r="W38" s="12">
        <v>29</v>
      </c>
      <c r="X38" s="12">
        <v>34</v>
      </c>
      <c r="Y38" s="12">
        <v>46</v>
      </c>
      <c r="Z38" s="12">
        <v>55</v>
      </c>
      <c r="AA38" s="12">
        <v>20</v>
      </c>
      <c r="AB38" s="12">
        <v>57</v>
      </c>
      <c r="AC38" s="12">
        <v>14</v>
      </c>
      <c r="AD38" s="12">
        <v>13</v>
      </c>
      <c r="AE38" s="12">
        <v>15</v>
      </c>
      <c r="AF38" s="12">
        <v>60</v>
      </c>
    </row>
    <row r="39" spans="1:32">
      <c r="A39" s="19"/>
      <c r="B39" s="13" t="s">
        <v>469</v>
      </c>
      <c r="C39" s="14">
        <v>0.04</v>
      </c>
      <c r="D39" s="14">
        <v>0.03</v>
      </c>
      <c r="E39" s="14">
        <v>0.03</v>
      </c>
      <c r="F39" s="14">
        <v>0.02</v>
      </c>
      <c r="G39" s="14">
        <v>0.03</v>
      </c>
      <c r="H39" s="14">
        <v>0.04</v>
      </c>
      <c r="I39" s="14">
        <v>0.04</v>
      </c>
      <c r="J39" s="14">
        <v>0.03</v>
      </c>
      <c r="K39" s="14">
        <v>0.04</v>
      </c>
      <c r="L39" s="14">
        <v>0.05</v>
      </c>
      <c r="M39" s="14">
        <v>0.03</v>
      </c>
      <c r="N39" s="14">
        <v>0.04</v>
      </c>
      <c r="O39" s="14">
        <v>0.04</v>
      </c>
      <c r="P39" s="14">
        <v>0.03</v>
      </c>
      <c r="Q39" s="14">
        <v>0.05</v>
      </c>
      <c r="R39" s="14">
        <v>0.01</v>
      </c>
      <c r="S39" s="14">
        <v>0.01</v>
      </c>
      <c r="T39" s="14">
        <v>0.03</v>
      </c>
      <c r="U39" s="14">
        <v>0.05</v>
      </c>
      <c r="V39" s="14">
        <v>0.06</v>
      </c>
      <c r="W39" s="14">
        <v>0.06</v>
      </c>
      <c r="X39" s="14">
        <v>0.03</v>
      </c>
      <c r="Y39" s="14">
        <v>0.05</v>
      </c>
      <c r="Z39" s="14">
        <v>0.06</v>
      </c>
      <c r="AA39" s="14">
        <v>0.02</v>
      </c>
      <c r="AB39" s="14">
        <v>0.06</v>
      </c>
      <c r="AC39" s="14">
        <v>0.01</v>
      </c>
      <c r="AD39" s="14">
        <v>0.01</v>
      </c>
      <c r="AE39" s="14">
        <v>0.01</v>
      </c>
      <c r="AF39" s="14">
        <v>0.06</v>
      </c>
    </row>
    <row r="40" spans="1:32">
      <c r="A40" s="19"/>
      <c r="B40" s="11" t="s">
        <v>470</v>
      </c>
      <c r="C40" s="12">
        <v>6134</v>
      </c>
      <c r="D40" s="12">
        <v>245</v>
      </c>
      <c r="E40" s="12">
        <v>246</v>
      </c>
      <c r="F40" s="12">
        <v>242</v>
      </c>
      <c r="G40" s="12">
        <v>202</v>
      </c>
      <c r="H40" s="12">
        <v>367</v>
      </c>
      <c r="I40" s="12">
        <v>440</v>
      </c>
      <c r="J40" s="12">
        <v>72</v>
      </c>
      <c r="K40" s="12">
        <v>231</v>
      </c>
      <c r="L40" s="12">
        <v>220</v>
      </c>
      <c r="M40" s="12">
        <v>315</v>
      </c>
      <c r="N40" s="12">
        <v>206</v>
      </c>
      <c r="O40" s="12">
        <v>240</v>
      </c>
      <c r="P40" s="12">
        <v>223</v>
      </c>
      <c r="Q40" s="12">
        <v>218</v>
      </c>
      <c r="R40" s="12">
        <v>129</v>
      </c>
      <c r="S40" s="12">
        <v>225</v>
      </c>
      <c r="T40" s="12">
        <v>237</v>
      </c>
      <c r="U40" s="12">
        <v>89</v>
      </c>
      <c r="V40" s="12">
        <v>187</v>
      </c>
      <c r="W40" s="12">
        <v>114</v>
      </c>
      <c r="X40" s="12">
        <v>209</v>
      </c>
      <c r="Y40" s="12">
        <v>235</v>
      </c>
      <c r="Z40" s="12">
        <v>172</v>
      </c>
      <c r="AA40" s="12">
        <v>279</v>
      </c>
      <c r="AB40" s="12">
        <v>220</v>
      </c>
      <c r="AC40" s="12">
        <v>218</v>
      </c>
      <c r="AD40" s="12">
        <v>241</v>
      </c>
      <c r="AE40" s="12">
        <v>258</v>
      </c>
      <c r="AF40" s="12">
        <v>223</v>
      </c>
    </row>
    <row r="41" spans="1:32">
      <c r="A41" s="19"/>
      <c r="B41" s="13" t="s">
        <v>471</v>
      </c>
      <c r="C41" s="14">
        <v>0.33</v>
      </c>
      <c r="D41" s="14">
        <v>0.32</v>
      </c>
      <c r="E41" s="14">
        <v>0.34</v>
      </c>
      <c r="F41" s="14">
        <v>0.35</v>
      </c>
      <c r="G41" s="14">
        <v>0.26</v>
      </c>
      <c r="H41" s="14">
        <v>0.45</v>
      </c>
      <c r="I41" s="14">
        <v>0.45</v>
      </c>
      <c r="J41" s="14">
        <v>0.42</v>
      </c>
      <c r="K41" s="14">
        <v>0.36</v>
      </c>
      <c r="L41" s="14">
        <v>0.28000000000000003</v>
      </c>
      <c r="M41" s="14">
        <v>0.44</v>
      </c>
      <c r="N41" s="14">
        <v>0.26</v>
      </c>
      <c r="O41" s="14">
        <v>0.33</v>
      </c>
      <c r="P41" s="14">
        <v>0.33</v>
      </c>
      <c r="Q41" s="14">
        <v>0.31</v>
      </c>
      <c r="R41" s="14">
        <v>0.33</v>
      </c>
      <c r="S41" s="14">
        <v>0.37</v>
      </c>
      <c r="T41" s="14">
        <v>0.42</v>
      </c>
      <c r="U41" s="14">
        <v>0.25</v>
      </c>
      <c r="V41" s="14">
        <v>0.27</v>
      </c>
      <c r="W41" s="14">
        <v>0.3</v>
      </c>
      <c r="X41" s="14">
        <v>0.27</v>
      </c>
      <c r="Y41" s="14">
        <v>0.34</v>
      </c>
      <c r="Z41" s="14">
        <v>0.25</v>
      </c>
      <c r="AA41" s="14">
        <v>0.39</v>
      </c>
      <c r="AB41" s="14">
        <v>0.26</v>
      </c>
      <c r="AC41" s="14">
        <v>0.35</v>
      </c>
      <c r="AD41" s="14">
        <v>0.35</v>
      </c>
      <c r="AE41" s="14">
        <v>0.37</v>
      </c>
      <c r="AF41" s="14">
        <v>0.26</v>
      </c>
    </row>
    <row r="42" spans="1:32">
      <c r="A42" s="19"/>
      <c r="B42" s="11" t="s">
        <v>436</v>
      </c>
      <c r="C42" s="12">
        <v>70</v>
      </c>
      <c r="D42" s="12">
        <v>0</v>
      </c>
      <c r="E42" s="12">
        <v>4</v>
      </c>
      <c r="F42" s="12">
        <v>1</v>
      </c>
      <c r="G42" s="12">
        <v>1</v>
      </c>
      <c r="H42" s="12">
        <v>2</v>
      </c>
      <c r="I42" s="12">
        <v>2</v>
      </c>
      <c r="J42" s="12">
        <v>0</v>
      </c>
      <c r="K42" s="12">
        <v>18</v>
      </c>
      <c r="L42" s="12">
        <v>1</v>
      </c>
      <c r="M42" s="12">
        <v>2</v>
      </c>
      <c r="N42" s="12">
        <v>4</v>
      </c>
      <c r="O42" s="12">
        <v>3</v>
      </c>
      <c r="P42" s="12">
        <v>3</v>
      </c>
      <c r="Q42" s="12">
        <v>0</v>
      </c>
      <c r="R42" s="12">
        <v>0</v>
      </c>
      <c r="S42" s="12">
        <v>7</v>
      </c>
      <c r="T42" s="12">
        <v>3</v>
      </c>
      <c r="U42" s="12">
        <v>1</v>
      </c>
      <c r="V42" s="12">
        <v>0</v>
      </c>
      <c r="W42" s="12">
        <v>1</v>
      </c>
      <c r="X42" s="12">
        <v>4</v>
      </c>
      <c r="Y42" s="12">
        <v>33</v>
      </c>
      <c r="Z42" s="12">
        <v>1</v>
      </c>
      <c r="AA42" s="12">
        <v>2</v>
      </c>
      <c r="AB42" s="12">
        <v>5</v>
      </c>
      <c r="AC42" s="12">
        <v>1</v>
      </c>
      <c r="AD42" s="12">
        <v>0</v>
      </c>
      <c r="AE42" s="12">
        <v>1</v>
      </c>
      <c r="AF42" s="12">
        <v>5</v>
      </c>
    </row>
    <row r="43" spans="1:32">
      <c r="A43" s="19"/>
      <c r="B43" s="13" t="s">
        <v>437</v>
      </c>
      <c r="C43" s="15" t="s">
        <v>375</v>
      </c>
      <c r="D43" s="15" t="s">
        <v>375</v>
      </c>
      <c r="E43" s="15" t="s">
        <v>375</v>
      </c>
      <c r="F43" s="15" t="s">
        <v>375</v>
      </c>
      <c r="G43" s="15" t="s">
        <v>375</v>
      </c>
      <c r="H43" s="15" t="s">
        <v>375</v>
      </c>
      <c r="I43" s="15" t="s">
        <v>375</v>
      </c>
      <c r="J43" s="15" t="s">
        <v>375</v>
      </c>
      <c r="K43" s="14">
        <v>0.02</v>
      </c>
      <c r="L43" s="15" t="s">
        <v>375</v>
      </c>
      <c r="M43" s="15" t="s">
        <v>375</v>
      </c>
      <c r="N43" s="15" t="s">
        <v>375</v>
      </c>
      <c r="O43" s="15" t="s">
        <v>375</v>
      </c>
      <c r="P43" s="15" t="s">
        <v>375</v>
      </c>
      <c r="Q43" s="15" t="s">
        <v>375</v>
      </c>
      <c r="R43" s="15" t="s">
        <v>375</v>
      </c>
      <c r="S43" s="14">
        <v>0.01</v>
      </c>
      <c r="T43" s="15" t="s">
        <v>375</v>
      </c>
      <c r="U43" s="15" t="s">
        <v>375</v>
      </c>
      <c r="V43" s="15" t="s">
        <v>375</v>
      </c>
      <c r="W43" s="15" t="s">
        <v>375</v>
      </c>
      <c r="X43" s="15" t="s">
        <v>375</v>
      </c>
      <c r="Y43" s="14">
        <v>0.03</v>
      </c>
      <c r="Z43" s="15" t="s">
        <v>375</v>
      </c>
      <c r="AA43" s="15" t="s">
        <v>375</v>
      </c>
      <c r="AB43" s="15" t="s">
        <v>375</v>
      </c>
      <c r="AC43" s="15" t="s">
        <v>375</v>
      </c>
      <c r="AD43" s="15" t="s">
        <v>375</v>
      </c>
      <c r="AE43" s="15" t="s">
        <v>375</v>
      </c>
      <c r="AF43" s="15" t="s">
        <v>375</v>
      </c>
    </row>
    <row r="44" spans="1:32">
      <c r="A44" s="19"/>
      <c r="B44" s="11" t="s">
        <v>438</v>
      </c>
      <c r="C44" s="12">
        <v>128</v>
      </c>
      <c r="D44" s="12">
        <v>3</v>
      </c>
      <c r="E44" s="12">
        <v>3</v>
      </c>
      <c r="F44" s="12">
        <v>2</v>
      </c>
      <c r="G44" s="12">
        <v>5</v>
      </c>
      <c r="H44" s="12">
        <v>5</v>
      </c>
      <c r="I44" s="12">
        <v>5</v>
      </c>
      <c r="J44" s="12">
        <v>0</v>
      </c>
      <c r="K44" s="12">
        <v>5</v>
      </c>
      <c r="L44" s="12">
        <v>3</v>
      </c>
      <c r="M44" s="12">
        <v>1</v>
      </c>
      <c r="N44" s="12">
        <v>13</v>
      </c>
      <c r="O44" s="12">
        <v>12</v>
      </c>
      <c r="P44" s="12">
        <v>0</v>
      </c>
      <c r="Q44" s="12">
        <v>1</v>
      </c>
      <c r="R44" s="12">
        <v>0</v>
      </c>
      <c r="S44" s="12">
        <v>11</v>
      </c>
      <c r="T44" s="12">
        <v>4</v>
      </c>
      <c r="U44" s="12">
        <v>1</v>
      </c>
      <c r="V44" s="12">
        <v>0</v>
      </c>
      <c r="W44" s="12">
        <v>10</v>
      </c>
      <c r="X44" s="12">
        <v>7</v>
      </c>
      <c r="Y44" s="12">
        <v>1</v>
      </c>
      <c r="Z44" s="12">
        <v>0</v>
      </c>
      <c r="AA44" s="12">
        <v>0</v>
      </c>
      <c r="AB44" s="12">
        <v>0</v>
      </c>
      <c r="AC44" s="12">
        <v>4</v>
      </c>
      <c r="AD44" s="12">
        <v>0</v>
      </c>
      <c r="AE44" s="12">
        <v>5</v>
      </c>
      <c r="AF44" s="12">
        <v>3</v>
      </c>
    </row>
    <row r="45" spans="1:32">
      <c r="A45" s="19"/>
      <c r="B45" s="13" t="s">
        <v>439</v>
      </c>
      <c r="C45" s="15" t="s">
        <v>375</v>
      </c>
      <c r="D45" s="15" t="s">
        <v>375</v>
      </c>
      <c r="E45" s="15" t="s">
        <v>375</v>
      </c>
      <c r="F45" s="15" t="s">
        <v>375</v>
      </c>
      <c r="G45" s="15" t="s">
        <v>375</v>
      </c>
      <c r="H45" s="15" t="s">
        <v>375</v>
      </c>
      <c r="I45" s="15" t="s">
        <v>375</v>
      </c>
      <c r="J45" s="15" t="s">
        <v>375</v>
      </c>
      <c r="K45" s="14">
        <v>0.01</v>
      </c>
      <c r="L45" s="15" t="s">
        <v>375</v>
      </c>
      <c r="M45" s="15" t="s">
        <v>375</v>
      </c>
      <c r="N45" s="14">
        <v>0.01</v>
      </c>
      <c r="O45" s="14">
        <v>0.01</v>
      </c>
      <c r="P45" s="15" t="s">
        <v>375</v>
      </c>
      <c r="Q45" s="15" t="s">
        <v>375</v>
      </c>
      <c r="R45" s="15" t="s">
        <v>375</v>
      </c>
      <c r="S45" s="14">
        <v>0.01</v>
      </c>
      <c r="T45" s="15" t="s">
        <v>375</v>
      </c>
      <c r="U45" s="15" t="s">
        <v>375</v>
      </c>
      <c r="V45" s="15" t="s">
        <v>375</v>
      </c>
      <c r="W45" s="14">
        <v>0.02</v>
      </c>
      <c r="X45" s="14">
        <v>0.01</v>
      </c>
      <c r="Y45" s="15" t="s">
        <v>375</v>
      </c>
      <c r="Z45" s="15" t="s">
        <v>375</v>
      </c>
      <c r="AA45" s="15" t="s">
        <v>375</v>
      </c>
      <c r="AB45" s="15" t="s">
        <v>375</v>
      </c>
      <c r="AC45" s="15" t="s">
        <v>375</v>
      </c>
      <c r="AD45" s="15" t="s">
        <v>375</v>
      </c>
      <c r="AE45" s="14">
        <v>0.01</v>
      </c>
      <c r="AF45" s="15" t="s">
        <v>375</v>
      </c>
    </row>
    <row r="46" spans="1:32">
      <c r="A46" s="19"/>
      <c r="B46" s="11" t="s">
        <v>386</v>
      </c>
      <c r="C46" s="12">
        <v>146</v>
      </c>
      <c r="D46" s="12">
        <v>0</v>
      </c>
      <c r="E46" s="12">
        <v>5</v>
      </c>
      <c r="F46" s="12">
        <v>8</v>
      </c>
      <c r="G46" s="12">
        <v>3</v>
      </c>
      <c r="H46" s="12">
        <v>0</v>
      </c>
      <c r="I46" s="12">
        <v>0</v>
      </c>
      <c r="J46" s="12">
        <v>0</v>
      </c>
      <c r="K46" s="12">
        <v>12</v>
      </c>
      <c r="L46" s="12">
        <v>5</v>
      </c>
      <c r="M46" s="12">
        <v>1</v>
      </c>
      <c r="N46" s="12">
        <v>17</v>
      </c>
      <c r="O46" s="12">
        <v>12</v>
      </c>
      <c r="P46" s="12">
        <v>2</v>
      </c>
      <c r="Q46" s="12">
        <v>4</v>
      </c>
      <c r="R46" s="12">
        <v>1</v>
      </c>
      <c r="S46" s="12">
        <v>24</v>
      </c>
      <c r="T46" s="12">
        <v>13</v>
      </c>
      <c r="U46" s="12">
        <v>2</v>
      </c>
      <c r="V46" s="12">
        <v>2</v>
      </c>
      <c r="W46" s="12">
        <v>0</v>
      </c>
      <c r="X46" s="12">
        <v>1</v>
      </c>
      <c r="Y46" s="12">
        <v>7</v>
      </c>
      <c r="Z46" s="12">
        <v>0</v>
      </c>
      <c r="AA46" s="12">
        <v>12</v>
      </c>
      <c r="AB46" s="12">
        <v>0</v>
      </c>
      <c r="AC46" s="12">
        <v>1</v>
      </c>
      <c r="AD46" s="12">
        <v>1</v>
      </c>
      <c r="AE46" s="12">
        <v>11</v>
      </c>
      <c r="AF46" s="12">
        <v>2</v>
      </c>
    </row>
    <row r="47" spans="1:32">
      <c r="A47" s="19"/>
      <c r="B47" s="13" t="s">
        <v>399</v>
      </c>
      <c r="C47" s="14">
        <v>0.01</v>
      </c>
      <c r="D47" s="15" t="s">
        <v>375</v>
      </c>
      <c r="E47" s="15" t="s">
        <v>375</v>
      </c>
      <c r="F47" s="14">
        <v>0.01</v>
      </c>
      <c r="G47" s="15" t="s">
        <v>375</v>
      </c>
      <c r="H47" s="15" t="s">
        <v>375</v>
      </c>
      <c r="I47" s="15" t="s">
        <v>375</v>
      </c>
      <c r="J47" s="15" t="s">
        <v>375</v>
      </c>
      <c r="K47" s="14">
        <v>0.01</v>
      </c>
      <c r="L47" s="14">
        <v>0.01</v>
      </c>
      <c r="M47" s="15" t="s">
        <v>375</v>
      </c>
      <c r="N47" s="14">
        <v>0.02</v>
      </c>
      <c r="O47" s="14">
        <v>0.01</v>
      </c>
      <c r="P47" s="15" t="s">
        <v>375</v>
      </c>
      <c r="Q47" s="15" t="s">
        <v>375</v>
      </c>
      <c r="R47" s="15" t="s">
        <v>375</v>
      </c>
      <c r="S47" s="14">
        <v>0.02</v>
      </c>
      <c r="T47" s="14">
        <v>0.01</v>
      </c>
      <c r="U47" s="15" t="s">
        <v>375</v>
      </c>
      <c r="V47" s="15" t="s">
        <v>375</v>
      </c>
      <c r="W47" s="15" t="s">
        <v>375</v>
      </c>
      <c r="X47" s="15" t="s">
        <v>375</v>
      </c>
      <c r="Y47" s="14">
        <v>0.01</v>
      </c>
      <c r="Z47" s="15" t="s">
        <v>375</v>
      </c>
      <c r="AA47" s="14">
        <v>0.01</v>
      </c>
      <c r="AB47" s="15" t="s">
        <v>375</v>
      </c>
      <c r="AC47" s="15" t="s">
        <v>375</v>
      </c>
      <c r="AD47" s="15" t="s">
        <v>375</v>
      </c>
      <c r="AE47" s="14">
        <v>0.01</v>
      </c>
      <c r="AF47" s="15" t="s">
        <v>375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29</v>
      </c>
      <c r="C3" s="17"/>
      <c r="D3" s="17"/>
      <c r="E3" s="17"/>
      <c r="F3" s="17"/>
      <c r="H3" s="17" t="s">
        <v>30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442</v>
      </c>
      <c r="C12" s="12">
        <v>3869</v>
      </c>
      <c r="D12" s="12">
        <v>210</v>
      </c>
      <c r="E12" s="12">
        <v>87</v>
      </c>
      <c r="F12" s="12">
        <v>102</v>
      </c>
      <c r="G12" s="12">
        <v>100</v>
      </c>
      <c r="H12" s="12">
        <v>99</v>
      </c>
      <c r="I12" s="12">
        <v>134</v>
      </c>
      <c r="J12" s="12">
        <v>35</v>
      </c>
      <c r="K12" s="12">
        <v>107</v>
      </c>
      <c r="L12" s="12">
        <v>151</v>
      </c>
      <c r="M12" s="12">
        <v>68</v>
      </c>
      <c r="N12" s="12">
        <v>217</v>
      </c>
      <c r="O12" s="12">
        <v>203</v>
      </c>
      <c r="P12" s="12">
        <v>129</v>
      </c>
      <c r="Q12" s="12">
        <v>165</v>
      </c>
      <c r="R12" s="12">
        <v>41</v>
      </c>
      <c r="S12" s="12">
        <v>71</v>
      </c>
      <c r="T12" s="12">
        <v>85</v>
      </c>
      <c r="U12" s="12">
        <v>66</v>
      </c>
      <c r="V12" s="12">
        <v>107</v>
      </c>
      <c r="W12" s="12">
        <v>77</v>
      </c>
      <c r="X12" s="12">
        <v>196</v>
      </c>
      <c r="Y12" s="12">
        <v>161</v>
      </c>
      <c r="Z12" s="12">
        <v>118</v>
      </c>
      <c r="AA12" s="12">
        <v>212</v>
      </c>
      <c r="AB12" s="12">
        <v>102</v>
      </c>
      <c r="AC12" s="12">
        <v>111</v>
      </c>
      <c r="AD12" s="12">
        <v>85</v>
      </c>
      <c r="AE12" s="12">
        <v>126</v>
      </c>
      <c r="AF12" s="12">
        <v>165</v>
      </c>
    </row>
    <row r="13" spans="1:32">
      <c r="A13" s="19"/>
      <c r="B13" s="13" t="s">
        <v>443</v>
      </c>
      <c r="C13" s="14">
        <v>0.15</v>
      </c>
      <c r="D13" s="14">
        <v>0.21</v>
      </c>
      <c r="E13" s="14">
        <v>0.08</v>
      </c>
      <c r="F13" s="14">
        <v>0.1</v>
      </c>
      <c r="G13" s="14">
        <v>0.1</v>
      </c>
      <c r="H13" s="14">
        <v>0.08</v>
      </c>
      <c r="I13" s="14">
        <v>0.09</v>
      </c>
      <c r="J13" s="14">
        <v>0.12</v>
      </c>
      <c r="K13" s="14">
        <v>0.11</v>
      </c>
      <c r="L13" s="14">
        <v>0.15</v>
      </c>
      <c r="M13" s="14">
        <v>7.0000000000000007E-2</v>
      </c>
      <c r="N13" s="14">
        <v>0.21</v>
      </c>
      <c r="O13" s="14">
        <v>0.2</v>
      </c>
      <c r="P13" s="14">
        <v>0.13</v>
      </c>
      <c r="Q13" s="14">
        <v>0.16</v>
      </c>
      <c r="R13" s="14">
        <v>0.08</v>
      </c>
      <c r="S13" s="14">
        <v>7.0000000000000007E-2</v>
      </c>
      <c r="T13" s="14">
        <v>0.08</v>
      </c>
      <c r="U13" s="14">
        <v>0.13</v>
      </c>
      <c r="V13" s="14">
        <v>0.1</v>
      </c>
      <c r="W13" s="14">
        <v>0.15</v>
      </c>
      <c r="X13" s="14">
        <v>0.19</v>
      </c>
      <c r="Y13" s="14">
        <v>0.16</v>
      </c>
      <c r="Z13" s="14">
        <v>0.12</v>
      </c>
      <c r="AA13" s="14">
        <v>0.2</v>
      </c>
      <c r="AB13" s="14">
        <v>0.1</v>
      </c>
      <c r="AC13" s="14">
        <v>0.11</v>
      </c>
      <c r="AD13" s="14">
        <v>0.09</v>
      </c>
      <c r="AE13" s="14">
        <v>0.13</v>
      </c>
      <c r="AF13" s="14">
        <v>0.16</v>
      </c>
    </row>
    <row r="14" spans="1:32">
      <c r="A14" s="19"/>
      <c r="B14" s="11" t="s">
        <v>444</v>
      </c>
      <c r="C14" s="12">
        <v>2840</v>
      </c>
      <c r="D14" s="12">
        <v>114</v>
      </c>
      <c r="E14" s="12">
        <v>95</v>
      </c>
      <c r="F14" s="12">
        <v>43</v>
      </c>
      <c r="G14" s="12">
        <v>76</v>
      </c>
      <c r="H14" s="12">
        <v>102</v>
      </c>
      <c r="I14" s="12">
        <v>130</v>
      </c>
      <c r="J14" s="12">
        <v>28</v>
      </c>
      <c r="K14" s="12">
        <v>83</v>
      </c>
      <c r="L14" s="12">
        <v>107</v>
      </c>
      <c r="M14" s="12">
        <v>111</v>
      </c>
      <c r="N14" s="12">
        <v>104</v>
      </c>
      <c r="O14" s="12">
        <v>128</v>
      </c>
      <c r="P14" s="12">
        <v>110</v>
      </c>
      <c r="Q14" s="12">
        <v>126</v>
      </c>
      <c r="R14" s="12">
        <v>38</v>
      </c>
      <c r="S14" s="12">
        <v>74</v>
      </c>
      <c r="T14" s="12">
        <v>94</v>
      </c>
      <c r="U14" s="12">
        <v>62</v>
      </c>
      <c r="V14" s="12">
        <v>150</v>
      </c>
      <c r="W14" s="12">
        <v>71</v>
      </c>
      <c r="X14" s="12">
        <v>108</v>
      </c>
      <c r="Y14" s="12">
        <v>104</v>
      </c>
      <c r="Z14" s="12">
        <v>120</v>
      </c>
      <c r="AA14" s="12">
        <v>155</v>
      </c>
      <c r="AB14" s="12">
        <v>137</v>
      </c>
      <c r="AC14" s="12">
        <v>44</v>
      </c>
      <c r="AD14" s="12">
        <v>60</v>
      </c>
      <c r="AE14" s="12">
        <v>114</v>
      </c>
      <c r="AF14" s="12">
        <v>75</v>
      </c>
    </row>
    <row r="15" spans="1:32">
      <c r="A15" s="19"/>
      <c r="B15" s="13" t="s">
        <v>445</v>
      </c>
      <c r="C15" s="14">
        <v>0.11</v>
      </c>
      <c r="D15" s="14">
        <v>0.11</v>
      </c>
      <c r="E15" s="14">
        <v>0.09</v>
      </c>
      <c r="F15" s="14">
        <v>0.04</v>
      </c>
      <c r="G15" s="14">
        <v>7.0000000000000007E-2</v>
      </c>
      <c r="H15" s="14">
        <v>0.08</v>
      </c>
      <c r="I15" s="14">
        <v>0.09</v>
      </c>
      <c r="J15" s="14">
        <v>0.1</v>
      </c>
      <c r="K15" s="14">
        <v>0.08</v>
      </c>
      <c r="L15" s="14">
        <v>0.11</v>
      </c>
      <c r="M15" s="14">
        <v>0.11</v>
      </c>
      <c r="N15" s="14">
        <v>0.1</v>
      </c>
      <c r="O15" s="14">
        <v>0.13</v>
      </c>
      <c r="P15" s="14">
        <v>0.11</v>
      </c>
      <c r="Q15" s="14">
        <v>0.12</v>
      </c>
      <c r="R15" s="14">
        <v>0.08</v>
      </c>
      <c r="S15" s="14">
        <v>7.0000000000000007E-2</v>
      </c>
      <c r="T15" s="14">
        <v>0.09</v>
      </c>
      <c r="U15" s="14">
        <v>0.12</v>
      </c>
      <c r="V15" s="14">
        <v>0.15</v>
      </c>
      <c r="W15" s="14">
        <v>0.14000000000000001</v>
      </c>
      <c r="X15" s="14">
        <v>0.11</v>
      </c>
      <c r="Y15" s="14">
        <v>0.1</v>
      </c>
      <c r="Z15" s="14">
        <v>0.12</v>
      </c>
      <c r="AA15" s="14">
        <v>0.15</v>
      </c>
      <c r="AB15" s="14">
        <v>0.13</v>
      </c>
      <c r="AC15" s="14">
        <v>0.04</v>
      </c>
      <c r="AD15" s="14">
        <v>0.06</v>
      </c>
      <c r="AE15" s="14">
        <v>0.11</v>
      </c>
      <c r="AF15" s="14">
        <v>7.0000000000000007E-2</v>
      </c>
    </row>
    <row r="16" spans="1:32">
      <c r="A16" s="19"/>
      <c r="B16" s="11" t="s">
        <v>446</v>
      </c>
      <c r="C16" s="12">
        <v>3775</v>
      </c>
      <c r="D16" s="12">
        <v>143</v>
      </c>
      <c r="E16" s="12">
        <v>150</v>
      </c>
      <c r="F16" s="12">
        <v>89</v>
      </c>
      <c r="G16" s="12">
        <v>140</v>
      </c>
      <c r="H16" s="12">
        <v>166</v>
      </c>
      <c r="I16" s="12">
        <v>213</v>
      </c>
      <c r="J16" s="12">
        <v>46</v>
      </c>
      <c r="K16" s="12">
        <v>147</v>
      </c>
      <c r="L16" s="12">
        <v>133</v>
      </c>
      <c r="M16" s="12">
        <v>80</v>
      </c>
      <c r="N16" s="12">
        <v>166</v>
      </c>
      <c r="O16" s="12">
        <v>166</v>
      </c>
      <c r="P16" s="12">
        <v>164</v>
      </c>
      <c r="Q16" s="12">
        <v>142</v>
      </c>
      <c r="R16" s="12">
        <v>25</v>
      </c>
      <c r="S16" s="12">
        <v>53</v>
      </c>
      <c r="T16" s="12">
        <v>125</v>
      </c>
      <c r="U16" s="12">
        <v>74</v>
      </c>
      <c r="V16" s="12">
        <v>153</v>
      </c>
      <c r="W16" s="12">
        <v>72</v>
      </c>
      <c r="X16" s="12">
        <v>188</v>
      </c>
      <c r="Y16" s="12">
        <v>133</v>
      </c>
      <c r="Z16" s="12">
        <v>139</v>
      </c>
      <c r="AA16" s="12">
        <v>104</v>
      </c>
      <c r="AB16" s="12">
        <v>117</v>
      </c>
      <c r="AC16" s="12">
        <v>240</v>
      </c>
      <c r="AD16" s="12">
        <v>180</v>
      </c>
      <c r="AE16" s="12">
        <v>119</v>
      </c>
      <c r="AF16" s="12">
        <v>134</v>
      </c>
    </row>
    <row r="17" spans="1:32">
      <c r="A17" s="19"/>
      <c r="B17" s="13" t="s">
        <v>447</v>
      </c>
      <c r="C17" s="14">
        <v>0.14000000000000001</v>
      </c>
      <c r="D17" s="14">
        <v>0.14000000000000001</v>
      </c>
      <c r="E17" s="14">
        <v>0.14000000000000001</v>
      </c>
      <c r="F17" s="14">
        <v>0.08</v>
      </c>
      <c r="G17" s="14">
        <v>0.14000000000000001</v>
      </c>
      <c r="H17" s="14">
        <v>0.14000000000000001</v>
      </c>
      <c r="I17" s="14">
        <v>0.14000000000000001</v>
      </c>
      <c r="J17" s="14">
        <v>0.16</v>
      </c>
      <c r="K17" s="14">
        <v>0.15</v>
      </c>
      <c r="L17" s="14">
        <v>0.13</v>
      </c>
      <c r="M17" s="14">
        <v>0.08</v>
      </c>
      <c r="N17" s="14">
        <v>0.16</v>
      </c>
      <c r="O17" s="14">
        <v>0.17</v>
      </c>
      <c r="P17" s="14">
        <v>0.16</v>
      </c>
      <c r="Q17" s="14">
        <v>0.14000000000000001</v>
      </c>
      <c r="R17" s="14">
        <v>0.05</v>
      </c>
      <c r="S17" s="14">
        <v>0.05</v>
      </c>
      <c r="T17" s="14">
        <v>0.12</v>
      </c>
      <c r="U17" s="14">
        <v>0.15</v>
      </c>
      <c r="V17" s="14">
        <v>0.15</v>
      </c>
      <c r="W17" s="14">
        <v>0.14000000000000001</v>
      </c>
      <c r="X17" s="14">
        <v>0.19</v>
      </c>
      <c r="Y17" s="14">
        <v>0.13</v>
      </c>
      <c r="Z17" s="14">
        <v>0.14000000000000001</v>
      </c>
      <c r="AA17" s="14">
        <v>0.1</v>
      </c>
      <c r="AB17" s="14">
        <v>0.11</v>
      </c>
      <c r="AC17" s="14">
        <v>0.24</v>
      </c>
      <c r="AD17" s="14">
        <v>0.18</v>
      </c>
      <c r="AE17" s="14">
        <v>0.12</v>
      </c>
      <c r="AF17" s="14">
        <v>0.13</v>
      </c>
    </row>
    <row r="18" spans="1:32">
      <c r="A18" s="19"/>
      <c r="B18" s="11" t="s">
        <v>448</v>
      </c>
      <c r="C18" s="12">
        <v>4556</v>
      </c>
      <c r="D18" s="12">
        <v>178</v>
      </c>
      <c r="E18" s="12">
        <v>209</v>
      </c>
      <c r="F18" s="12">
        <v>209</v>
      </c>
      <c r="G18" s="12">
        <v>152</v>
      </c>
      <c r="H18" s="12">
        <v>182</v>
      </c>
      <c r="I18" s="12">
        <v>225</v>
      </c>
      <c r="J18" s="12">
        <v>43</v>
      </c>
      <c r="K18" s="12">
        <v>117</v>
      </c>
      <c r="L18" s="12">
        <v>139</v>
      </c>
      <c r="M18" s="12">
        <v>213</v>
      </c>
      <c r="N18" s="12">
        <v>155</v>
      </c>
      <c r="O18" s="12">
        <v>153</v>
      </c>
      <c r="P18" s="12">
        <v>191</v>
      </c>
      <c r="Q18" s="12">
        <v>207</v>
      </c>
      <c r="R18" s="12">
        <v>96</v>
      </c>
      <c r="S18" s="12">
        <v>97</v>
      </c>
      <c r="T18" s="12">
        <v>167</v>
      </c>
      <c r="U18" s="12">
        <v>86</v>
      </c>
      <c r="V18" s="12">
        <v>168</v>
      </c>
      <c r="W18" s="12">
        <v>62</v>
      </c>
      <c r="X18" s="12">
        <v>193</v>
      </c>
      <c r="Y18" s="12">
        <v>131</v>
      </c>
      <c r="Z18" s="12">
        <v>197</v>
      </c>
      <c r="AA18" s="12">
        <v>279</v>
      </c>
      <c r="AB18" s="12">
        <v>208</v>
      </c>
      <c r="AC18" s="12">
        <v>187</v>
      </c>
      <c r="AD18" s="12">
        <v>255</v>
      </c>
      <c r="AE18" s="12">
        <v>152</v>
      </c>
      <c r="AF18" s="12">
        <v>140</v>
      </c>
    </row>
    <row r="19" spans="1:32">
      <c r="A19" s="19"/>
      <c r="B19" s="13" t="s">
        <v>449</v>
      </c>
      <c r="C19" s="14">
        <v>0.17</v>
      </c>
      <c r="D19" s="14">
        <v>0.17</v>
      </c>
      <c r="E19" s="14">
        <v>0.2</v>
      </c>
      <c r="F19" s="14">
        <v>0.2</v>
      </c>
      <c r="G19" s="14">
        <v>0.15</v>
      </c>
      <c r="H19" s="14">
        <v>0.15</v>
      </c>
      <c r="I19" s="14">
        <v>0.15</v>
      </c>
      <c r="J19" s="14">
        <v>0.15</v>
      </c>
      <c r="K19" s="14">
        <v>0.12</v>
      </c>
      <c r="L19" s="14">
        <v>0.14000000000000001</v>
      </c>
      <c r="M19" s="14">
        <v>0.21</v>
      </c>
      <c r="N19" s="14">
        <v>0.15</v>
      </c>
      <c r="O19" s="14">
        <v>0.15</v>
      </c>
      <c r="P19" s="14">
        <v>0.19</v>
      </c>
      <c r="Q19" s="14">
        <v>0.2</v>
      </c>
      <c r="R19" s="14">
        <v>0.19</v>
      </c>
      <c r="S19" s="14">
        <v>0.1</v>
      </c>
      <c r="T19" s="14">
        <v>0.16</v>
      </c>
      <c r="U19" s="14">
        <v>0.17</v>
      </c>
      <c r="V19" s="14">
        <v>0.16</v>
      </c>
      <c r="W19" s="14">
        <v>0.12</v>
      </c>
      <c r="X19" s="14">
        <v>0.19</v>
      </c>
      <c r="Y19" s="14">
        <v>0.13</v>
      </c>
      <c r="Z19" s="14">
        <v>0.19</v>
      </c>
      <c r="AA19" s="14">
        <v>0.27</v>
      </c>
      <c r="AB19" s="14">
        <v>0.2</v>
      </c>
      <c r="AC19" s="14">
        <v>0.19</v>
      </c>
      <c r="AD19" s="14">
        <v>0.25</v>
      </c>
      <c r="AE19" s="14">
        <v>0.15</v>
      </c>
      <c r="AF19" s="14">
        <v>0.14000000000000001</v>
      </c>
    </row>
    <row r="20" spans="1:32">
      <c r="A20" s="19"/>
      <c r="B20" s="11" t="s">
        <v>450</v>
      </c>
      <c r="C20" s="12">
        <v>2601</v>
      </c>
      <c r="D20" s="12">
        <v>93</v>
      </c>
      <c r="E20" s="12">
        <v>120</v>
      </c>
      <c r="F20" s="12">
        <v>92</v>
      </c>
      <c r="G20" s="12">
        <v>85</v>
      </c>
      <c r="H20" s="12">
        <v>84</v>
      </c>
      <c r="I20" s="12">
        <v>103</v>
      </c>
      <c r="J20" s="12">
        <v>19</v>
      </c>
      <c r="K20" s="12">
        <v>50</v>
      </c>
      <c r="L20" s="12">
        <v>115</v>
      </c>
      <c r="M20" s="12">
        <v>121</v>
      </c>
      <c r="N20" s="12">
        <v>107</v>
      </c>
      <c r="O20" s="12">
        <v>68</v>
      </c>
      <c r="P20" s="12">
        <v>169</v>
      </c>
      <c r="Q20" s="12">
        <v>135</v>
      </c>
      <c r="R20" s="12">
        <v>63</v>
      </c>
      <c r="S20" s="12">
        <v>54</v>
      </c>
      <c r="T20" s="12">
        <v>64</v>
      </c>
      <c r="U20" s="12">
        <v>52</v>
      </c>
      <c r="V20" s="12">
        <v>106</v>
      </c>
      <c r="W20" s="12">
        <v>49</v>
      </c>
      <c r="X20" s="12">
        <v>85</v>
      </c>
      <c r="Y20" s="12">
        <v>81</v>
      </c>
      <c r="Z20" s="12">
        <v>149</v>
      </c>
      <c r="AA20" s="12">
        <v>138</v>
      </c>
      <c r="AB20" s="12">
        <v>143</v>
      </c>
      <c r="AC20" s="12">
        <v>96</v>
      </c>
      <c r="AD20" s="12">
        <v>74</v>
      </c>
      <c r="AE20" s="12">
        <v>52</v>
      </c>
      <c r="AF20" s="12">
        <v>100</v>
      </c>
    </row>
    <row r="21" spans="1:32">
      <c r="A21" s="19"/>
      <c r="B21" s="13" t="s">
        <v>451</v>
      </c>
      <c r="C21" s="14">
        <v>0.1</v>
      </c>
      <c r="D21" s="14">
        <v>0.09</v>
      </c>
      <c r="E21" s="14">
        <v>0.11</v>
      </c>
      <c r="F21" s="14">
        <v>0.09</v>
      </c>
      <c r="G21" s="14">
        <v>0.08</v>
      </c>
      <c r="H21" s="14">
        <v>7.0000000000000007E-2</v>
      </c>
      <c r="I21" s="14">
        <v>7.0000000000000007E-2</v>
      </c>
      <c r="J21" s="14">
        <v>0.06</v>
      </c>
      <c r="K21" s="14">
        <v>0.05</v>
      </c>
      <c r="L21" s="14">
        <v>0.11</v>
      </c>
      <c r="M21" s="14">
        <v>0.12</v>
      </c>
      <c r="N21" s="14">
        <v>0.11</v>
      </c>
      <c r="O21" s="14">
        <v>7.0000000000000007E-2</v>
      </c>
      <c r="P21" s="14">
        <v>0.17</v>
      </c>
      <c r="Q21" s="14">
        <v>0.13</v>
      </c>
      <c r="R21" s="14">
        <v>0.13</v>
      </c>
      <c r="S21" s="14">
        <v>0.05</v>
      </c>
      <c r="T21" s="14">
        <v>0.06</v>
      </c>
      <c r="U21" s="14">
        <v>0.1</v>
      </c>
      <c r="V21" s="14">
        <v>0.1</v>
      </c>
      <c r="W21" s="14">
        <v>0.1</v>
      </c>
      <c r="X21" s="14">
        <v>0.08</v>
      </c>
      <c r="Y21" s="14">
        <v>0.08</v>
      </c>
      <c r="Z21" s="14">
        <v>0.15</v>
      </c>
      <c r="AA21" s="14">
        <v>0.13</v>
      </c>
      <c r="AB21" s="14">
        <v>0.14000000000000001</v>
      </c>
      <c r="AC21" s="14">
        <v>0.1</v>
      </c>
      <c r="AD21" s="14">
        <v>7.0000000000000007E-2</v>
      </c>
      <c r="AE21" s="14">
        <v>0.05</v>
      </c>
      <c r="AF21" s="14">
        <v>0.1</v>
      </c>
    </row>
    <row r="22" spans="1:32">
      <c r="A22" s="19"/>
      <c r="B22" s="11" t="s">
        <v>452</v>
      </c>
      <c r="C22" s="12">
        <v>5857</v>
      </c>
      <c r="D22" s="12">
        <v>218</v>
      </c>
      <c r="E22" s="12">
        <v>191</v>
      </c>
      <c r="F22" s="12">
        <v>218</v>
      </c>
      <c r="G22" s="12">
        <v>291</v>
      </c>
      <c r="H22" s="12">
        <v>244</v>
      </c>
      <c r="I22" s="12">
        <v>308</v>
      </c>
      <c r="J22" s="12">
        <v>64</v>
      </c>
      <c r="K22" s="12">
        <v>206</v>
      </c>
      <c r="L22" s="12">
        <v>245</v>
      </c>
      <c r="M22" s="12">
        <v>253</v>
      </c>
      <c r="N22" s="12">
        <v>224</v>
      </c>
      <c r="O22" s="12">
        <v>207</v>
      </c>
      <c r="P22" s="12">
        <v>190</v>
      </c>
      <c r="Q22" s="12">
        <v>221</v>
      </c>
      <c r="R22" s="12">
        <v>146</v>
      </c>
      <c r="S22" s="12">
        <v>252</v>
      </c>
      <c r="T22" s="12">
        <v>242</v>
      </c>
      <c r="U22" s="12">
        <v>123</v>
      </c>
      <c r="V22" s="12">
        <v>259</v>
      </c>
      <c r="W22" s="12">
        <v>113</v>
      </c>
      <c r="X22" s="12">
        <v>290</v>
      </c>
      <c r="Y22" s="12">
        <v>245</v>
      </c>
      <c r="Z22" s="12">
        <v>180</v>
      </c>
      <c r="AA22" s="12">
        <v>309</v>
      </c>
      <c r="AB22" s="12">
        <v>229</v>
      </c>
      <c r="AC22" s="12">
        <v>252</v>
      </c>
      <c r="AD22" s="12">
        <v>263</v>
      </c>
      <c r="AE22" s="12">
        <v>248</v>
      </c>
      <c r="AF22" s="12">
        <v>373</v>
      </c>
    </row>
    <row r="23" spans="1:32">
      <c r="A23" s="19"/>
      <c r="B23" s="13" t="s">
        <v>453</v>
      </c>
      <c r="C23" s="14">
        <v>0.22</v>
      </c>
      <c r="D23" s="14">
        <v>0.21</v>
      </c>
      <c r="E23" s="14">
        <v>0.18</v>
      </c>
      <c r="F23" s="14">
        <v>0.2</v>
      </c>
      <c r="G23" s="14">
        <v>0.28999999999999998</v>
      </c>
      <c r="H23" s="14">
        <v>0.2</v>
      </c>
      <c r="I23" s="14">
        <v>0.2</v>
      </c>
      <c r="J23" s="14">
        <v>0.22</v>
      </c>
      <c r="K23" s="14">
        <v>0.2</v>
      </c>
      <c r="L23" s="14">
        <v>0.24</v>
      </c>
      <c r="M23" s="14">
        <v>0.25</v>
      </c>
      <c r="N23" s="14">
        <v>0.22</v>
      </c>
      <c r="O23" s="14">
        <v>0.21</v>
      </c>
      <c r="P23" s="14">
        <v>0.19</v>
      </c>
      <c r="Q23" s="14">
        <v>0.21</v>
      </c>
      <c r="R23" s="14">
        <v>0.28999999999999998</v>
      </c>
      <c r="S23" s="14">
        <v>0.25</v>
      </c>
      <c r="T23" s="14">
        <v>0.24</v>
      </c>
      <c r="U23" s="14">
        <v>0.24</v>
      </c>
      <c r="V23" s="14">
        <v>0.25</v>
      </c>
      <c r="W23" s="14">
        <v>0.22</v>
      </c>
      <c r="X23" s="14">
        <v>0.28999999999999998</v>
      </c>
      <c r="Y23" s="14">
        <v>0.24</v>
      </c>
      <c r="Z23" s="14">
        <v>0.18</v>
      </c>
      <c r="AA23" s="14">
        <v>0.3</v>
      </c>
      <c r="AB23" s="14">
        <v>0.22</v>
      </c>
      <c r="AC23" s="14">
        <v>0.25</v>
      </c>
      <c r="AD23" s="14">
        <v>0.26</v>
      </c>
      <c r="AE23" s="14">
        <v>0.25</v>
      </c>
      <c r="AF23" s="14">
        <v>0.36</v>
      </c>
    </row>
    <row r="24" spans="1:32">
      <c r="A24" s="19"/>
      <c r="B24" s="11" t="s">
        <v>454</v>
      </c>
      <c r="C24" s="12">
        <v>1623</v>
      </c>
      <c r="D24" s="12">
        <v>67</v>
      </c>
      <c r="E24" s="12">
        <v>78</v>
      </c>
      <c r="F24" s="12">
        <v>38</v>
      </c>
      <c r="G24" s="12">
        <v>69</v>
      </c>
      <c r="H24" s="12">
        <v>30</v>
      </c>
      <c r="I24" s="12">
        <v>37</v>
      </c>
      <c r="J24" s="12">
        <v>7</v>
      </c>
      <c r="K24" s="12">
        <v>97</v>
      </c>
      <c r="L24" s="12">
        <v>107</v>
      </c>
      <c r="M24" s="12">
        <v>44</v>
      </c>
      <c r="N24" s="12">
        <v>44</v>
      </c>
      <c r="O24" s="12">
        <v>77</v>
      </c>
      <c r="P24" s="12">
        <v>84</v>
      </c>
      <c r="Q24" s="12">
        <v>88</v>
      </c>
      <c r="R24" s="12">
        <v>48</v>
      </c>
      <c r="S24" s="12">
        <v>39</v>
      </c>
      <c r="T24" s="12">
        <v>41</v>
      </c>
      <c r="U24" s="12">
        <v>27</v>
      </c>
      <c r="V24" s="12">
        <v>71</v>
      </c>
      <c r="W24" s="12">
        <v>48</v>
      </c>
      <c r="X24" s="12">
        <v>42</v>
      </c>
      <c r="Y24" s="12">
        <v>56</v>
      </c>
      <c r="Z24" s="12">
        <v>83</v>
      </c>
      <c r="AA24" s="12">
        <v>33</v>
      </c>
      <c r="AB24" s="12">
        <v>163</v>
      </c>
      <c r="AC24" s="12">
        <v>57</v>
      </c>
      <c r="AD24" s="12">
        <v>55</v>
      </c>
      <c r="AE24" s="12">
        <v>56</v>
      </c>
      <c r="AF24" s="12">
        <v>31</v>
      </c>
    </row>
    <row r="25" spans="1:32">
      <c r="A25" s="19"/>
      <c r="B25" s="13" t="s">
        <v>455</v>
      </c>
      <c r="C25" s="14">
        <v>0.06</v>
      </c>
      <c r="D25" s="14">
        <v>7.0000000000000007E-2</v>
      </c>
      <c r="E25" s="14">
        <v>7.0000000000000007E-2</v>
      </c>
      <c r="F25" s="14">
        <v>0.04</v>
      </c>
      <c r="G25" s="14">
        <v>7.0000000000000007E-2</v>
      </c>
      <c r="H25" s="14">
        <v>0.02</v>
      </c>
      <c r="I25" s="14">
        <v>0.02</v>
      </c>
      <c r="J25" s="14">
        <v>0.02</v>
      </c>
      <c r="K25" s="14">
        <v>0.1</v>
      </c>
      <c r="L25" s="14">
        <v>0.11</v>
      </c>
      <c r="M25" s="14">
        <v>0.04</v>
      </c>
      <c r="N25" s="14">
        <v>0.04</v>
      </c>
      <c r="O25" s="14">
        <v>0.08</v>
      </c>
      <c r="P25" s="14">
        <v>0.08</v>
      </c>
      <c r="Q25" s="14">
        <v>0.09</v>
      </c>
      <c r="R25" s="14">
        <v>0.1</v>
      </c>
      <c r="S25" s="14">
        <v>0.04</v>
      </c>
      <c r="T25" s="14">
        <v>0.04</v>
      </c>
      <c r="U25" s="14">
        <v>0.05</v>
      </c>
      <c r="V25" s="14">
        <v>7.0000000000000007E-2</v>
      </c>
      <c r="W25" s="14">
        <v>0.1</v>
      </c>
      <c r="X25" s="14">
        <v>0.04</v>
      </c>
      <c r="Y25" s="14">
        <v>0.06</v>
      </c>
      <c r="Z25" s="14">
        <v>0.08</v>
      </c>
      <c r="AA25" s="14">
        <v>0.03</v>
      </c>
      <c r="AB25" s="14">
        <v>0.16</v>
      </c>
      <c r="AC25" s="14">
        <v>0.06</v>
      </c>
      <c r="AD25" s="14">
        <v>0.05</v>
      </c>
      <c r="AE25" s="14">
        <v>0.06</v>
      </c>
      <c r="AF25" s="14">
        <v>0.03</v>
      </c>
    </row>
    <row r="26" spans="1:32">
      <c r="A26" s="19"/>
      <c r="B26" s="11" t="s">
        <v>456</v>
      </c>
      <c r="C26" s="12">
        <v>3659</v>
      </c>
      <c r="D26" s="12">
        <v>131</v>
      </c>
      <c r="E26" s="12">
        <v>338</v>
      </c>
      <c r="F26" s="12">
        <v>237</v>
      </c>
      <c r="G26" s="12">
        <v>128</v>
      </c>
      <c r="H26" s="12">
        <v>116</v>
      </c>
      <c r="I26" s="12">
        <v>140</v>
      </c>
      <c r="J26" s="12">
        <v>24</v>
      </c>
      <c r="K26" s="12">
        <v>294</v>
      </c>
      <c r="L26" s="12">
        <v>204</v>
      </c>
      <c r="M26" s="12">
        <v>142</v>
      </c>
      <c r="N26" s="12">
        <v>97</v>
      </c>
      <c r="O26" s="12">
        <v>102</v>
      </c>
      <c r="P26" s="12">
        <v>201</v>
      </c>
      <c r="Q26" s="12">
        <v>196</v>
      </c>
      <c r="R26" s="12">
        <v>46</v>
      </c>
      <c r="S26" s="12">
        <v>123</v>
      </c>
      <c r="T26" s="12">
        <v>209</v>
      </c>
      <c r="U26" s="12">
        <v>101</v>
      </c>
      <c r="V26" s="12">
        <v>237</v>
      </c>
      <c r="W26" s="12">
        <v>77</v>
      </c>
      <c r="X26" s="12">
        <v>69</v>
      </c>
      <c r="Y26" s="12">
        <v>124</v>
      </c>
      <c r="Z26" s="12">
        <v>198</v>
      </c>
      <c r="AA26" s="12">
        <v>67</v>
      </c>
      <c r="AB26" s="12">
        <v>229</v>
      </c>
      <c r="AC26" s="12">
        <v>137</v>
      </c>
      <c r="AD26" s="12">
        <v>202</v>
      </c>
      <c r="AE26" s="12">
        <v>140</v>
      </c>
      <c r="AF26" s="12">
        <v>123</v>
      </c>
    </row>
    <row r="27" spans="1:32">
      <c r="A27" s="19"/>
      <c r="B27" s="13" t="s">
        <v>457</v>
      </c>
      <c r="C27" s="14">
        <v>0.14000000000000001</v>
      </c>
      <c r="D27" s="14">
        <v>0.13</v>
      </c>
      <c r="E27" s="14">
        <v>0.32</v>
      </c>
      <c r="F27" s="14">
        <v>0.22</v>
      </c>
      <c r="G27" s="14">
        <v>0.13</v>
      </c>
      <c r="H27" s="14">
        <v>0.09</v>
      </c>
      <c r="I27" s="14">
        <v>0.09</v>
      </c>
      <c r="J27" s="14">
        <v>0.08</v>
      </c>
      <c r="K27" s="14">
        <v>0.28999999999999998</v>
      </c>
      <c r="L27" s="14">
        <v>0.2</v>
      </c>
      <c r="M27" s="14">
        <v>0.14000000000000001</v>
      </c>
      <c r="N27" s="14">
        <v>0.1</v>
      </c>
      <c r="O27" s="14">
        <v>0.1</v>
      </c>
      <c r="P27" s="14">
        <v>0.2</v>
      </c>
      <c r="Q27" s="14">
        <v>0.19</v>
      </c>
      <c r="R27" s="14">
        <v>0.09</v>
      </c>
      <c r="S27" s="14">
        <v>0.12</v>
      </c>
      <c r="T27" s="14">
        <v>0.2</v>
      </c>
      <c r="U27" s="14">
        <v>0.2</v>
      </c>
      <c r="V27" s="14">
        <v>0.23</v>
      </c>
      <c r="W27" s="14">
        <v>0.15</v>
      </c>
      <c r="X27" s="14">
        <v>7.0000000000000007E-2</v>
      </c>
      <c r="Y27" s="14">
        <v>0.12</v>
      </c>
      <c r="Z27" s="14">
        <v>0.19</v>
      </c>
      <c r="AA27" s="14">
        <v>0.06</v>
      </c>
      <c r="AB27" s="14">
        <v>0.22</v>
      </c>
      <c r="AC27" s="14">
        <v>0.14000000000000001</v>
      </c>
      <c r="AD27" s="14">
        <v>0.2</v>
      </c>
      <c r="AE27" s="14">
        <v>0.14000000000000001</v>
      </c>
      <c r="AF27" s="14">
        <v>0.12</v>
      </c>
    </row>
    <row r="28" spans="1:32">
      <c r="A28" s="19"/>
      <c r="B28" s="11" t="s">
        <v>458</v>
      </c>
      <c r="C28" s="12">
        <v>6104</v>
      </c>
      <c r="D28" s="12">
        <v>257</v>
      </c>
      <c r="E28" s="12">
        <v>190</v>
      </c>
      <c r="F28" s="12">
        <v>288</v>
      </c>
      <c r="G28" s="12">
        <v>263</v>
      </c>
      <c r="H28" s="12">
        <v>361</v>
      </c>
      <c r="I28" s="12">
        <v>434</v>
      </c>
      <c r="J28" s="12">
        <v>74</v>
      </c>
      <c r="K28" s="12">
        <v>261</v>
      </c>
      <c r="L28" s="12">
        <v>232</v>
      </c>
      <c r="M28" s="12">
        <v>236</v>
      </c>
      <c r="N28" s="12">
        <v>205</v>
      </c>
      <c r="O28" s="12">
        <v>244</v>
      </c>
      <c r="P28" s="12">
        <v>240</v>
      </c>
      <c r="Q28" s="12">
        <v>221</v>
      </c>
      <c r="R28" s="12">
        <v>98</v>
      </c>
      <c r="S28" s="12">
        <v>311</v>
      </c>
      <c r="T28" s="12">
        <v>264</v>
      </c>
      <c r="U28" s="12">
        <v>123</v>
      </c>
      <c r="V28" s="12">
        <v>194</v>
      </c>
      <c r="W28" s="12">
        <v>88</v>
      </c>
      <c r="X28" s="12">
        <v>240</v>
      </c>
      <c r="Y28" s="12">
        <v>307</v>
      </c>
      <c r="Z28" s="12">
        <v>141</v>
      </c>
      <c r="AA28" s="12">
        <v>114</v>
      </c>
      <c r="AB28" s="12">
        <v>224</v>
      </c>
      <c r="AC28" s="12">
        <v>198</v>
      </c>
      <c r="AD28" s="12">
        <v>212</v>
      </c>
      <c r="AE28" s="12">
        <v>224</v>
      </c>
      <c r="AF28" s="12">
        <v>338</v>
      </c>
    </row>
    <row r="29" spans="1:32">
      <c r="A29" s="19"/>
      <c r="B29" s="13" t="s">
        <v>459</v>
      </c>
      <c r="C29" s="14">
        <v>0.23</v>
      </c>
      <c r="D29" s="14">
        <v>0.25</v>
      </c>
      <c r="E29" s="14">
        <v>0.18</v>
      </c>
      <c r="F29" s="14">
        <v>0.27</v>
      </c>
      <c r="G29" s="14">
        <v>0.26</v>
      </c>
      <c r="H29" s="14">
        <v>0.28999999999999998</v>
      </c>
      <c r="I29" s="14">
        <v>0.28000000000000003</v>
      </c>
      <c r="J29" s="14">
        <v>0.25</v>
      </c>
      <c r="K29" s="14">
        <v>0.26</v>
      </c>
      <c r="L29" s="14">
        <v>0.23</v>
      </c>
      <c r="M29" s="14">
        <v>0.23</v>
      </c>
      <c r="N29" s="14">
        <v>0.2</v>
      </c>
      <c r="O29" s="14">
        <v>0.24</v>
      </c>
      <c r="P29" s="14">
        <v>0.24</v>
      </c>
      <c r="Q29" s="14">
        <v>0.21</v>
      </c>
      <c r="R29" s="14">
        <v>0.2</v>
      </c>
      <c r="S29" s="14">
        <v>0.31</v>
      </c>
      <c r="T29" s="14">
        <v>0.26</v>
      </c>
      <c r="U29" s="14">
        <v>0.24</v>
      </c>
      <c r="V29" s="14">
        <v>0.19</v>
      </c>
      <c r="W29" s="14">
        <v>0.18</v>
      </c>
      <c r="X29" s="14">
        <v>0.24</v>
      </c>
      <c r="Y29" s="14">
        <v>0.31</v>
      </c>
      <c r="Z29" s="14">
        <v>0.14000000000000001</v>
      </c>
      <c r="AA29" s="14">
        <v>0.11</v>
      </c>
      <c r="AB29" s="14">
        <v>0.22</v>
      </c>
      <c r="AC29" s="14">
        <v>0.2</v>
      </c>
      <c r="AD29" s="14">
        <v>0.21</v>
      </c>
      <c r="AE29" s="14">
        <v>0.22</v>
      </c>
      <c r="AF29" s="14">
        <v>0.33</v>
      </c>
    </row>
    <row r="30" spans="1:32">
      <c r="A30" s="19"/>
      <c r="B30" s="11" t="s">
        <v>460</v>
      </c>
      <c r="C30" s="12">
        <v>3739</v>
      </c>
      <c r="D30" s="12">
        <v>122</v>
      </c>
      <c r="E30" s="12">
        <v>118</v>
      </c>
      <c r="F30" s="12">
        <v>130</v>
      </c>
      <c r="G30" s="12">
        <v>208</v>
      </c>
      <c r="H30" s="12">
        <v>145</v>
      </c>
      <c r="I30" s="12">
        <v>196</v>
      </c>
      <c r="J30" s="12">
        <v>51</v>
      </c>
      <c r="K30" s="12">
        <v>97</v>
      </c>
      <c r="L30" s="12">
        <v>141</v>
      </c>
      <c r="M30" s="12">
        <v>167</v>
      </c>
      <c r="N30" s="12">
        <v>174</v>
      </c>
      <c r="O30" s="12">
        <v>145</v>
      </c>
      <c r="P30" s="12">
        <v>155</v>
      </c>
      <c r="Q30" s="12">
        <v>157</v>
      </c>
      <c r="R30" s="12">
        <v>88</v>
      </c>
      <c r="S30" s="12">
        <v>90</v>
      </c>
      <c r="T30" s="12">
        <v>83</v>
      </c>
      <c r="U30" s="12">
        <v>52</v>
      </c>
      <c r="V30" s="12">
        <v>121</v>
      </c>
      <c r="W30" s="12">
        <v>76</v>
      </c>
      <c r="X30" s="12">
        <v>115</v>
      </c>
      <c r="Y30" s="12">
        <v>103</v>
      </c>
      <c r="Z30" s="12">
        <v>126</v>
      </c>
      <c r="AA30" s="12">
        <v>185</v>
      </c>
      <c r="AB30" s="12">
        <v>119</v>
      </c>
      <c r="AC30" s="12">
        <v>129</v>
      </c>
      <c r="AD30" s="12">
        <v>144</v>
      </c>
      <c r="AE30" s="12">
        <v>171</v>
      </c>
      <c r="AF30" s="12">
        <v>215</v>
      </c>
    </row>
    <row r="31" spans="1:32">
      <c r="A31" s="19"/>
      <c r="B31" s="13" t="s">
        <v>461</v>
      </c>
      <c r="C31" s="14">
        <v>0.14000000000000001</v>
      </c>
      <c r="D31" s="14">
        <v>0.12</v>
      </c>
      <c r="E31" s="14">
        <v>0.11</v>
      </c>
      <c r="F31" s="14">
        <v>0.12</v>
      </c>
      <c r="G31" s="14">
        <v>0.21</v>
      </c>
      <c r="H31" s="14">
        <v>0.12</v>
      </c>
      <c r="I31" s="14">
        <v>0.13</v>
      </c>
      <c r="J31" s="14">
        <v>0.17</v>
      </c>
      <c r="K31" s="14">
        <v>0.1</v>
      </c>
      <c r="L31" s="14">
        <v>0.14000000000000001</v>
      </c>
      <c r="M31" s="14">
        <v>0.17</v>
      </c>
      <c r="N31" s="14">
        <v>0.17</v>
      </c>
      <c r="O31" s="14">
        <v>0.14000000000000001</v>
      </c>
      <c r="P31" s="14">
        <v>0.15</v>
      </c>
      <c r="Q31" s="14">
        <v>0.15</v>
      </c>
      <c r="R31" s="14">
        <v>0.18</v>
      </c>
      <c r="S31" s="14">
        <v>0.09</v>
      </c>
      <c r="T31" s="14">
        <v>0.08</v>
      </c>
      <c r="U31" s="14">
        <v>0.1</v>
      </c>
      <c r="V31" s="14">
        <v>0.12</v>
      </c>
      <c r="W31" s="14">
        <v>0.15</v>
      </c>
      <c r="X31" s="14">
        <v>0.11</v>
      </c>
      <c r="Y31" s="14">
        <v>0.1</v>
      </c>
      <c r="Z31" s="14">
        <v>0.12</v>
      </c>
      <c r="AA31" s="14">
        <v>0.18</v>
      </c>
      <c r="AB31" s="14">
        <v>0.11</v>
      </c>
      <c r="AC31" s="14">
        <v>0.13</v>
      </c>
      <c r="AD31" s="14">
        <v>0.14000000000000001</v>
      </c>
      <c r="AE31" s="14">
        <v>0.17</v>
      </c>
      <c r="AF31" s="14">
        <v>0.21</v>
      </c>
    </row>
    <row r="32" spans="1:32">
      <c r="A32" s="19"/>
      <c r="B32" s="11" t="s">
        <v>462</v>
      </c>
      <c r="C32" s="12">
        <v>9232</v>
      </c>
      <c r="D32" s="12">
        <v>367</v>
      </c>
      <c r="E32" s="12">
        <v>213</v>
      </c>
      <c r="F32" s="12">
        <v>317</v>
      </c>
      <c r="G32" s="12">
        <v>477</v>
      </c>
      <c r="H32" s="12">
        <v>590</v>
      </c>
      <c r="I32" s="12">
        <v>709</v>
      </c>
      <c r="J32" s="12">
        <v>119</v>
      </c>
      <c r="K32" s="12">
        <v>145</v>
      </c>
      <c r="L32" s="12">
        <v>281</v>
      </c>
      <c r="M32" s="12">
        <v>374</v>
      </c>
      <c r="N32" s="12">
        <v>353</v>
      </c>
      <c r="O32" s="12">
        <v>322</v>
      </c>
      <c r="P32" s="12">
        <v>181</v>
      </c>
      <c r="Q32" s="12">
        <v>336</v>
      </c>
      <c r="R32" s="12">
        <v>199</v>
      </c>
      <c r="S32" s="12">
        <v>264</v>
      </c>
      <c r="T32" s="12">
        <v>227</v>
      </c>
      <c r="U32" s="12">
        <v>200</v>
      </c>
      <c r="V32" s="12">
        <v>334</v>
      </c>
      <c r="W32" s="12">
        <v>142</v>
      </c>
      <c r="X32" s="12">
        <v>392</v>
      </c>
      <c r="Y32" s="12">
        <v>360</v>
      </c>
      <c r="Z32" s="12">
        <v>250</v>
      </c>
      <c r="AA32" s="12">
        <v>315</v>
      </c>
      <c r="AB32" s="12">
        <v>258</v>
      </c>
      <c r="AC32" s="12">
        <v>204</v>
      </c>
      <c r="AD32" s="12">
        <v>221</v>
      </c>
      <c r="AE32" s="12">
        <v>408</v>
      </c>
      <c r="AF32" s="12">
        <v>567</v>
      </c>
    </row>
    <row r="33" spans="1:32">
      <c r="A33" s="19"/>
      <c r="B33" s="13" t="s">
        <v>463</v>
      </c>
      <c r="C33" s="14">
        <v>0.35</v>
      </c>
      <c r="D33" s="14">
        <v>0.36</v>
      </c>
      <c r="E33" s="14">
        <v>0.2</v>
      </c>
      <c r="F33" s="14">
        <v>0.3</v>
      </c>
      <c r="G33" s="14">
        <v>0.47</v>
      </c>
      <c r="H33" s="14">
        <v>0.48</v>
      </c>
      <c r="I33" s="14">
        <v>0.46</v>
      </c>
      <c r="J33" s="14">
        <v>0.4</v>
      </c>
      <c r="K33" s="14">
        <v>0.14000000000000001</v>
      </c>
      <c r="L33" s="14">
        <v>0.28000000000000003</v>
      </c>
      <c r="M33" s="14">
        <v>0.37</v>
      </c>
      <c r="N33" s="14">
        <v>0.35</v>
      </c>
      <c r="O33" s="14">
        <v>0.32</v>
      </c>
      <c r="P33" s="14">
        <v>0.18</v>
      </c>
      <c r="Q33" s="14">
        <v>0.33</v>
      </c>
      <c r="R33" s="14">
        <v>0.4</v>
      </c>
      <c r="S33" s="14">
        <v>0.26</v>
      </c>
      <c r="T33" s="14">
        <v>0.22</v>
      </c>
      <c r="U33" s="14">
        <v>0.39</v>
      </c>
      <c r="V33" s="14">
        <v>0.33</v>
      </c>
      <c r="W33" s="14">
        <v>0.28000000000000003</v>
      </c>
      <c r="X33" s="14">
        <v>0.39</v>
      </c>
      <c r="Y33" s="14">
        <v>0.36</v>
      </c>
      <c r="Z33" s="14">
        <v>0.25</v>
      </c>
      <c r="AA33" s="14">
        <v>0.3</v>
      </c>
      <c r="AB33" s="14">
        <v>0.25</v>
      </c>
      <c r="AC33" s="14">
        <v>0.2</v>
      </c>
      <c r="AD33" s="14">
        <v>0.22</v>
      </c>
      <c r="AE33" s="14">
        <v>0.41</v>
      </c>
      <c r="AF33" s="14">
        <v>0.55000000000000004</v>
      </c>
    </row>
    <row r="34" spans="1:32">
      <c r="A34" s="19"/>
      <c r="B34" s="11" t="s">
        <v>464</v>
      </c>
      <c r="C34" s="12">
        <v>5632</v>
      </c>
      <c r="D34" s="12">
        <v>226</v>
      </c>
      <c r="E34" s="12">
        <v>218</v>
      </c>
      <c r="F34" s="12">
        <v>190</v>
      </c>
      <c r="G34" s="12">
        <v>248</v>
      </c>
      <c r="H34" s="12">
        <v>340</v>
      </c>
      <c r="I34" s="12">
        <v>417</v>
      </c>
      <c r="J34" s="12">
        <v>77</v>
      </c>
      <c r="K34" s="12">
        <v>168</v>
      </c>
      <c r="L34" s="12">
        <v>226</v>
      </c>
      <c r="M34" s="12">
        <v>380</v>
      </c>
      <c r="N34" s="12">
        <v>223</v>
      </c>
      <c r="O34" s="12">
        <v>188</v>
      </c>
      <c r="P34" s="12">
        <v>201</v>
      </c>
      <c r="Q34" s="12">
        <v>148</v>
      </c>
      <c r="R34" s="12">
        <v>173</v>
      </c>
      <c r="S34" s="12">
        <v>266</v>
      </c>
      <c r="T34" s="12">
        <v>142</v>
      </c>
      <c r="U34" s="12">
        <v>91</v>
      </c>
      <c r="V34" s="12">
        <v>170</v>
      </c>
      <c r="W34" s="12">
        <v>146</v>
      </c>
      <c r="X34" s="12">
        <v>272</v>
      </c>
      <c r="Y34" s="12">
        <v>300</v>
      </c>
      <c r="Z34" s="12">
        <v>170</v>
      </c>
      <c r="AA34" s="12">
        <v>134</v>
      </c>
      <c r="AB34" s="12">
        <v>189</v>
      </c>
      <c r="AC34" s="12">
        <v>279</v>
      </c>
      <c r="AD34" s="12">
        <v>261</v>
      </c>
      <c r="AE34" s="12">
        <v>307</v>
      </c>
      <c r="AF34" s="12">
        <v>198</v>
      </c>
    </row>
    <row r="35" spans="1:32">
      <c r="A35" s="19"/>
      <c r="B35" s="13" t="s">
        <v>465</v>
      </c>
      <c r="C35" s="14">
        <v>0.21</v>
      </c>
      <c r="D35" s="14">
        <v>0.22</v>
      </c>
      <c r="E35" s="14">
        <v>0.21</v>
      </c>
      <c r="F35" s="14">
        <v>0.18</v>
      </c>
      <c r="G35" s="14">
        <v>0.24</v>
      </c>
      <c r="H35" s="14">
        <v>0.28000000000000003</v>
      </c>
      <c r="I35" s="14">
        <v>0.27</v>
      </c>
      <c r="J35" s="14">
        <v>0.26</v>
      </c>
      <c r="K35" s="14">
        <v>0.17</v>
      </c>
      <c r="L35" s="14">
        <v>0.22</v>
      </c>
      <c r="M35" s="14">
        <v>0.38</v>
      </c>
      <c r="N35" s="14">
        <v>0.22</v>
      </c>
      <c r="O35" s="14">
        <v>0.19</v>
      </c>
      <c r="P35" s="14">
        <v>0.2</v>
      </c>
      <c r="Q35" s="14">
        <v>0.14000000000000001</v>
      </c>
      <c r="R35" s="14">
        <v>0.35</v>
      </c>
      <c r="S35" s="14">
        <v>0.26</v>
      </c>
      <c r="T35" s="14">
        <v>0.14000000000000001</v>
      </c>
      <c r="U35" s="14">
        <v>0.18</v>
      </c>
      <c r="V35" s="14">
        <v>0.17</v>
      </c>
      <c r="W35" s="14">
        <v>0.28999999999999998</v>
      </c>
      <c r="X35" s="14">
        <v>0.27</v>
      </c>
      <c r="Y35" s="14">
        <v>0.3</v>
      </c>
      <c r="Z35" s="14">
        <v>0.17</v>
      </c>
      <c r="AA35" s="14">
        <v>0.13</v>
      </c>
      <c r="AB35" s="14">
        <v>0.18</v>
      </c>
      <c r="AC35" s="14">
        <v>0.28000000000000003</v>
      </c>
      <c r="AD35" s="14">
        <v>0.26</v>
      </c>
      <c r="AE35" s="14">
        <v>0.31</v>
      </c>
      <c r="AF35" s="14">
        <v>0.19</v>
      </c>
    </row>
    <row r="36" spans="1:32">
      <c r="A36" s="19"/>
      <c r="B36" s="11" t="s">
        <v>466</v>
      </c>
      <c r="C36" s="12">
        <v>3912</v>
      </c>
      <c r="D36" s="12">
        <v>146</v>
      </c>
      <c r="E36" s="12">
        <v>266</v>
      </c>
      <c r="F36" s="12">
        <v>236</v>
      </c>
      <c r="G36" s="12">
        <v>180</v>
      </c>
      <c r="H36" s="12">
        <v>119</v>
      </c>
      <c r="I36" s="12">
        <v>156</v>
      </c>
      <c r="J36" s="12">
        <v>37</v>
      </c>
      <c r="K36" s="12">
        <v>277</v>
      </c>
      <c r="L36" s="12">
        <v>144</v>
      </c>
      <c r="M36" s="12">
        <v>154</v>
      </c>
      <c r="N36" s="12">
        <v>104</v>
      </c>
      <c r="O36" s="12">
        <v>135</v>
      </c>
      <c r="P36" s="12">
        <v>193</v>
      </c>
      <c r="Q36" s="12">
        <v>178</v>
      </c>
      <c r="R36" s="12">
        <v>54</v>
      </c>
      <c r="S36" s="12">
        <v>174</v>
      </c>
      <c r="T36" s="12">
        <v>187</v>
      </c>
      <c r="U36" s="12">
        <v>99</v>
      </c>
      <c r="V36" s="12">
        <v>176</v>
      </c>
      <c r="W36" s="12">
        <v>73</v>
      </c>
      <c r="X36" s="12">
        <v>162</v>
      </c>
      <c r="Y36" s="12">
        <v>138</v>
      </c>
      <c r="Z36" s="12">
        <v>188</v>
      </c>
      <c r="AA36" s="12">
        <v>213</v>
      </c>
      <c r="AB36" s="12">
        <v>239</v>
      </c>
      <c r="AC36" s="12">
        <v>156</v>
      </c>
      <c r="AD36" s="12">
        <v>198</v>
      </c>
      <c r="AE36" s="12">
        <v>105</v>
      </c>
      <c r="AF36" s="12">
        <v>93</v>
      </c>
    </row>
    <row r="37" spans="1:32">
      <c r="A37" s="19"/>
      <c r="B37" s="13" t="s">
        <v>467</v>
      </c>
      <c r="C37" s="14">
        <v>0.15</v>
      </c>
      <c r="D37" s="14">
        <v>0.14000000000000001</v>
      </c>
      <c r="E37" s="14">
        <v>0.25</v>
      </c>
      <c r="F37" s="14">
        <v>0.22</v>
      </c>
      <c r="G37" s="14">
        <v>0.18</v>
      </c>
      <c r="H37" s="14">
        <v>0.1</v>
      </c>
      <c r="I37" s="14">
        <v>0.1</v>
      </c>
      <c r="J37" s="14">
        <v>0.12</v>
      </c>
      <c r="K37" s="14">
        <v>0.27</v>
      </c>
      <c r="L37" s="14">
        <v>0.14000000000000001</v>
      </c>
      <c r="M37" s="14">
        <v>0.15</v>
      </c>
      <c r="N37" s="14">
        <v>0.1</v>
      </c>
      <c r="O37" s="14">
        <v>0.13</v>
      </c>
      <c r="P37" s="14">
        <v>0.19</v>
      </c>
      <c r="Q37" s="14">
        <v>0.17</v>
      </c>
      <c r="R37" s="14">
        <v>0.11</v>
      </c>
      <c r="S37" s="14">
        <v>0.17</v>
      </c>
      <c r="T37" s="14">
        <v>0.18</v>
      </c>
      <c r="U37" s="14">
        <v>0.2</v>
      </c>
      <c r="V37" s="14">
        <v>0.17</v>
      </c>
      <c r="W37" s="14">
        <v>0.15</v>
      </c>
      <c r="X37" s="14">
        <v>0.16</v>
      </c>
      <c r="Y37" s="14">
        <v>0.14000000000000001</v>
      </c>
      <c r="Z37" s="14">
        <v>0.19</v>
      </c>
      <c r="AA37" s="14">
        <v>0.21</v>
      </c>
      <c r="AB37" s="14">
        <v>0.23</v>
      </c>
      <c r="AC37" s="14">
        <v>0.16</v>
      </c>
      <c r="AD37" s="14">
        <v>0.2</v>
      </c>
      <c r="AE37" s="14">
        <v>0.11</v>
      </c>
      <c r="AF37" s="14">
        <v>0.09</v>
      </c>
    </row>
    <row r="38" spans="1:32">
      <c r="A38" s="19"/>
      <c r="B38" s="11" t="s">
        <v>468</v>
      </c>
      <c r="C38" s="12">
        <v>1397</v>
      </c>
      <c r="D38" s="12">
        <v>41</v>
      </c>
      <c r="E38" s="12">
        <v>42</v>
      </c>
      <c r="F38" s="12">
        <v>30</v>
      </c>
      <c r="G38" s="12">
        <v>43</v>
      </c>
      <c r="H38" s="12">
        <v>64</v>
      </c>
      <c r="I38" s="12">
        <v>75</v>
      </c>
      <c r="J38" s="12">
        <v>11</v>
      </c>
      <c r="K38" s="12">
        <v>42</v>
      </c>
      <c r="L38" s="12">
        <v>60</v>
      </c>
      <c r="M38" s="12">
        <v>29</v>
      </c>
      <c r="N38" s="12">
        <v>49</v>
      </c>
      <c r="O38" s="12">
        <v>53</v>
      </c>
      <c r="P38" s="12">
        <v>38</v>
      </c>
      <c r="Q38" s="12">
        <v>64</v>
      </c>
      <c r="R38" s="12">
        <v>8</v>
      </c>
      <c r="S38" s="12">
        <v>16</v>
      </c>
      <c r="T38" s="12">
        <v>35</v>
      </c>
      <c r="U38" s="12">
        <v>27</v>
      </c>
      <c r="V38" s="12">
        <v>85</v>
      </c>
      <c r="W38" s="12">
        <v>44</v>
      </c>
      <c r="X38" s="12">
        <v>49</v>
      </c>
      <c r="Y38" s="12">
        <v>66</v>
      </c>
      <c r="Z38" s="12">
        <v>77</v>
      </c>
      <c r="AA38" s="12">
        <v>32</v>
      </c>
      <c r="AB38" s="12">
        <v>72</v>
      </c>
      <c r="AC38" s="12">
        <v>20</v>
      </c>
      <c r="AD38" s="12">
        <v>26</v>
      </c>
      <c r="AE38" s="12">
        <v>17</v>
      </c>
      <c r="AF38" s="12">
        <v>67</v>
      </c>
    </row>
    <row r="39" spans="1:32">
      <c r="A39" s="19"/>
      <c r="B39" s="13" t="s">
        <v>469</v>
      </c>
      <c r="C39" s="14">
        <v>0.05</v>
      </c>
      <c r="D39" s="14">
        <v>0.04</v>
      </c>
      <c r="E39" s="14">
        <v>0.04</v>
      </c>
      <c r="F39" s="14">
        <v>0.03</v>
      </c>
      <c r="G39" s="14">
        <v>0.04</v>
      </c>
      <c r="H39" s="14">
        <v>0.05</v>
      </c>
      <c r="I39" s="14">
        <v>0.05</v>
      </c>
      <c r="J39" s="14">
        <v>0.04</v>
      </c>
      <c r="K39" s="14">
        <v>0.04</v>
      </c>
      <c r="L39" s="14">
        <v>0.06</v>
      </c>
      <c r="M39" s="14">
        <v>0.03</v>
      </c>
      <c r="N39" s="14">
        <v>0.05</v>
      </c>
      <c r="O39" s="14">
        <v>0.05</v>
      </c>
      <c r="P39" s="14">
        <v>0.04</v>
      </c>
      <c r="Q39" s="14">
        <v>0.06</v>
      </c>
      <c r="R39" s="14">
        <v>0.02</v>
      </c>
      <c r="S39" s="14">
        <v>0.02</v>
      </c>
      <c r="T39" s="14">
        <v>0.03</v>
      </c>
      <c r="U39" s="14">
        <v>0.05</v>
      </c>
      <c r="V39" s="14">
        <v>0.08</v>
      </c>
      <c r="W39" s="14">
        <v>0.09</v>
      </c>
      <c r="X39" s="14">
        <v>0.05</v>
      </c>
      <c r="Y39" s="14">
        <v>7.0000000000000007E-2</v>
      </c>
      <c r="Z39" s="14">
        <v>0.08</v>
      </c>
      <c r="AA39" s="14">
        <v>0.03</v>
      </c>
      <c r="AB39" s="14">
        <v>7.0000000000000007E-2</v>
      </c>
      <c r="AC39" s="14">
        <v>0.02</v>
      </c>
      <c r="AD39" s="14">
        <v>0.03</v>
      </c>
      <c r="AE39" s="14">
        <v>0.02</v>
      </c>
      <c r="AF39" s="14">
        <v>7.0000000000000007E-2</v>
      </c>
    </row>
    <row r="40" spans="1:32">
      <c r="A40" s="19"/>
      <c r="B40" s="11" t="s">
        <v>470</v>
      </c>
      <c r="C40" s="12">
        <v>13634</v>
      </c>
      <c r="D40" s="12">
        <v>485</v>
      </c>
      <c r="E40" s="12">
        <v>551</v>
      </c>
      <c r="F40" s="12">
        <v>589</v>
      </c>
      <c r="G40" s="12">
        <v>439</v>
      </c>
      <c r="H40" s="12">
        <v>774</v>
      </c>
      <c r="I40" s="12">
        <v>973</v>
      </c>
      <c r="J40" s="12">
        <v>199</v>
      </c>
      <c r="K40" s="12">
        <v>587</v>
      </c>
      <c r="L40" s="12">
        <v>440</v>
      </c>
      <c r="M40" s="12">
        <v>599</v>
      </c>
      <c r="N40" s="12">
        <v>415</v>
      </c>
      <c r="O40" s="12">
        <v>509</v>
      </c>
      <c r="P40" s="12">
        <v>550</v>
      </c>
      <c r="Q40" s="12">
        <v>531</v>
      </c>
      <c r="R40" s="12">
        <v>242</v>
      </c>
      <c r="S40" s="12">
        <v>610</v>
      </c>
      <c r="T40" s="12">
        <v>669</v>
      </c>
      <c r="U40" s="12">
        <v>247</v>
      </c>
      <c r="V40" s="12">
        <v>504</v>
      </c>
      <c r="W40" s="12">
        <v>227</v>
      </c>
      <c r="X40" s="12">
        <v>433</v>
      </c>
      <c r="Y40" s="12">
        <v>537</v>
      </c>
      <c r="Z40" s="12">
        <v>498</v>
      </c>
      <c r="AA40" s="12">
        <v>587</v>
      </c>
      <c r="AB40" s="12">
        <v>404</v>
      </c>
      <c r="AC40" s="12">
        <v>588</v>
      </c>
      <c r="AD40" s="12">
        <v>554</v>
      </c>
      <c r="AE40" s="12">
        <v>557</v>
      </c>
      <c r="AF40" s="12">
        <v>394</v>
      </c>
    </row>
    <row r="41" spans="1:32">
      <c r="A41" s="19"/>
      <c r="B41" s="13" t="s">
        <v>471</v>
      </c>
      <c r="C41" s="14">
        <v>0.52</v>
      </c>
      <c r="D41" s="14">
        <v>0.48</v>
      </c>
      <c r="E41" s="14">
        <v>0.53</v>
      </c>
      <c r="F41" s="14">
        <v>0.55000000000000004</v>
      </c>
      <c r="G41" s="14">
        <v>0.43</v>
      </c>
      <c r="H41" s="14">
        <v>0.63</v>
      </c>
      <c r="I41" s="14">
        <v>0.64</v>
      </c>
      <c r="J41" s="14">
        <v>0.67</v>
      </c>
      <c r="K41" s="14">
        <v>0.57999999999999996</v>
      </c>
      <c r="L41" s="14">
        <v>0.44</v>
      </c>
      <c r="M41" s="14">
        <v>0.6</v>
      </c>
      <c r="N41" s="14">
        <v>0.41</v>
      </c>
      <c r="O41" s="14">
        <v>0.51</v>
      </c>
      <c r="P41" s="14">
        <v>0.55000000000000004</v>
      </c>
      <c r="Q41" s="14">
        <v>0.52</v>
      </c>
      <c r="R41" s="14">
        <v>0.48</v>
      </c>
      <c r="S41" s="14">
        <v>0.61</v>
      </c>
      <c r="T41" s="14">
        <v>0.65</v>
      </c>
      <c r="U41" s="14">
        <v>0.49</v>
      </c>
      <c r="V41" s="14">
        <v>0.49</v>
      </c>
      <c r="W41" s="14">
        <v>0.45</v>
      </c>
      <c r="X41" s="14">
        <v>0.43</v>
      </c>
      <c r="Y41" s="14">
        <v>0.54</v>
      </c>
      <c r="Z41" s="14">
        <v>0.49</v>
      </c>
      <c r="AA41" s="14">
        <v>0.57000000000000006</v>
      </c>
      <c r="AB41" s="14">
        <v>0.39</v>
      </c>
      <c r="AC41" s="14">
        <v>0.59</v>
      </c>
      <c r="AD41" s="14">
        <v>0.55000000000000004</v>
      </c>
      <c r="AE41" s="14">
        <v>0.56000000000000005</v>
      </c>
      <c r="AF41" s="14">
        <v>0.38</v>
      </c>
    </row>
    <row r="42" spans="1:32">
      <c r="A42" s="19"/>
      <c r="B42" s="11" t="s">
        <v>436</v>
      </c>
      <c r="C42" s="12">
        <v>122</v>
      </c>
      <c r="D42" s="12">
        <v>1</v>
      </c>
      <c r="E42" s="12">
        <v>7</v>
      </c>
      <c r="F42" s="12">
        <v>4</v>
      </c>
      <c r="G42" s="12">
        <v>3</v>
      </c>
      <c r="H42" s="12">
        <v>4</v>
      </c>
      <c r="I42" s="12">
        <v>4</v>
      </c>
      <c r="J42" s="12">
        <v>0</v>
      </c>
      <c r="K42" s="12">
        <v>31</v>
      </c>
      <c r="L42" s="12">
        <v>5</v>
      </c>
      <c r="M42" s="12">
        <v>4</v>
      </c>
      <c r="N42" s="12">
        <v>9</v>
      </c>
      <c r="O42" s="12">
        <v>6</v>
      </c>
      <c r="P42" s="12">
        <v>3</v>
      </c>
      <c r="Q42" s="12">
        <v>1</v>
      </c>
      <c r="R42" s="12">
        <v>0</v>
      </c>
      <c r="S42" s="12">
        <v>11</v>
      </c>
      <c r="T42" s="12">
        <v>6</v>
      </c>
      <c r="U42" s="12">
        <v>1</v>
      </c>
      <c r="V42" s="12">
        <v>0</v>
      </c>
      <c r="W42" s="12">
        <v>2</v>
      </c>
      <c r="X42" s="12">
        <v>4</v>
      </c>
      <c r="Y42" s="12">
        <v>44</v>
      </c>
      <c r="Z42" s="12">
        <v>1</v>
      </c>
      <c r="AA42" s="12">
        <v>2</v>
      </c>
      <c r="AB42" s="12">
        <v>7</v>
      </c>
      <c r="AC42" s="12">
        <v>2</v>
      </c>
      <c r="AD42" s="12">
        <v>0</v>
      </c>
      <c r="AE42" s="12">
        <v>3</v>
      </c>
      <c r="AF42" s="12">
        <v>5</v>
      </c>
    </row>
    <row r="43" spans="1:32">
      <c r="A43" s="19"/>
      <c r="B43" s="13" t="s">
        <v>437</v>
      </c>
      <c r="C43" s="15" t="s">
        <v>375</v>
      </c>
      <c r="D43" s="15" t="s">
        <v>375</v>
      </c>
      <c r="E43" s="14">
        <v>0.01</v>
      </c>
      <c r="F43" s="15" t="s">
        <v>375</v>
      </c>
      <c r="G43" s="15" t="s">
        <v>375</v>
      </c>
      <c r="H43" s="15" t="s">
        <v>375</v>
      </c>
      <c r="I43" s="15" t="s">
        <v>375</v>
      </c>
      <c r="J43" s="15" t="s">
        <v>375</v>
      </c>
      <c r="K43" s="14">
        <v>0.03</v>
      </c>
      <c r="L43" s="15" t="s">
        <v>375</v>
      </c>
      <c r="M43" s="15" t="s">
        <v>375</v>
      </c>
      <c r="N43" s="14">
        <v>0.01</v>
      </c>
      <c r="O43" s="14">
        <v>0.01</v>
      </c>
      <c r="P43" s="15" t="s">
        <v>375</v>
      </c>
      <c r="Q43" s="15" t="s">
        <v>375</v>
      </c>
      <c r="R43" s="15" t="s">
        <v>375</v>
      </c>
      <c r="S43" s="14">
        <v>0.01</v>
      </c>
      <c r="T43" s="14">
        <v>0.01</v>
      </c>
      <c r="U43" s="15" t="s">
        <v>375</v>
      </c>
      <c r="V43" s="15" t="s">
        <v>375</v>
      </c>
      <c r="W43" s="15" t="s">
        <v>375</v>
      </c>
      <c r="X43" s="15" t="s">
        <v>375</v>
      </c>
      <c r="Y43" s="14">
        <v>0.04</v>
      </c>
      <c r="Z43" s="15" t="s">
        <v>375</v>
      </c>
      <c r="AA43" s="15" t="s">
        <v>375</v>
      </c>
      <c r="AB43" s="14">
        <v>0.01</v>
      </c>
      <c r="AC43" s="15" t="s">
        <v>375</v>
      </c>
      <c r="AD43" s="15" t="s">
        <v>375</v>
      </c>
      <c r="AE43" s="15" t="s">
        <v>375</v>
      </c>
      <c r="AF43" s="15" t="s">
        <v>375</v>
      </c>
    </row>
    <row r="44" spans="1:32">
      <c r="A44" s="19"/>
      <c r="B44" s="11" t="s">
        <v>438</v>
      </c>
      <c r="C44" s="12">
        <v>112</v>
      </c>
      <c r="D44" s="12">
        <v>6</v>
      </c>
      <c r="E44" s="12">
        <v>6</v>
      </c>
      <c r="F44" s="12">
        <v>13</v>
      </c>
      <c r="G44" s="12">
        <v>1</v>
      </c>
      <c r="H44" s="12">
        <v>7</v>
      </c>
      <c r="I44" s="12">
        <v>7</v>
      </c>
      <c r="J44" s="12">
        <v>0</v>
      </c>
      <c r="K44" s="12">
        <v>6</v>
      </c>
      <c r="L44" s="12">
        <v>1</v>
      </c>
      <c r="M44" s="12">
        <v>0</v>
      </c>
      <c r="N44" s="12">
        <v>3</v>
      </c>
      <c r="O44" s="12">
        <v>8</v>
      </c>
      <c r="P44" s="12">
        <v>0</v>
      </c>
      <c r="Q44" s="12">
        <v>3</v>
      </c>
      <c r="R44" s="12">
        <v>1</v>
      </c>
      <c r="S44" s="12">
        <v>5</v>
      </c>
      <c r="T44" s="12">
        <v>10</v>
      </c>
      <c r="U44" s="12">
        <v>0</v>
      </c>
      <c r="V44" s="12">
        <v>0</v>
      </c>
      <c r="W44" s="12">
        <v>2</v>
      </c>
      <c r="X44" s="12">
        <v>10</v>
      </c>
      <c r="Y44" s="12">
        <v>4</v>
      </c>
      <c r="Z44" s="12">
        <v>3</v>
      </c>
      <c r="AA44" s="12">
        <v>0</v>
      </c>
      <c r="AB44" s="12">
        <v>1</v>
      </c>
      <c r="AC44" s="12">
        <v>2</v>
      </c>
      <c r="AD44" s="12">
        <v>1</v>
      </c>
      <c r="AE44" s="12">
        <v>2</v>
      </c>
      <c r="AF44" s="12">
        <v>3</v>
      </c>
    </row>
    <row r="45" spans="1:32">
      <c r="A45" s="19"/>
      <c r="B45" s="13" t="s">
        <v>439</v>
      </c>
      <c r="C45" s="15" t="s">
        <v>375</v>
      </c>
      <c r="D45" s="14">
        <v>0.01</v>
      </c>
      <c r="E45" s="14">
        <v>0.01</v>
      </c>
      <c r="F45" s="14">
        <v>0.01</v>
      </c>
      <c r="G45" s="15" t="s">
        <v>375</v>
      </c>
      <c r="H45" s="14">
        <v>0.01</v>
      </c>
      <c r="I45" s="15" t="s">
        <v>375</v>
      </c>
      <c r="J45" s="15" t="s">
        <v>375</v>
      </c>
      <c r="K45" s="14">
        <v>0.01</v>
      </c>
      <c r="L45" s="15" t="s">
        <v>375</v>
      </c>
      <c r="M45" s="15" t="s">
        <v>375</v>
      </c>
      <c r="N45" s="15" t="s">
        <v>375</v>
      </c>
      <c r="O45" s="14">
        <v>0.01</v>
      </c>
      <c r="P45" s="15" t="s">
        <v>375</v>
      </c>
      <c r="Q45" s="15" t="s">
        <v>375</v>
      </c>
      <c r="R45" s="15" t="s">
        <v>375</v>
      </c>
      <c r="S45" s="14">
        <v>0.01</v>
      </c>
      <c r="T45" s="14">
        <v>0.01</v>
      </c>
      <c r="U45" s="15" t="s">
        <v>375</v>
      </c>
      <c r="V45" s="15" t="s">
        <v>375</v>
      </c>
      <c r="W45" s="15" t="s">
        <v>375</v>
      </c>
      <c r="X45" s="14">
        <v>0.01</v>
      </c>
      <c r="Y45" s="15" t="s">
        <v>375</v>
      </c>
      <c r="Z45" s="15" t="s">
        <v>375</v>
      </c>
      <c r="AA45" s="15" t="s">
        <v>375</v>
      </c>
      <c r="AB45" s="15" t="s">
        <v>375</v>
      </c>
      <c r="AC45" s="15" t="s">
        <v>375</v>
      </c>
      <c r="AD45" s="15" t="s">
        <v>375</v>
      </c>
      <c r="AE45" s="15" t="s">
        <v>375</v>
      </c>
      <c r="AF45" s="15" t="s">
        <v>375</v>
      </c>
    </row>
    <row r="46" spans="1:32">
      <c r="A46" s="19"/>
      <c r="B46" s="11" t="s">
        <v>386</v>
      </c>
      <c r="C46" s="12">
        <v>137</v>
      </c>
      <c r="D46" s="12">
        <v>0</v>
      </c>
      <c r="E46" s="12">
        <v>12</v>
      </c>
      <c r="F46" s="12">
        <v>16</v>
      </c>
      <c r="G46" s="12">
        <v>6</v>
      </c>
      <c r="H46" s="12">
        <v>2</v>
      </c>
      <c r="I46" s="12">
        <v>2</v>
      </c>
      <c r="J46" s="12">
        <v>0</v>
      </c>
      <c r="K46" s="12">
        <v>9</v>
      </c>
      <c r="L46" s="12">
        <v>7</v>
      </c>
      <c r="M46" s="12">
        <v>0</v>
      </c>
      <c r="N46" s="12">
        <v>11</v>
      </c>
      <c r="O46" s="12">
        <v>8</v>
      </c>
      <c r="P46" s="12">
        <v>2</v>
      </c>
      <c r="Q46" s="12">
        <v>6</v>
      </c>
      <c r="R46" s="12">
        <v>2</v>
      </c>
      <c r="S46" s="12">
        <v>10</v>
      </c>
      <c r="T46" s="12">
        <v>14</v>
      </c>
      <c r="U46" s="12">
        <v>0</v>
      </c>
      <c r="V46" s="12">
        <v>3</v>
      </c>
      <c r="W46" s="12">
        <v>3</v>
      </c>
      <c r="X46" s="12">
        <v>1</v>
      </c>
      <c r="Y46" s="12">
        <v>3</v>
      </c>
      <c r="Z46" s="12">
        <v>2</v>
      </c>
      <c r="AA46" s="12">
        <v>7</v>
      </c>
      <c r="AB46" s="12">
        <v>8</v>
      </c>
      <c r="AC46" s="12">
        <v>3</v>
      </c>
      <c r="AD46" s="12">
        <v>0</v>
      </c>
      <c r="AE46" s="12">
        <v>3</v>
      </c>
      <c r="AF46" s="12">
        <v>0</v>
      </c>
    </row>
    <row r="47" spans="1:32">
      <c r="A47" s="19"/>
      <c r="B47" s="13" t="s">
        <v>399</v>
      </c>
      <c r="C47" s="14">
        <v>0.01</v>
      </c>
      <c r="D47" s="15" t="s">
        <v>375</v>
      </c>
      <c r="E47" s="14">
        <v>0.01</v>
      </c>
      <c r="F47" s="14">
        <v>0.01</v>
      </c>
      <c r="G47" s="14">
        <v>0.01</v>
      </c>
      <c r="H47" s="15" t="s">
        <v>375</v>
      </c>
      <c r="I47" s="15" t="s">
        <v>375</v>
      </c>
      <c r="J47" s="15" t="s">
        <v>375</v>
      </c>
      <c r="K47" s="14">
        <v>0.01</v>
      </c>
      <c r="L47" s="14">
        <v>0.01</v>
      </c>
      <c r="M47" s="15" t="s">
        <v>375</v>
      </c>
      <c r="N47" s="14">
        <v>0.01</v>
      </c>
      <c r="O47" s="14">
        <v>0.01</v>
      </c>
      <c r="P47" s="15" t="s">
        <v>375</v>
      </c>
      <c r="Q47" s="14">
        <v>0.01</v>
      </c>
      <c r="R47" s="15" t="s">
        <v>375</v>
      </c>
      <c r="S47" s="14">
        <v>0.01</v>
      </c>
      <c r="T47" s="14">
        <v>0.01</v>
      </c>
      <c r="U47" s="15" t="s">
        <v>375</v>
      </c>
      <c r="V47" s="15" t="s">
        <v>375</v>
      </c>
      <c r="W47" s="14">
        <v>0.01</v>
      </c>
      <c r="X47" s="15" t="s">
        <v>375</v>
      </c>
      <c r="Y47" s="15" t="s">
        <v>375</v>
      </c>
      <c r="Z47" s="15" t="s">
        <v>375</v>
      </c>
      <c r="AA47" s="14">
        <v>0.01</v>
      </c>
      <c r="AB47" s="14">
        <v>0.01</v>
      </c>
      <c r="AC47" s="15" t="s">
        <v>375</v>
      </c>
      <c r="AD47" s="15" t="s">
        <v>375</v>
      </c>
      <c r="AE47" s="15" t="s">
        <v>375</v>
      </c>
      <c r="AF47" s="15" t="s">
        <v>375</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474</v>
      </c>
      <c r="C3" s="17"/>
      <c r="D3" s="17"/>
      <c r="E3" s="17"/>
      <c r="F3" s="17"/>
      <c r="H3" s="17" t="s">
        <v>475</v>
      </c>
      <c r="I3" s="17"/>
      <c r="J3" s="17"/>
      <c r="K3" s="17"/>
      <c r="L3" s="17"/>
    </row>
    <row r="4" spans="1:32" ht="27" customHeight="1">
      <c r="B4" s="17" t="s">
        <v>476</v>
      </c>
      <c r="C4" s="17"/>
      <c r="D4" s="17"/>
      <c r="E4" s="17"/>
      <c r="F4" s="17"/>
      <c r="H4" s="17" t="s">
        <v>477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478</v>
      </c>
      <c r="C12" s="12">
        <v>17477</v>
      </c>
      <c r="D12" s="12">
        <v>769</v>
      </c>
      <c r="E12" s="12">
        <v>562</v>
      </c>
      <c r="F12" s="12">
        <v>465</v>
      </c>
      <c r="G12" s="12">
        <v>789</v>
      </c>
      <c r="H12" s="12">
        <v>801</v>
      </c>
      <c r="I12" s="12">
        <v>962</v>
      </c>
      <c r="J12" s="12">
        <v>162</v>
      </c>
      <c r="K12" s="12">
        <v>592</v>
      </c>
      <c r="L12" s="12">
        <v>781</v>
      </c>
      <c r="M12" s="12">
        <v>785</v>
      </c>
      <c r="N12" s="12">
        <v>800</v>
      </c>
      <c r="O12" s="12">
        <v>703</v>
      </c>
      <c r="P12" s="12">
        <v>604</v>
      </c>
      <c r="Q12" s="12">
        <v>686</v>
      </c>
      <c r="R12" s="12">
        <v>452</v>
      </c>
      <c r="S12" s="12">
        <v>768</v>
      </c>
      <c r="T12" s="12">
        <v>779</v>
      </c>
      <c r="U12" s="12">
        <v>424</v>
      </c>
      <c r="V12" s="12">
        <v>621</v>
      </c>
      <c r="W12" s="12">
        <v>406</v>
      </c>
      <c r="X12" s="12">
        <v>764</v>
      </c>
      <c r="Y12" s="12">
        <v>517</v>
      </c>
      <c r="Z12" s="12">
        <v>459</v>
      </c>
      <c r="AA12" s="12">
        <v>795</v>
      </c>
      <c r="AB12" s="12">
        <v>496</v>
      </c>
      <c r="AC12" s="12">
        <v>797</v>
      </c>
      <c r="AD12" s="12">
        <v>713</v>
      </c>
      <c r="AE12" s="12">
        <v>731</v>
      </c>
      <c r="AF12" s="12">
        <v>817</v>
      </c>
    </row>
    <row r="13" spans="1:32">
      <c r="A13" s="19"/>
      <c r="B13" s="13" t="s">
        <v>479</v>
      </c>
      <c r="C13" s="14">
        <v>0.66</v>
      </c>
      <c r="D13" s="14">
        <v>0.75</v>
      </c>
      <c r="E13" s="14">
        <v>0.54</v>
      </c>
      <c r="F13" s="14">
        <v>0.44</v>
      </c>
      <c r="G13" s="14">
        <v>0.78</v>
      </c>
      <c r="H13" s="14">
        <v>0.65</v>
      </c>
      <c r="I13" s="14">
        <v>0.63</v>
      </c>
      <c r="J13" s="14">
        <v>0.54</v>
      </c>
      <c r="K13" s="14">
        <v>0.59</v>
      </c>
      <c r="L13" s="14">
        <v>0.78</v>
      </c>
      <c r="M13" s="14">
        <v>0.78</v>
      </c>
      <c r="N13" s="14">
        <v>0.79</v>
      </c>
      <c r="O13" s="14">
        <v>0.70000000000000007</v>
      </c>
      <c r="P13" s="14">
        <v>0.6</v>
      </c>
      <c r="Q13" s="14">
        <v>0.67</v>
      </c>
      <c r="R13" s="14">
        <v>0.9</v>
      </c>
      <c r="S13" s="14">
        <v>0.76</v>
      </c>
      <c r="T13" s="14">
        <v>0.76</v>
      </c>
      <c r="U13" s="14">
        <v>0.83000000000000007</v>
      </c>
      <c r="V13" s="14">
        <v>0.61</v>
      </c>
      <c r="W13" s="14">
        <v>0.81</v>
      </c>
      <c r="X13" s="14">
        <v>0.76</v>
      </c>
      <c r="Y13" s="14">
        <v>0.51</v>
      </c>
      <c r="Z13" s="14">
        <v>0.45</v>
      </c>
      <c r="AA13" s="14">
        <v>0.77</v>
      </c>
      <c r="AB13" s="14">
        <v>0.47</v>
      </c>
      <c r="AC13" s="14">
        <v>0.79</v>
      </c>
      <c r="AD13" s="14">
        <v>0.71</v>
      </c>
      <c r="AE13" s="14">
        <v>0.73</v>
      </c>
      <c r="AF13" s="14">
        <v>0.79</v>
      </c>
    </row>
    <row r="14" spans="1:32">
      <c r="A14" s="19"/>
      <c r="B14" s="11" t="s">
        <v>480</v>
      </c>
      <c r="C14" s="12">
        <v>2647</v>
      </c>
      <c r="D14" s="12">
        <v>106</v>
      </c>
      <c r="E14" s="12">
        <v>186</v>
      </c>
      <c r="F14" s="12">
        <v>229</v>
      </c>
      <c r="G14" s="12">
        <v>39</v>
      </c>
      <c r="H14" s="12">
        <v>98</v>
      </c>
      <c r="I14" s="12">
        <v>134</v>
      </c>
      <c r="J14" s="12">
        <v>36</v>
      </c>
      <c r="K14" s="12">
        <v>102</v>
      </c>
      <c r="L14" s="12">
        <v>53</v>
      </c>
      <c r="M14" s="12">
        <v>71</v>
      </c>
      <c r="N14" s="12">
        <v>44</v>
      </c>
      <c r="O14" s="12">
        <v>76</v>
      </c>
      <c r="P14" s="12">
        <v>184</v>
      </c>
      <c r="Q14" s="12">
        <v>104</v>
      </c>
      <c r="R14" s="12">
        <v>14</v>
      </c>
      <c r="S14" s="12">
        <v>62</v>
      </c>
      <c r="T14" s="12">
        <v>47</v>
      </c>
      <c r="U14" s="12">
        <v>23</v>
      </c>
      <c r="V14" s="12">
        <v>189</v>
      </c>
      <c r="W14" s="12">
        <v>33</v>
      </c>
      <c r="X14" s="12">
        <v>64</v>
      </c>
      <c r="Y14" s="12">
        <v>160</v>
      </c>
      <c r="Z14" s="12">
        <v>181</v>
      </c>
      <c r="AA14" s="12">
        <v>4</v>
      </c>
      <c r="AB14" s="12">
        <v>278</v>
      </c>
      <c r="AC14" s="12">
        <v>48</v>
      </c>
      <c r="AD14" s="12">
        <v>110</v>
      </c>
      <c r="AE14" s="12">
        <v>34</v>
      </c>
      <c r="AF14" s="12">
        <v>42</v>
      </c>
    </row>
    <row r="15" spans="1:32">
      <c r="A15" s="19"/>
      <c r="B15" s="13" t="s">
        <v>481</v>
      </c>
      <c r="C15" s="14">
        <v>0.1</v>
      </c>
      <c r="D15" s="14">
        <v>0.1</v>
      </c>
      <c r="E15" s="14">
        <v>0.18</v>
      </c>
      <c r="F15" s="14">
        <v>0.21</v>
      </c>
      <c r="G15" s="14">
        <v>0.04</v>
      </c>
      <c r="H15" s="14">
        <v>0.08</v>
      </c>
      <c r="I15" s="14">
        <v>0.09</v>
      </c>
      <c r="J15" s="14">
        <v>0.12</v>
      </c>
      <c r="K15" s="14">
        <v>0.1</v>
      </c>
      <c r="L15" s="14">
        <v>0.05</v>
      </c>
      <c r="M15" s="14">
        <v>7.0000000000000007E-2</v>
      </c>
      <c r="N15" s="14">
        <v>0.04</v>
      </c>
      <c r="O15" s="14">
        <v>0.08</v>
      </c>
      <c r="P15" s="14">
        <v>0.18</v>
      </c>
      <c r="Q15" s="14">
        <v>0.1</v>
      </c>
      <c r="R15" s="14">
        <v>0.03</v>
      </c>
      <c r="S15" s="14">
        <v>0.06</v>
      </c>
      <c r="T15" s="14">
        <v>0.05</v>
      </c>
      <c r="U15" s="14">
        <v>0.05</v>
      </c>
      <c r="V15" s="14">
        <v>0.18</v>
      </c>
      <c r="W15" s="14">
        <v>7.0000000000000007E-2</v>
      </c>
      <c r="X15" s="14">
        <v>0.06</v>
      </c>
      <c r="Y15" s="14">
        <v>0.16</v>
      </c>
      <c r="Z15" s="14">
        <v>0.18</v>
      </c>
      <c r="AA15" s="15" t="s">
        <v>375</v>
      </c>
      <c r="AB15" s="14">
        <v>0.27</v>
      </c>
      <c r="AC15" s="14">
        <v>0.05</v>
      </c>
      <c r="AD15" s="14">
        <v>0.11</v>
      </c>
      <c r="AE15" s="14">
        <v>0.03</v>
      </c>
      <c r="AF15" s="14">
        <v>0.04</v>
      </c>
    </row>
    <row r="16" spans="1:32">
      <c r="A16" s="19"/>
      <c r="B16" s="11" t="s">
        <v>482</v>
      </c>
      <c r="C16" s="12">
        <v>5851</v>
      </c>
      <c r="D16" s="12">
        <v>138</v>
      </c>
      <c r="E16" s="12">
        <v>279</v>
      </c>
      <c r="F16" s="12">
        <v>350</v>
      </c>
      <c r="G16" s="12">
        <v>165</v>
      </c>
      <c r="H16" s="12">
        <v>320</v>
      </c>
      <c r="I16" s="12">
        <v>418</v>
      </c>
      <c r="J16" s="12">
        <v>98</v>
      </c>
      <c r="K16" s="12">
        <v>280</v>
      </c>
      <c r="L16" s="12">
        <v>156</v>
      </c>
      <c r="M16" s="12">
        <v>136</v>
      </c>
      <c r="N16" s="12">
        <v>136</v>
      </c>
      <c r="O16" s="12">
        <v>201</v>
      </c>
      <c r="P16" s="12">
        <v>209</v>
      </c>
      <c r="Q16" s="12">
        <v>218</v>
      </c>
      <c r="R16" s="12">
        <v>32</v>
      </c>
      <c r="S16" s="12">
        <v>137</v>
      </c>
      <c r="T16" s="12">
        <v>162</v>
      </c>
      <c r="U16" s="12">
        <v>51</v>
      </c>
      <c r="V16" s="12">
        <v>206</v>
      </c>
      <c r="W16" s="12">
        <v>62</v>
      </c>
      <c r="X16" s="12">
        <v>177</v>
      </c>
      <c r="Y16" s="12">
        <v>317</v>
      </c>
      <c r="Z16" s="12">
        <v>368</v>
      </c>
      <c r="AA16" s="12">
        <v>197</v>
      </c>
      <c r="AB16" s="12">
        <v>228</v>
      </c>
      <c r="AC16" s="12">
        <v>154</v>
      </c>
      <c r="AD16" s="12">
        <v>176</v>
      </c>
      <c r="AE16" s="12">
        <v>222</v>
      </c>
      <c r="AF16" s="12">
        <v>168</v>
      </c>
    </row>
    <row r="17" spans="1:32">
      <c r="A17" s="19"/>
      <c r="B17" s="13" t="s">
        <v>483</v>
      </c>
      <c r="C17" s="14">
        <v>0.22</v>
      </c>
      <c r="D17" s="14">
        <v>0.14000000000000001</v>
      </c>
      <c r="E17" s="14">
        <v>0.26</v>
      </c>
      <c r="F17" s="14">
        <v>0.33</v>
      </c>
      <c r="G17" s="14">
        <v>0.16</v>
      </c>
      <c r="H17" s="14">
        <v>0.26</v>
      </c>
      <c r="I17" s="14">
        <v>0.27</v>
      </c>
      <c r="J17" s="14">
        <v>0.33</v>
      </c>
      <c r="K17" s="14">
        <v>0.28000000000000003</v>
      </c>
      <c r="L17" s="14">
        <v>0.15</v>
      </c>
      <c r="M17" s="14">
        <v>0.13</v>
      </c>
      <c r="N17" s="14">
        <v>0.14000000000000001</v>
      </c>
      <c r="O17" s="14">
        <v>0.2</v>
      </c>
      <c r="P17" s="14">
        <v>0.21</v>
      </c>
      <c r="Q17" s="14">
        <v>0.21</v>
      </c>
      <c r="R17" s="14">
        <v>0.06</v>
      </c>
      <c r="S17" s="14">
        <v>0.14000000000000001</v>
      </c>
      <c r="T17" s="14">
        <v>0.16</v>
      </c>
      <c r="U17" s="14">
        <v>0.1</v>
      </c>
      <c r="V17" s="14">
        <v>0.2</v>
      </c>
      <c r="W17" s="14">
        <v>0.12</v>
      </c>
      <c r="X17" s="14">
        <v>0.17</v>
      </c>
      <c r="Y17" s="14">
        <v>0.32</v>
      </c>
      <c r="Z17" s="14">
        <v>0.36</v>
      </c>
      <c r="AA17" s="14">
        <v>0.19</v>
      </c>
      <c r="AB17" s="14">
        <v>0.22</v>
      </c>
      <c r="AC17" s="14">
        <v>0.15</v>
      </c>
      <c r="AD17" s="14">
        <v>0.18</v>
      </c>
      <c r="AE17" s="14">
        <v>0.22</v>
      </c>
      <c r="AF17" s="14">
        <v>0.16</v>
      </c>
    </row>
    <row r="18" spans="1:32">
      <c r="A18" s="19"/>
      <c r="B18" s="11" t="s">
        <v>386</v>
      </c>
      <c r="C18" s="12">
        <v>478</v>
      </c>
      <c r="D18" s="12">
        <v>9</v>
      </c>
      <c r="E18" s="12">
        <v>18</v>
      </c>
      <c r="F18" s="12">
        <v>20</v>
      </c>
      <c r="G18" s="12">
        <v>23</v>
      </c>
      <c r="H18" s="12">
        <v>12</v>
      </c>
      <c r="I18" s="12">
        <v>14</v>
      </c>
      <c r="J18" s="12">
        <v>2</v>
      </c>
      <c r="K18" s="12">
        <v>32</v>
      </c>
      <c r="L18" s="12">
        <v>16</v>
      </c>
      <c r="M18" s="12">
        <v>15</v>
      </c>
      <c r="N18" s="12">
        <v>32</v>
      </c>
      <c r="O18" s="12">
        <v>24</v>
      </c>
      <c r="P18" s="12">
        <v>6</v>
      </c>
      <c r="Q18" s="12">
        <v>23</v>
      </c>
      <c r="R18" s="12">
        <v>3</v>
      </c>
      <c r="S18" s="12">
        <v>36</v>
      </c>
      <c r="T18" s="12">
        <v>36</v>
      </c>
      <c r="U18" s="12">
        <v>11</v>
      </c>
      <c r="V18" s="12">
        <v>10</v>
      </c>
      <c r="W18" s="12">
        <v>0</v>
      </c>
      <c r="X18" s="12">
        <v>5</v>
      </c>
      <c r="Y18" s="12">
        <v>9</v>
      </c>
      <c r="Z18" s="12">
        <v>8</v>
      </c>
      <c r="AA18" s="12">
        <v>40</v>
      </c>
      <c r="AB18" s="12">
        <v>39</v>
      </c>
      <c r="AC18" s="12">
        <v>6</v>
      </c>
      <c r="AD18" s="12">
        <v>4</v>
      </c>
      <c r="AE18" s="12">
        <v>14</v>
      </c>
      <c r="AF18" s="12">
        <v>4</v>
      </c>
    </row>
    <row r="19" spans="1:32">
      <c r="A19" s="19"/>
      <c r="B19" s="13" t="s">
        <v>399</v>
      </c>
      <c r="C19" s="14">
        <v>0.02</v>
      </c>
      <c r="D19" s="14">
        <v>0.01</v>
      </c>
      <c r="E19" s="14">
        <v>0.02</v>
      </c>
      <c r="F19" s="14">
        <v>0.02</v>
      </c>
      <c r="G19" s="14">
        <v>0.02</v>
      </c>
      <c r="H19" s="14">
        <v>0.01</v>
      </c>
      <c r="I19" s="14">
        <v>0.01</v>
      </c>
      <c r="J19" s="14">
        <v>0.01</v>
      </c>
      <c r="K19" s="14">
        <v>0.03</v>
      </c>
      <c r="L19" s="14">
        <v>0.02</v>
      </c>
      <c r="M19" s="14">
        <v>0.02</v>
      </c>
      <c r="N19" s="14">
        <v>0.03</v>
      </c>
      <c r="O19" s="14">
        <v>0.02</v>
      </c>
      <c r="P19" s="14">
        <v>0.01</v>
      </c>
      <c r="Q19" s="14">
        <v>0.02</v>
      </c>
      <c r="R19" s="14">
        <v>0.01</v>
      </c>
      <c r="S19" s="14">
        <v>0.04</v>
      </c>
      <c r="T19" s="14">
        <v>0.03</v>
      </c>
      <c r="U19" s="14">
        <v>0.02</v>
      </c>
      <c r="V19" s="14">
        <v>0.01</v>
      </c>
      <c r="W19" s="15" t="s">
        <v>375</v>
      </c>
      <c r="X19" s="14">
        <v>0.01</v>
      </c>
      <c r="Y19" s="14">
        <v>0.01</v>
      </c>
      <c r="Z19" s="14">
        <v>0.01</v>
      </c>
      <c r="AA19" s="14">
        <v>0.04</v>
      </c>
      <c r="AB19" s="14">
        <v>0.04</v>
      </c>
      <c r="AC19" s="14">
        <v>0.01</v>
      </c>
      <c r="AD19" s="15" t="s">
        <v>375</v>
      </c>
      <c r="AE19" s="14">
        <v>0.02</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484</v>
      </c>
      <c r="C3" s="17"/>
      <c r="D3" s="17"/>
      <c r="E3" s="17"/>
      <c r="F3" s="17"/>
      <c r="H3" s="17" t="s">
        <v>485</v>
      </c>
      <c r="I3" s="17"/>
      <c r="J3" s="17"/>
      <c r="K3" s="17"/>
      <c r="L3" s="17"/>
    </row>
    <row r="4" spans="1:32" ht="27" customHeight="1">
      <c r="B4" s="17" t="s">
        <v>486</v>
      </c>
      <c r="C4" s="17"/>
      <c r="D4" s="17"/>
      <c r="E4" s="17"/>
      <c r="F4" s="17"/>
      <c r="H4" s="17" t="s">
        <v>487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13004</v>
      </c>
      <c r="D12" s="12">
        <v>514</v>
      </c>
      <c r="E12" s="12">
        <v>409</v>
      </c>
      <c r="F12" s="12">
        <v>311</v>
      </c>
      <c r="G12" s="12">
        <v>792</v>
      </c>
      <c r="H12" s="12">
        <v>715</v>
      </c>
      <c r="I12" s="12">
        <v>867</v>
      </c>
      <c r="J12" s="12">
        <v>152</v>
      </c>
      <c r="K12" s="12">
        <v>415</v>
      </c>
      <c r="L12" s="12">
        <v>605</v>
      </c>
      <c r="M12" s="12">
        <v>518</v>
      </c>
      <c r="N12" s="12">
        <v>688</v>
      </c>
      <c r="O12" s="12">
        <v>514</v>
      </c>
      <c r="P12" s="12">
        <v>385</v>
      </c>
      <c r="Q12" s="12">
        <v>393</v>
      </c>
      <c r="R12" s="12">
        <v>407</v>
      </c>
      <c r="S12" s="12">
        <v>667</v>
      </c>
      <c r="T12" s="12">
        <v>598</v>
      </c>
      <c r="U12" s="12">
        <v>361</v>
      </c>
      <c r="V12" s="12">
        <v>352</v>
      </c>
      <c r="W12" s="12">
        <v>344</v>
      </c>
      <c r="X12" s="12">
        <v>567</v>
      </c>
      <c r="Y12" s="12">
        <v>436</v>
      </c>
      <c r="Z12" s="12">
        <v>293</v>
      </c>
      <c r="AA12" s="12">
        <v>402</v>
      </c>
      <c r="AB12" s="12">
        <v>300</v>
      </c>
      <c r="AC12" s="12">
        <v>613</v>
      </c>
      <c r="AD12" s="12">
        <v>577</v>
      </c>
      <c r="AE12" s="12">
        <v>521</v>
      </c>
      <c r="AF12" s="12">
        <v>638</v>
      </c>
    </row>
    <row r="13" spans="1:32">
      <c r="A13" s="19"/>
      <c r="B13" s="13" t="s">
        <v>489</v>
      </c>
      <c r="C13" s="14">
        <v>0.49</v>
      </c>
      <c r="D13" s="14">
        <v>0.5</v>
      </c>
      <c r="E13" s="14">
        <v>0.39</v>
      </c>
      <c r="F13" s="14">
        <v>0.28999999999999998</v>
      </c>
      <c r="G13" s="14">
        <v>0.78</v>
      </c>
      <c r="H13" s="14">
        <v>0.57999999999999996</v>
      </c>
      <c r="I13" s="14">
        <v>0.57000000000000006</v>
      </c>
      <c r="J13" s="14">
        <v>0.51</v>
      </c>
      <c r="K13" s="14">
        <v>0.41</v>
      </c>
      <c r="L13" s="14">
        <v>0.6</v>
      </c>
      <c r="M13" s="14">
        <v>0.51</v>
      </c>
      <c r="N13" s="14">
        <v>0.68</v>
      </c>
      <c r="O13" s="14">
        <v>0.51</v>
      </c>
      <c r="P13" s="14">
        <v>0.38</v>
      </c>
      <c r="Q13" s="14">
        <v>0.38</v>
      </c>
      <c r="R13" s="14">
        <v>0.81</v>
      </c>
      <c r="S13" s="14">
        <v>0.66</v>
      </c>
      <c r="T13" s="14">
        <v>0.59</v>
      </c>
      <c r="U13" s="14">
        <v>0.71</v>
      </c>
      <c r="V13" s="14">
        <v>0.34</v>
      </c>
      <c r="W13" s="14">
        <v>0.68</v>
      </c>
      <c r="X13" s="14">
        <v>0.56000000000000005</v>
      </c>
      <c r="Y13" s="14">
        <v>0.44</v>
      </c>
      <c r="Z13" s="14">
        <v>0.28999999999999998</v>
      </c>
      <c r="AA13" s="14">
        <v>0.39</v>
      </c>
      <c r="AB13" s="14">
        <v>0.28999999999999998</v>
      </c>
      <c r="AC13" s="14">
        <v>0.61</v>
      </c>
      <c r="AD13" s="14">
        <v>0.57000000000000006</v>
      </c>
      <c r="AE13" s="14">
        <v>0.52</v>
      </c>
      <c r="AF13" s="14">
        <v>0.62</v>
      </c>
    </row>
    <row r="14" spans="1:32">
      <c r="A14" s="19"/>
      <c r="B14" s="11" t="s">
        <v>490</v>
      </c>
      <c r="C14" s="12">
        <v>10661</v>
      </c>
      <c r="D14" s="12">
        <v>426</v>
      </c>
      <c r="E14" s="12">
        <v>428</v>
      </c>
      <c r="F14" s="12">
        <v>503</v>
      </c>
      <c r="G14" s="12">
        <v>195</v>
      </c>
      <c r="H14" s="12">
        <v>404</v>
      </c>
      <c r="I14" s="12">
        <v>502</v>
      </c>
      <c r="J14" s="12">
        <v>97</v>
      </c>
      <c r="K14" s="12">
        <v>477</v>
      </c>
      <c r="L14" s="12">
        <v>332</v>
      </c>
      <c r="M14" s="12">
        <v>421</v>
      </c>
      <c r="N14" s="12">
        <v>254</v>
      </c>
      <c r="O14" s="12">
        <v>393</v>
      </c>
      <c r="P14" s="12">
        <v>502</v>
      </c>
      <c r="Q14" s="12">
        <v>541</v>
      </c>
      <c r="R14" s="12">
        <v>69</v>
      </c>
      <c r="S14" s="12">
        <v>252</v>
      </c>
      <c r="T14" s="12">
        <v>357</v>
      </c>
      <c r="U14" s="12">
        <v>127</v>
      </c>
      <c r="V14" s="12">
        <v>523</v>
      </c>
      <c r="W14" s="12">
        <v>141</v>
      </c>
      <c r="X14" s="12">
        <v>363</v>
      </c>
      <c r="Y14" s="12">
        <v>419</v>
      </c>
      <c r="Z14" s="12">
        <v>571</v>
      </c>
      <c r="AA14" s="12">
        <v>588</v>
      </c>
      <c r="AB14" s="12">
        <v>491</v>
      </c>
      <c r="AC14" s="12">
        <v>324</v>
      </c>
      <c r="AD14" s="12">
        <v>348</v>
      </c>
      <c r="AE14" s="12">
        <v>394</v>
      </c>
      <c r="AF14" s="12">
        <v>346</v>
      </c>
    </row>
    <row r="15" spans="1:32">
      <c r="A15" s="19"/>
      <c r="B15" s="13" t="s">
        <v>491</v>
      </c>
      <c r="C15" s="14">
        <v>0.4</v>
      </c>
      <c r="D15" s="14">
        <v>0.42</v>
      </c>
      <c r="E15" s="14">
        <v>0.41</v>
      </c>
      <c r="F15" s="14">
        <v>0.47</v>
      </c>
      <c r="G15" s="14">
        <v>0.19</v>
      </c>
      <c r="H15" s="14">
        <v>0.33</v>
      </c>
      <c r="I15" s="14">
        <v>0.33</v>
      </c>
      <c r="J15" s="14">
        <v>0.33</v>
      </c>
      <c r="K15" s="14">
        <v>0.48</v>
      </c>
      <c r="L15" s="14">
        <v>0.33</v>
      </c>
      <c r="M15" s="14">
        <v>0.42</v>
      </c>
      <c r="N15" s="14">
        <v>0.25</v>
      </c>
      <c r="O15" s="14">
        <v>0.39</v>
      </c>
      <c r="P15" s="14">
        <v>0.5</v>
      </c>
      <c r="Q15" s="14">
        <v>0.53</v>
      </c>
      <c r="R15" s="14">
        <v>0.14000000000000001</v>
      </c>
      <c r="S15" s="14">
        <v>0.25</v>
      </c>
      <c r="T15" s="14">
        <v>0.35</v>
      </c>
      <c r="U15" s="14">
        <v>0.25</v>
      </c>
      <c r="V15" s="14">
        <v>0.51</v>
      </c>
      <c r="W15" s="14">
        <v>0.28000000000000003</v>
      </c>
      <c r="X15" s="14">
        <v>0.36</v>
      </c>
      <c r="Y15" s="14">
        <v>0.42</v>
      </c>
      <c r="Z15" s="14">
        <v>0.56000000000000005</v>
      </c>
      <c r="AA15" s="14">
        <v>0.57000000000000006</v>
      </c>
      <c r="AB15" s="14">
        <v>0.47</v>
      </c>
      <c r="AC15" s="14">
        <v>0.32</v>
      </c>
      <c r="AD15" s="14">
        <v>0.35</v>
      </c>
      <c r="AE15" s="14">
        <v>0.4</v>
      </c>
      <c r="AF15" s="14">
        <v>0.34</v>
      </c>
    </row>
    <row r="16" spans="1:32">
      <c r="A16" s="19"/>
      <c r="B16" s="11" t="s">
        <v>492</v>
      </c>
      <c r="C16" s="12">
        <v>1896</v>
      </c>
      <c r="D16" s="12">
        <v>58</v>
      </c>
      <c r="E16" s="12">
        <v>119</v>
      </c>
      <c r="F16" s="12">
        <v>192</v>
      </c>
      <c r="G16" s="12">
        <v>13</v>
      </c>
      <c r="H16" s="12">
        <v>82</v>
      </c>
      <c r="I16" s="12">
        <v>119</v>
      </c>
      <c r="J16" s="12">
        <v>37</v>
      </c>
      <c r="K16" s="12">
        <v>61</v>
      </c>
      <c r="L16" s="12">
        <v>29</v>
      </c>
      <c r="M16" s="12">
        <v>54</v>
      </c>
      <c r="N16" s="12">
        <v>38</v>
      </c>
      <c r="O16" s="12">
        <v>57</v>
      </c>
      <c r="P16" s="12">
        <v>90</v>
      </c>
      <c r="Q16" s="12">
        <v>65</v>
      </c>
      <c r="R16" s="12">
        <v>11</v>
      </c>
      <c r="S16" s="12">
        <v>47</v>
      </c>
      <c r="T16" s="12">
        <v>24</v>
      </c>
      <c r="U16" s="12">
        <v>10</v>
      </c>
      <c r="V16" s="12">
        <v>116</v>
      </c>
      <c r="W16" s="12">
        <v>12</v>
      </c>
      <c r="X16" s="12">
        <v>52</v>
      </c>
      <c r="Y16" s="12">
        <v>102</v>
      </c>
      <c r="Z16" s="12">
        <v>117</v>
      </c>
      <c r="AA16" s="12">
        <v>5</v>
      </c>
      <c r="AB16" s="12">
        <v>178</v>
      </c>
      <c r="AC16" s="12">
        <v>47</v>
      </c>
      <c r="AD16" s="12">
        <v>51</v>
      </c>
      <c r="AE16" s="12">
        <v>61</v>
      </c>
      <c r="AF16" s="12">
        <v>33</v>
      </c>
    </row>
    <row r="17" spans="1:32">
      <c r="A17" s="19"/>
      <c r="B17" s="13" t="s">
        <v>493</v>
      </c>
      <c r="C17" s="14">
        <v>7.0000000000000007E-2</v>
      </c>
      <c r="D17" s="14">
        <v>0.05</v>
      </c>
      <c r="E17" s="14">
        <v>0.12</v>
      </c>
      <c r="F17" s="14">
        <v>0.18</v>
      </c>
      <c r="G17" s="14">
        <v>0.01</v>
      </c>
      <c r="H17" s="14">
        <v>7.0000000000000007E-2</v>
      </c>
      <c r="I17" s="14">
        <v>0.08</v>
      </c>
      <c r="J17" s="14">
        <v>0.12</v>
      </c>
      <c r="K17" s="14">
        <v>0.06</v>
      </c>
      <c r="L17" s="14">
        <v>0.03</v>
      </c>
      <c r="M17" s="14">
        <v>0.05</v>
      </c>
      <c r="N17" s="14">
        <v>0.04</v>
      </c>
      <c r="O17" s="14">
        <v>0.06</v>
      </c>
      <c r="P17" s="14">
        <v>0.09</v>
      </c>
      <c r="Q17" s="14">
        <v>0.06</v>
      </c>
      <c r="R17" s="14">
        <v>0.02</v>
      </c>
      <c r="S17" s="14">
        <v>0.05</v>
      </c>
      <c r="T17" s="14">
        <v>0.02</v>
      </c>
      <c r="U17" s="14">
        <v>0.02</v>
      </c>
      <c r="V17" s="14">
        <v>0.11</v>
      </c>
      <c r="W17" s="14">
        <v>0.02</v>
      </c>
      <c r="X17" s="14">
        <v>0.05</v>
      </c>
      <c r="Y17" s="14">
        <v>0.1</v>
      </c>
      <c r="Z17" s="14">
        <v>0.11</v>
      </c>
      <c r="AA17" s="15" t="s">
        <v>375</v>
      </c>
      <c r="AB17" s="14">
        <v>0.17</v>
      </c>
      <c r="AC17" s="14">
        <v>0.05</v>
      </c>
      <c r="AD17" s="14">
        <v>0.05</v>
      </c>
      <c r="AE17" s="14">
        <v>0.06</v>
      </c>
      <c r="AF17" s="14">
        <v>0.03</v>
      </c>
    </row>
    <row r="18" spans="1:32">
      <c r="A18" s="19"/>
      <c r="B18" s="11" t="s">
        <v>494</v>
      </c>
      <c r="C18" s="12">
        <v>420</v>
      </c>
      <c r="D18" s="12">
        <v>17</v>
      </c>
      <c r="E18" s="12">
        <v>25</v>
      </c>
      <c r="F18" s="12">
        <v>29</v>
      </c>
      <c r="G18" s="12">
        <v>8</v>
      </c>
      <c r="H18" s="12">
        <v>14</v>
      </c>
      <c r="I18" s="12">
        <v>22</v>
      </c>
      <c r="J18" s="12">
        <v>8</v>
      </c>
      <c r="K18" s="12">
        <v>30</v>
      </c>
      <c r="L18" s="12">
        <v>15</v>
      </c>
      <c r="M18" s="12">
        <v>7</v>
      </c>
      <c r="N18" s="12">
        <v>13</v>
      </c>
      <c r="O18" s="12">
        <v>20</v>
      </c>
      <c r="P18" s="12">
        <v>16</v>
      </c>
      <c r="Q18" s="12">
        <v>14</v>
      </c>
      <c r="R18" s="12">
        <v>2</v>
      </c>
      <c r="S18" s="12">
        <v>14</v>
      </c>
      <c r="T18" s="12">
        <v>14</v>
      </c>
      <c r="U18" s="12">
        <v>4</v>
      </c>
      <c r="V18" s="12">
        <v>20</v>
      </c>
      <c r="W18" s="12">
        <v>2</v>
      </c>
      <c r="X18" s="12">
        <v>22</v>
      </c>
      <c r="Y18" s="12">
        <v>31</v>
      </c>
      <c r="Z18" s="12">
        <v>6</v>
      </c>
      <c r="AA18" s="12">
        <v>2</v>
      </c>
      <c r="AB18" s="12">
        <v>37</v>
      </c>
      <c r="AC18" s="12">
        <v>16</v>
      </c>
      <c r="AD18" s="12">
        <v>18</v>
      </c>
      <c r="AE18" s="12">
        <v>14</v>
      </c>
      <c r="AF18" s="12">
        <v>12</v>
      </c>
    </row>
    <row r="19" spans="1:32">
      <c r="A19" s="19"/>
      <c r="B19" s="13" t="s">
        <v>495</v>
      </c>
      <c r="C19" s="14">
        <v>0.02</v>
      </c>
      <c r="D19" s="14">
        <v>0.02</v>
      </c>
      <c r="E19" s="14">
        <v>0.02</v>
      </c>
      <c r="F19" s="14">
        <v>0.03</v>
      </c>
      <c r="G19" s="14">
        <v>0.01</v>
      </c>
      <c r="H19" s="14">
        <v>0.01</v>
      </c>
      <c r="I19" s="14">
        <v>0.01</v>
      </c>
      <c r="J19" s="14">
        <v>0.03</v>
      </c>
      <c r="K19" s="14">
        <v>0.03</v>
      </c>
      <c r="L19" s="14">
        <v>0.02</v>
      </c>
      <c r="M19" s="14">
        <v>0.01</v>
      </c>
      <c r="N19" s="14">
        <v>0.01</v>
      </c>
      <c r="O19" s="14">
        <v>0.02</v>
      </c>
      <c r="P19" s="14">
        <v>0.02</v>
      </c>
      <c r="Q19" s="14">
        <v>0.01</v>
      </c>
      <c r="R19" s="15" t="s">
        <v>375</v>
      </c>
      <c r="S19" s="14">
        <v>0.01</v>
      </c>
      <c r="T19" s="14">
        <v>0.01</v>
      </c>
      <c r="U19" s="14">
        <v>0.01</v>
      </c>
      <c r="V19" s="14">
        <v>0.02</v>
      </c>
      <c r="W19" s="14">
        <v>0.01</v>
      </c>
      <c r="X19" s="14">
        <v>0.02</v>
      </c>
      <c r="Y19" s="14">
        <v>0.03</v>
      </c>
      <c r="Z19" s="14">
        <v>0.01</v>
      </c>
      <c r="AA19" s="15" t="s">
        <v>375</v>
      </c>
      <c r="AB19" s="14">
        <v>0.04</v>
      </c>
      <c r="AC19" s="14">
        <v>0.02</v>
      </c>
      <c r="AD19" s="14">
        <v>0.02</v>
      </c>
      <c r="AE19" s="14">
        <v>0.01</v>
      </c>
      <c r="AF19" s="14">
        <v>0.01</v>
      </c>
    </row>
    <row r="20" spans="1:32">
      <c r="A20" s="19"/>
      <c r="B20" s="11" t="s">
        <v>386</v>
      </c>
      <c r="C20" s="12">
        <v>471</v>
      </c>
      <c r="D20" s="12">
        <v>7</v>
      </c>
      <c r="E20" s="12">
        <v>64</v>
      </c>
      <c r="F20" s="12">
        <v>29</v>
      </c>
      <c r="G20" s="12">
        <v>8</v>
      </c>
      <c r="H20" s="12">
        <v>15</v>
      </c>
      <c r="I20" s="12">
        <v>17</v>
      </c>
      <c r="J20" s="12">
        <v>3</v>
      </c>
      <c r="K20" s="12">
        <v>22</v>
      </c>
      <c r="L20" s="12">
        <v>24</v>
      </c>
      <c r="M20" s="12">
        <v>7</v>
      </c>
      <c r="N20" s="12">
        <v>17</v>
      </c>
      <c r="O20" s="12">
        <v>19</v>
      </c>
      <c r="P20" s="12">
        <v>9</v>
      </c>
      <c r="Q20" s="12">
        <v>19</v>
      </c>
      <c r="R20" s="12">
        <v>13</v>
      </c>
      <c r="S20" s="12">
        <v>24</v>
      </c>
      <c r="T20" s="12">
        <v>30</v>
      </c>
      <c r="U20" s="12">
        <v>5</v>
      </c>
      <c r="V20" s="12">
        <v>15</v>
      </c>
      <c r="W20" s="12">
        <v>3</v>
      </c>
      <c r="X20" s="12">
        <v>6</v>
      </c>
      <c r="Y20" s="12">
        <v>14</v>
      </c>
      <c r="Z20" s="12">
        <v>28</v>
      </c>
      <c r="AA20" s="12">
        <v>40</v>
      </c>
      <c r="AB20" s="12">
        <v>34</v>
      </c>
      <c r="AC20" s="12">
        <v>5</v>
      </c>
      <c r="AD20" s="12">
        <v>8</v>
      </c>
      <c r="AE20" s="12">
        <v>12</v>
      </c>
      <c r="AF20" s="12">
        <v>1</v>
      </c>
    </row>
    <row r="21" spans="1:32">
      <c r="A21" s="19"/>
      <c r="B21" s="13" t="s">
        <v>399</v>
      </c>
      <c r="C21" s="14">
        <v>0.02</v>
      </c>
      <c r="D21" s="14">
        <v>0.01</v>
      </c>
      <c r="E21" s="14">
        <v>0.06</v>
      </c>
      <c r="F21" s="14">
        <v>0.03</v>
      </c>
      <c r="G21" s="14">
        <v>0.01</v>
      </c>
      <c r="H21" s="14">
        <v>0.01</v>
      </c>
      <c r="I21" s="14">
        <v>0.01</v>
      </c>
      <c r="J21" s="14">
        <v>0.01</v>
      </c>
      <c r="K21" s="14">
        <v>0.02</v>
      </c>
      <c r="L21" s="14">
        <v>0.02</v>
      </c>
      <c r="M21" s="14">
        <v>0.01</v>
      </c>
      <c r="N21" s="14">
        <v>0.02</v>
      </c>
      <c r="O21" s="14">
        <v>0.02</v>
      </c>
      <c r="P21" s="14">
        <v>0.01</v>
      </c>
      <c r="Q21" s="14">
        <v>0.02</v>
      </c>
      <c r="R21" s="14">
        <v>0.03</v>
      </c>
      <c r="S21" s="14">
        <v>0.03</v>
      </c>
      <c r="T21" s="14">
        <v>0.03</v>
      </c>
      <c r="U21" s="14">
        <v>0.01</v>
      </c>
      <c r="V21" s="14">
        <v>0.02</v>
      </c>
      <c r="W21" s="14">
        <v>0.01</v>
      </c>
      <c r="X21" s="14">
        <v>0.01</v>
      </c>
      <c r="Y21" s="14">
        <v>0.01</v>
      </c>
      <c r="Z21" s="14">
        <v>0.03</v>
      </c>
      <c r="AA21" s="14">
        <v>0.04</v>
      </c>
      <c r="AB21" s="14">
        <v>0.03</v>
      </c>
      <c r="AC21" s="15" t="s">
        <v>375</v>
      </c>
      <c r="AD21" s="14">
        <v>0.01</v>
      </c>
      <c r="AE21" s="14">
        <v>0.01</v>
      </c>
      <c r="AF21" s="15" t="s">
        <v>375</v>
      </c>
    </row>
    <row r="22" spans="1:32">
      <c r="A22" s="19"/>
      <c r="B22" s="11" t="s">
        <v>496</v>
      </c>
      <c r="C22" s="12">
        <v>23665</v>
      </c>
      <c r="D22" s="12">
        <v>940</v>
      </c>
      <c r="E22" s="12">
        <v>837</v>
      </c>
      <c r="F22" s="12">
        <v>814</v>
      </c>
      <c r="G22" s="12">
        <v>987</v>
      </c>
      <c r="H22" s="12">
        <v>1119</v>
      </c>
      <c r="I22" s="12">
        <v>1369</v>
      </c>
      <c r="J22" s="12">
        <v>249</v>
      </c>
      <c r="K22" s="12">
        <v>892</v>
      </c>
      <c r="L22" s="12">
        <v>937</v>
      </c>
      <c r="M22" s="12">
        <v>939</v>
      </c>
      <c r="N22" s="12">
        <v>942</v>
      </c>
      <c r="O22" s="12">
        <v>907</v>
      </c>
      <c r="P22" s="12">
        <v>887</v>
      </c>
      <c r="Q22" s="12">
        <v>934</v>
      </c>
      <c r="R22" s="12">
        <v>476</v>
      </c>
      <c r="S22" s="12">
        <v>919</v>
      </c>
      <c r="T22" s="12">
        <v>955</v>
      </c>
      <c r="U22" s="12">
        <v>488</v>
      </c>
      <c r="V22" s="12">
        <v>875</v>
      </c>
      <c r="W22" s="12">
        <v>485</v>
      </c>
      <c r="X22" s="12">
        <v>930</v>
      </c>
      <c r="Y22" s="12">
        <v>855</v>
      </c>
      <c r="Z22" s="12">
        <v>864</v>
      </c>
      <c r="AA22" s="12">
        <v>990</v>
      </c>
      <c r="AB22" s="12">
        <v>791</v>
      </c>
      <c r="AC22" s="12">
        <v>937</v>
      </c>
      <c r="AD22" s="12">
        <v>925</v>
      </c>
      <c r="AE22" s="12">
        <v>915</v>
      </c>
      <c r="AF22" s="12">
        <v>984</v>
      </c>
    </row>
    <row r="23" spans="1:32">
      <c r="A23" s="19"/>
      <c r="B23" s="13" t="s">
        <v>497</v>
      </c>
      <c r="C23" s="14">
        <v>0.89</v>
      </c>
      <c r="D23" s="14">
        <v>0.92</v>
      </c>
      <c r="E23" s="14">
        <v>0.8</v>
      </c>
      <c r="F23" s="14">
        <v>0.76</v>
      </c>
      <c r="G23" s="14">
        <v>0.97</v>
      </c>
      <c r="H23" s="14">
        <v>0.91</v>
      </c>
      <c r="I23" s="14">
        <v>0.9</v>
      </c>
      <c r="J23" s="14">
        <v>0.84</v>
      </c>
      <c r="K23" s="14">
        <v>0.89</v>
      </c>
      <c r="L23" s="14">
        <v>0.93</v>
      </c>
      <c r="M23" s="14">
        <v>0.93</v>
      </c>
      <c r="N23" s="14">
        <v>0.93</v>
      </c>
      <c r="O23" s="14">
        <v>0.9</v>
      </c>
      <c r="P23" s="14">
        <v>0.88</v>
      </c>
      <c r="Q23" s="14">
        <v>0.91</v>
      </c>
      <c r="R23" s="14">
        <v>0.95000000000000007</v>
      </c>
      <c r="S23" s="14">
        <v>0.91</v>
      </c>
      <c r="T23" s="14">
        <v>0.94000000000000006</v>
      </c>
      <c r="U23" s="14">
        <v>0.96</v>
      </c>
      <c r="V23" s="14">
        <v>0.85</v>
      </c>
      <c r="W23" s="14">
        <v>0.96</v>
      </c>
      <c r="X23" s="14">
        <v>0.92</v>
      </c>
      <c r="Y23" s="14">
        <v>0.86</v>
      </c>
      <c r="Z23" s="14">
        <v>0.85</v>
      </c>
      <c r="AA23" s="14">
        <v>0.96</v>
      </c>
      <c r="AB23" s="14">
        <v>0.76</v>
      </c>
      <c r="AC23" s="14">
        <v>0.93</v>
      </c>
      <c r="AD23" s="14">
        <v>0.92</v>
      </c>
      <c r="AE23" s="14">
        <v>0.92</v>
      </c>
      <c r="AF23" s="14">
        <v>0.96</v>
      </c>
    </row>
    <row r="24" spans="1:32">
      <c r="A24" s="19"/>
      <c r="B24" s="11" t="s">
        <v>498</v>
      </c>
      <c r="C24" s="12">
        <v>2316</v>
      </c>
      <c r="D24" s="12">
        <v>75</v>
      </c>
      <c r="E24" s="12">
        <v>144</v>
      </c>
      <c r="F24" s="12">
        <v>221</v>
      </c>
      <c r="G24" s="12">
        <v>21</v>
      </c>
      <c r="H24" s="12">
        <v>96</v>
      </c>
      <c r="I24" s="12">
        <v>141</v>
      </c>
      <c r="J24" s="12">
        <v>45</v>
      </c>
      <c r="K24" s="12">
        <v>91</v>
      </c>
      <c r="L24" s="12">
        <v>44</v>
      </c>
      <c r="M24" s="12">
        <v>61</v>
      </c>
      <c r="N24" s="12">
        <v>51</v>
      </c>
      <c r="O24" s="12">
        <v>77</v>
      </c>
      <c r="P24" s="12">
        <v>106</v>
      </c>
      <c r="Q24" s="12">
        <v>79</v>
      </c>
      <c r="R24" s="12">
        <v>13</v>
      </c>
      <c r="S24" s="12">
        <v>61</v>
      </c>
      <c r="T24" s="12">
        <v>38</v>
      </c>
      <c r="U24" s="12">
        <v>14</v>
      </c>
      <c r="V24" s="12">
        <v>136</v>
      </c>
      <c r="W24" s="12">
        <v>14</v>
      </c>
      <c r="X24" s="12">
        <v>74</v>
      </c>
      <c r="Y24" s="12">
        <v>133</v>
      </c>
      <c r="Z24" s="12">
        <v>123</v>
      </c>
      <c r="AA24" s="12">
        <v>7</v>
      </c>
      <c r="AB24" s="12">
        <v>215</v>
      </c>
      <c r="AC24" s="12">
        <v>63</v>
      </c>
      <c r="AD24" s="12">
        <v>69</v>
      </c>
      <c r="AE24" s="12">
        <v>75</v>
      </c>
      <c r="AF24" s="12">
        <v>45</v>
      </c>
    </row>
    <row r="25" spans="1:32">
      <c r="A25" s="19"/>
      <c r="B25" s="13" t="s">
        <v>499</v>
      </c>
      <c r="C25" s="14">
        <v>0.09</v>
      </c>
      <c r="D25" s="14">
        <v>7.0000000000000007E-2</v>
      </c>
      <c r="E25" s="14">
        <v>0.14000000000000001</v>
      </c>
      <c r="F25" s="14">
        <v>0.21</v>
      </c>
      <c r="G25" s="14">
        <v>0.02</v>
      </c>
      <c r="H25" s="14">
        <v>0.08</v>
      </c>
      <c r="I25" s="14">
        <v>0.09</v>
      </c>
      <c r="J25" s="14">
        <v>0.15</v>
      </c>
      <c r="K25" s="14">
        <v>0.09</v>
      </c>
      <c r="L25" s="14">
        <v>0.05</v>
      </c>
      <c r="M25" s="14">
        <v>0.06</v>
      </c>
      <c r="N25" s="14">
        <v>0.05</v>
      </c>
      <c r="O25" s="14">
        <v>0.08</v>
      </c>
      <c r="P25" s="14">
        <v>0.11</v>
      </c>
      <c r="Q25" s="14">
        <v>7.0000000000000007E-2</v>
      </c>
      <c r="R25" s="14">
        <v>0.02</v>
      </c>
      <c r="S25" s="14">
        <v>0.06</v>
      </c>
      <c r="T25" s="14">
        <v>0.03</v>
      </c>
      <c r="U25" s="14">
        <v>0.03</v>
      </c>
      <c r="V25" s="14">
        <v>0.13</v>
      </c>
      <c r="W25" s="14">
        <v>0.03</v>
      </c>
      <c r="X25" s="14">
        <v>7.0000000000000007E-2</v>
      </c>
      <c r="Y25" s="14">
        <v>0.13</v>
      </c>
      <c r="Z25" s="14">
        <v>0.12</v>
      </c>
      <c r="AA25" s="15" t="s">
        <v>375</v>
      </c>
      <c r="AB25" s="14">
        <v>0.21</v>
      </c>
      <c r="AC25" s="14">
        <v>7.0000000000000007E-2</v>
      </c>
      <c r="AD25" s="14">
        <v>7.0000000000000007E-2</v>
      </c>
      <c r="AE25" s="14">
        <v>7.0000000000000007E-2</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500</v>
      </c>
      <c r="C3" s="17"/>
      <c r="D3" s="17"/>
      <c r="E3" s="17"/>
      <c r="F3" s="17"/>
      <c r="H3" s="17" t="s">
        <v>501</v>
      </c>
      <c r="I3" s="17"/>
      <c r="J3" s="17"/>
      <c r="K3" s="17"/>
      <c r="L3" s="17"/>
    </row>
    <row r="4" spans="1:32" ht="27" customHeight="1">
      <c r="B4" s="17" t="s">
        <v>502</v>
      </c>
      <c r="C4" s="17"/>
      <c r="D4" s="17"/>
      <c r="E4" s="17"/>
      <c r="F4" s="17"/>
      <c r="H4" s="17" t="s">
        <v>503</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8220</v>
      </c>
      <c r="D12" s="12">
        <v>289</v>
      </c>
      <c r="E12" s="12">
        <v>304</v>
      </c>
      <c r="F12" s="12">
        <v>187</v>
      </c>
      <c r="G12" s="12">
        <v>283</v>
      </c>
      <c r="H12" s="12">
        <v>288</v>
      </c>
      <c r="I12" s="12">
        <v>356</v>
      </c>
      <c r="J12" s="12">
        <v>68</v>
      </c>
      <c r="K12" s="12">
        <v>261</v>
      </c>
      <c r="L12" s="12">
        <v>470</v>
      </c>
      <c r="M12" s="12">
        <v>420</v>
      </c>
      <c r="N12" s="12">
        <v>514</v>
      </c>
      <c r="O12" s="12">
        <v>304</v>
      </c>
      <c r="P12" s="12">
        <v>332</v>
      </c>
      <c r="Q12" s="12">
        <v>334</v>
      </c>
      <c r="R12" s="12">
        <v>304</v>
      </c>
      <c r="S12" s="12">
        <v>408</v>
      </c>
      <c r="T12" s="12">
        <v>441</v>
      </c>
      <c r="U12" s="12">
        <v>216</v>
      </c>
      <c r="V12" s="12">
        <v>327</v>
      </c>
      <c r="W12" s="12">
        <v>292</v>
      </c>
      <c r="X12" s="12">
        <v>266</v>
      </c>
      <c r="Y12" s="12">
        <v>299</v>
      </c>
      <c r="Z12" s="12">
        <v>232</v>
      </c>
      <c r="AA12" s="12">
        <v>321</v>
      </c>
      <c r="AB12" s="12">
        <v>301</v>
      </c>
      <c r="AC12" s="12">
        <v>325</v>
      </c>
      <c r="AD12" s="12">
        <v>293</v>
      </c>
      <c r="AE12" s="12">
        <v>455</v>
      </c>
      <c r="AF12" s="12">
        <v>232</v>
      </c>
    </row>
    <row r="13" spans="1:32">
      <c r="A13" s="19"/>
      <c r="B13" s="13" t="s">
        <v>489</v>
      </c>
      <c r="C13" s="14">
        <v>0.31</v>
      </c>
      <c r="D13" s="14">
        <v>0.28000000000000003</v>
      </c>
      <c r="E13" s="14">
        <v>0.28999999999999998</v>
      </c>
      <c r="F13" s="14">
        <v>0.17</v>
      </c>
      <c r="G13" s="14">
        <v>0.28000000000000003</v>
      </c>
      <c r="H13" s="14">
        <v>0.23</v>
      </c>
      <c r="I13" s="14">
        <v>0.23</v>
      </c>
      <c r="J13" s="14">
        <v>0.23</v>
      </c>
      <c r="K13" s="14">
        <v>0.26</v>
      </c>
      <c r="L13" s="14">
        <v>0.47</v>
      </c>
      <c r="M13" s="14">
        <v>0.42</v>
      </c>
      <c r="N13" s="14">
        <v>0.51</v>
      </c>
      <c r="O13" s="14">
        <v>0.3</v>
      </c>
      <c r="P13" s="14">
        <v>0.33</v>
      </c>
      <c r="Q13" s="14">
        <v>0.32</v>
      </c>
      <c r="R13" s="14">
        <v>0.61</v>
      </c>
      <c r="S13" s="14">
        <v>0.41</v>
      </c>
      <c r="T13" s="14">
        <v>0.43</v>
      </c>
      <c r="U13" s="14">
        <v>0.43</v>
      </c>
      <c r="V13" s="14">
        <v>0.32</v>
      </c>
      <c r="W13" s="14">
        <v>0.57999999999999996</v>
      </c>
      <c r="X13" s="14">
        <v>0.26</v>
      </c>
      <c r="Y13" s="14">
        <v>0.3</v>
      </c>
      <c r="Z13" s="14">
        <v>0.23</v>
      </c>
      <c r="AA13" s="14">
        <v>0.31</v>
      </c>
      <c r="AB13" s="14">
        <v>0.28999999999999998</v>
      </c>
      <c r="AC13" s="14">
        <v>0.32</v>
      </c>
      <c r="AD13" s="14">
        <v>0.28999999999999998</v>
      </c>
      <c r="AE13" s="14">
        <v>0.45</v>
      </c>
      <c r="AF13" s="14">
        <v>0.23</v>
      </c>
    </row>
    <row r="14" spans="1:32">
      <c r="A14" s="19"/>
      <c r="B14" s="11" t="s">
        <v>490</v>
      </c>
      <c r="C14" s="12">
        <v>11197</v>
      </c>
      <c r="D14" s="12">
        <v>449</v>
      </c>
      <c r="E14" s="12">
        <v>366</v>
      </c>
      <c r="F14" s="12">
        <v>408</v>
      </c>
      <c r="G14" s="12">
        <v>409</v>
      </c>
      <c r="H14" s="12">
        <v>498</v>
      </c>
      <c r="I14" s="12">
        <v>608</v>
      </c>
      <c r="J14" s="12">
        <v>109</v>
      </c>
      <c r="K14" s="12">
        <v>391</v>
      </c>
      <c r="L14" s="12">
        <v>368</v>
      </c>
      <c r="M14" s="12">
        <v>406</v>
      </c>
      <c r="N14" s="12">
        <v>326</v>
      </c>
      <c r="O14" s="12">
        <v>404</v>
      </c>
      <c r="P14" s="12">
        <v>502</v>
      </c>
      <c r="Q14" s="12">
        <v>490</v>
      </c>
      <c r="R14" s="12">
        <v>123</v>
      </c>
      <c r="S14" s="12">
        <v>333</v>
      </c>
      <c r="T14" s="12">
        <v>438</v>
      </c>
      <c r="U14" s="12">
        <v>172</v>
      </c>
      <c r="V14" s="12">
        <v>500</v>
      </c>
      <c r="W14" s="12">
        <v>169</v>
      </c>
      <c r="X14" s="12">
        <v>504</v>
      </c>
      <c r="Y14" s="12">
        <v>345</v>
      </c>
      <c r="Z14" s="12">
        <v>536</v>
      </c>
      <c r="AA14" s="12">
        <v>608</v>
      </c>
      <c r="AB14" s="12">
        <v>432</v>
      </c>
      <c r="AC14" s="12">
        <v>349</v>
      </c>
      <c r="AD14" s="12">
        <v>389</v>
      </c>
      <c r="AE14" s="12">
        <v>438</v>
      </c>
      <c r="AF14" s="12">
        <v>489</v>
      </c>
    </row>
    <row r="15" spans="1:32">
      <c r="A15" s="19"/>
      <c r="B15" s="13" t="s">
        <v>491</v>
      </c>
      <c r="C15" s="14">
        <v>0.42</v>
      </c>
      <c r="D15" s="14">
        <v>0.44</v>
      </c>
      <c r="E15" s="14">
        <v>0.35</v>
      </c>
      <c r="F15" s="14">
        <v>0.38</v>
      </c>
      <c r="G15" s="14">
        <v>0.4</v>
      </c>
      <c r="H15" s="14">
        <v>0.41</v>
      </c>
      <c r="I15" s="14">
        <v>0.4</v>
      </c>
      <c r="J15" s="14">
        <v>0.37</v>
      </c>
      <c r="K15" s="14">
        <v>0.39</v>
      </c>
      <c r="L15" s="14">
        <v>0.36</v>
      </c>
      <c r="M15" s="14">
        <v>0.4</v>
      </c>
      <c r="N15" s="14">
        <v>0.32</v>
      </c>
      <c r="O15" s="14">
        <v>0.4</v>
      </c>
      <c r="P15" s="14">
        <v>0.5</v>
      </c>
      <c r="Q15" s="14">
        <v>0.48</v>
      </c>
      <c r="R15" s="14">
        <v>0.25</v>
      </c>
      <c r="S15" s="14">
        <v>0.33</v>
      </c>
      <c r="T15" s="14">
        <v>0.43</v>
      </c>
      <c r="U15" s="14">
        <v>0.34</v>
      </c>
      <c r="V15" s="14">
        <v>0.49</v>
      </c>
      <c r="W15" s="14">
        <v>0.34</v>
      </c>
      <c r="X15" s="14">
        <v>0.5</v>
      </c>
      <c r="Y15" s="14">
        <v>0.34</v>
      </c>
      <c r="Z15" s="14">
        <v>0.53</v>
      </c>
      <c r="AA15" s="14">
        <v>0.59</v>
      </c>
      <c r="AB15" s="14">
        <v>0.41</v>
      </c>
      <c r="AC15" s="14">
        <v>0.35</v>
      </c>
      <c r="AD15" s="14">
        <v>0.39</v>
      </c>
      <c r="AE15" s="14">
        <v>0.44</v>
      </c>
      <c r="AF15" s="14">
        <v>0.47</v>
      </c>
    </row>
    <row r="16" spans="1:32">
      <c r="A16" s="19"/>
      <c r="B16" s="11" t="s">
        <v>492</v>
      </c>
      <c r="C16" s="12">
        <v>4206</v>
      </c>
      <c r="D16" s="12">
        <v>195</v>
      </c>
      <c r="E16" s="12">
        <v>167</v>
      </c>
      <c r="F16" s="12">
        <v>286</v>
      </c>
      <c r="G16" s="12">
        <v>157</v>
      </c>
      <c r="H16" s="12">
        <v>273</v>
      </c>
      <c r="I16" s="12">
        <v>348</v>
      </c>
      <c r="J16" s="12">
        <v>75</v>
      </c>
      <c r="K16" s="12">
        <v>192</v>
      </c>
      <c r="L16" s="12">
        <v>67</v>
      </c>
      <c r="M16" s="12">
        <v>115</v>
      </c>
      <c r="N16" s="12">
        <v>98</v>
      </c>
      <c r="O16" s="12">
        <v>157</v>
      </c>
      <c r="P16" s="12">
        <v>129</v>
      </c>
      <c r="Q16" s="12">
        <v>136</v>
      </c>
      <c r="R16" s="12">
        <v>35</v>
      </c>
      <c r="S16" s="12">
        <v>142</v>
      </c>
      <c r="T16" s="12">
        <v>70</v>
      </c>
      <c r="U16" s="12">
        <v>72</v>
      </c>
      <c r="V16" s="12">
        <v>133</v>
      </c>
      <c r="W16" s="12">
        <v>30</v>
      </c>
      <c r="X16" s="12">
        <v>153</v>
      </c>
      <c r="Y16" s="12">
        <v>169</v>
      </c>
      <c r="Z16" s="12">
        <v>168</v>
      </c>
      <c r="AA16" s="12">
        <v>18</v>
      </c>
      <c r="AB16" s="12">
        <v>216</v>
      </c>
      <c r="AC16" s="12">
        <v>210</v>
      </c>
      <c r="AD16" s="12">
        <v>168</v>
      </c>
      <c r="AE16" s="12">
        <v>59</v>
      </c>
      <c r="AF16" s="12">
        <v>179</v>
      </c>
    </row>
    <row r="17" spans="1:32">
      <c r="A17" s="19"/>
      <c r="B17" s="13" t="s">
        <v>493</v>
      </c>
      <c r="C17" s="14">
        <v>0.16</v>
      </c>
      <c r="D17" s="14">
        <v>0.19</v>
      </c>
      <c r="E17" s="14">
        <v>0.16</v>
      </c>
      <c r="F17" s="14">
        <v>0.27</v>
      </c>
      <c r="G17" s="14">
        <v>0.15</v>
      </c>
      <c r="H17" s="14">
        <v>0.22</v>
      </c>
      <c r="I17" s="14">
        <v>0.23</v>
      </c>
      <c r="J17" s="14">
        <v>0.25</v>
      </c>
      <c r="K17" s="14">
        <v>0.19</v>
      </c>
      <c r="L17" s="14">
        <v>7.0000000000000007E-2</v>
      </c>
      <c r="M17" s="14">
        <v>0.12</v>
      </c>
      <c r="N17" s="14">
        <v>0.1</v>
      </c>
      <c r="O17" s="14">
        <v>0.16</v>
      </c>
      <c r="P17" s="14">
        <v>0.13</v>
      </c>
      <c r="Q17" s="14">
        <v>0.13</v>
      </c>
      <c r="R17" s="14">
        <v>7.0000000000000007E-2</v>
      </c>
      <c r="S17" s="14">
        <v>0.14000000000000001</v>
      </c>
      <c r="T17" s="14">
        <v>7.0000000000000007E-2</v>
      </c>
      <c r="U17" s="14">
        <v>0.14000000000000001</v>
      </c>
      <c r="V17" s="14">
        <v>0.13</v>
      </c>
      <c r="W17" s="14">
        <v>0.06</v>
      </c>
      <c r="X17" s="14">
        <v>0.15</v>
      </c>
      <c r="Y17" s="14">
        <v>0.17</v>
      </c>
      <c r="Z17" s="14">
        <v>0.16</v>
      </c>
      <c r="AA17" s="14">
        <v>0.02</v>
      </c>
      <c r="AB17" s="14">
        <v>0.21</v>
      </c>
      <c r="AC17" s="14">
        <v>0.21</v>
      </c>
      <c r="AD17" s="14">
        <v>0.17</v>
      </c>
      <c r="AE17" s="14">
        <v>0.06</v>
      </c>
      <c r="AF17" s="14">
        <v>0.17</v>
      </c>
    </row>
    <row r="18" spans="1:32">
      <c r="A18" s="19"/>
      <c r="B18" s="11" t="s">
        <v>494</v>
      </c>
      <c r="C18" s="12">
        <v>1505</v>
      </c>
      <c r="D18" s="12">
        <v>66</v>
      </c>
      <c r="E18" s="12">
        <v>89</v>
      </c>
      <c r="F18" s="12">
        <v>123</v>
      </c>
      <c r="G18" s="12">
        <v>69</v>
      </c>
      <c r="H18" s="12">
        <v>110</v>
      </c>
      <c r="I18" s="12">
        <v>145</v>
      </c>
      <c r="J18" s="12">
        <v>35</v>
      </c>
      <c r="K18" s="12">
        <v>79</v>
      </c>
      <c r="L18" s="12">
        <v>33</v>
      </c>
      <c r="M18" s="12">
        <v>31</v>
      </c>
      <c r="N18" s="12">
        <v>38</v>
      </c>
      <c r="O18" s="12">
        <v>67</v>
      </c>
      <c r="P18" s="12">
        <v>23</v>
      </c>
      <c r="Q18" s="12">
        <v>23</v>
      </c>
      <c r="R18" s="12">
        <v>12</v>
      </c>
      <c r="S18" s="12">
        <v>48</v>
      </c>
      <c r="T18" s="12">
        <v>28</v>
      </c>
      <c r="U18" s="12">
        <v>32</v>
      </c>
      <c r="V18" s="12">
        <v>32</v>
      </c>
      <c r="W18" s="12">
        <v>8</v>
      </c>
      <c r="X18" s="12">
        <v>42</v>
      </c>
      <c r="Y18" s="12">
        <v>141</v>
      </c>
      <c r="Z18" s="12">
        <v>28</v>
      </c>
      <c r="AA18" s="12">
        <v>5</v>
      </c>
      <c r="AB18" s="12">
        <v>53</v>
      </c>
      <c r="AC18" s="12">
        <v>96</v>
      </c>
      <c r="AD18" s="12">
        <v>99</v>
      </c>
      <c r="AE18" s="12">
        <v>26</v>
      </c>
      <c r="AF18" s="12">
        <v>83</v>
      </c>
    </row>
    <row r="19" spans="1:32">
      <c r="A19" s="19"/>
      <c r="B19" s="13" t="s">
        <v>495</v>
      </c>
      <c r="C19" s="14">
        <v>0.06</v>
      </c>
      <c r="D19" s="14">
        <v>7.0000000000000007E-2</v>
      </c>
      <c r="E19" s="14">
        <v>0.08</v>
      </c>
      <c r="F19" s="14">
        <v>0.12</v>
      </c>
      <c r="G19" s="14">
        <v>7.0000000000000007E-2</v>
      </c>
      <c r="H19" s="14">
        <v>0.09</v>
      </c>
      <c r="I19" s="14">
        <v>0.09</v>
      </c>
      <c r="J19" s="14">
        <v>0.12</v>
      </c>
      <c r="K19" s="14">
        <v>0.08</v>
      </c>
      <c r="L19" s="14">
        <v>0.03</v>
      </c>
      <c r="M19" s="14">
        <v>0.03</v>
      </c>
      <c r="N19" s="14">
        <v>0.04</v>
      </c>
      <c r="O19" s="14">
        <v>7.0000000000000007E-2</v>
      </c>
      <c r="P19" s="14">
        <v>0.02</v>
      </c>
      <c r="Q19" s="14">
        <v>0.02</v>
      </c>
      <c r="R19" s="14">
        <v>0.02</v>
      </c>
      <c r="S19" s="14">
        <v>0.05</v>
      </c>
      <c r="T19" s="14">
        <v>0.03</v>
      </c>
      <c r="U19" s="14">
        <v>0.06</v>
      </c>
      <c r="V19" s="14">
        <v>0.03</v>
      </c>
      <c r="W19" s="14">
        <v>0.02</v>
      </c>
      <c r="X19" s="14">
        <v>0.04</v>
      </c>
      <c r="Y19" s="14">
        <v>0.14000000000000001</v>
      </c>
      <c r="Z19" s="14">
        <v>0.03</v>
      </c>
      <c r="AA19" s="15" t="s">
        <v>375</v>
      </c>
      <c r="AB19" s="14">
        <v>0.05</v>
      </c>
      <c r="AC19" s="14">
        <v>0.1</v>
      </c>
      <c r="AD19" s="14">
        <v>0.1</v>
      </c>
      <c r="AE19" s="14">
        <v>0.03</v>
      </c>
      <c r="AF19" s="14">
        <v>0.08</v>
      </c>
    </row>
    <row r="20" spans="1:32">
      <c r="A20" s="19"/>
      <c r="B20" s="11" t="s">
        <v>386</v>
      </c>
      <c r="C20" s="12">
        <v>1324</v>
      </c>
      <c r="D20" s="12">
        <v>22</v>
      </c>
      <c r="E20" s="12">
        <v>121</v>
      </c>
      <c r="F20" s="12">
        <v>60</v>
      </c>
      <c r="G20" s="12">
        <v>98</v>
      </c>
      <c r="H20" s="12">
        <v>60</v>
      </c>
      <c r="I20" s="12">
        <v>70</v>
      </c>
      <c r="J20" s="12">
        <v>10</v>
      </c>
      <c r="K20" s="12">
        <v>83</v>
      </c>
      <c r="L20" s="12">
        <v>69</v>
      </c>
      <c r="M20" s="12">
        <v>35</v>
      </c>
      <c r="N20" s="12">
        <v>34</v>
      </c>
      <c r="O20" s="12">
        <v>72</v>
      </c>
      <c r="P20" s="12">
        <v>16</v>
      </c>
      <c r="Q20" s="12">
        <v>48</v>
      </c>
      <c r="R20" s="12">
        <v>27</v>
      </c>
      <c r="S20" s="12">
        <v>73</v>
      </c>
      <c r="T20" s="12">
        <v>46</v>
      </c>
      <c r="U20" s="12">
        <v>16</v>
      </c>
      <c r="V20" s="12">
        <v>33</v>
      </c>
      <c r="W20" s="12">
        <v>3</v>
      </c>
      <c r="X20" s="12">
        <v>45</v>
      </c>
      <c r="Y20" s="12">
        <v>48</v>
      </c>
      <c r="Z20" s="12">
        <v>53</v>
      </c>
      <c r="AA20" s="12">
        <v>85</v>
      </c>
      <c r="AB20" s="12">
        <v>40</v>
      </c>
      <c r="AC20" s="12">
        <v>24</v>
      </c>
      <c r="AD20" s="12">
        <v>54</v>
      </c>
      <c r="AE20" s="12">
        <v>22</v>
      </c>
      <c r="AF20" s="12">
        <v>48</v>
      </c>
    </row>
    <row r="21" spans="1:32">
      <c r="A21" s="19"/>
      <c r="B21" s="13" t="s">
        <v>399</v>
      </c>
      <c r="C21" s="14">
        <v>0.05</v>
      </c>
      <c r="D21" s="14">
        <v>0.02</v>
      </c>
      <c r="E21" s="14">
        <v>0.12</v>
      </c>
      <c r="F21" s="14">
        <v>0.06</v>
      </c>
      <c r="G21" s="14">
        <v>0.1</v>
      </c>
      <c r="H21" s="14">
        <v>0.05</v>
      </c>
      <c r="I21" s="14">
        <v>0.05</v>
      </c>
      <c r="J21" s="14">
        <v>0.03</v>
      </c>
      <c r="K21" s="14">
        <v>0.08</v>
      </c>
      <c r="L21" s="14">
        <v>7.0000000000000007E-2</v>
      </c>
      <c r="M21" s="14">
        <v>0.03</v>
      </c>
      <c r="N21" s="14">
        <v>0.03</v>
      </c>
      <c r="O21" s="14">
        <v>7.0000000000000007E-2</v>
      </c>
      <c r="P21" s="14">
        <v>0.02</v>
      </c>
      <c r="Q21" s="14">
        <v>0.05</v>
      </c>
      <c r="R21" s="14">
        <v>0.05</v>
      </c>
      <c r="S21" s="14">
        <v>7.0000000000000007E-2</v>
      </c>
      <c r="T21" s="14">
        <v>0.04</v>
      </c>
      <c r="U21" s="14">
        <v>0.03</v>
      </c>
      <c r="V21" s="14">
        <v>0.03</v>
      </c>
      <c r="W21" s="15" t="s">
        <v>375</v>
      </c>
      <c r="X21" s="14">
        <v>0.05</v>
      </c>
      <c r="Y21" s="14">
        <v>0.05</v>
      </c>
      <c r="Z21" s="14">
        <v>0.05</v>
      </c>
      <c r="AA21" s="14">
        <v>0.08</v>
      </c>
      <c r="AB21" s="14">
        <v>0.04</v>
      </c>
      <c r="AC21" s="14">
        <v>0.02</v>
      </c>
      <c r="AD21" s="14">
        <v>0.05</v>
      </c>
      <c r="AE21" s="14">
        <v>0.02</v>
      </c>
      <c r="AF21" s="14">
        <v>0.05</v>
      </c>
    </row>
    <row r="22" spans="1:32">
      <c r="A22" s="19"/>
      <c r="B22" s="11" t="s">
        <v>496</v>
      </c>
      <c r="C22" s="12">
        <v>19417</v>
      </c>
      <c r="D22" s="12">
        <v>738</v>
      </c>
      <c r="E22" s="12">
        <v>670</v>
      </c>
      <c r="F22" s="12">
        <v>595</v>
      </c>
      <c r="G22" s="12">
        <v>692</v>
      </c>
      <c r="H22" s="12">
        <v>786</v>
      </c>
      <c r="I22" s="12">
        <v>964</v>
      </c>
      <c r="J22" s="12">
        <v>177</v>
      </c>
      <c r="K22" s="12">
        <v>652</v>
      </c>
      <c r="L22" s="12">
        <v>838</v>
      </c>
      <c r="M22" s="12">
        <v>826</v>
      </c>
      <c r="N22" s="12">
        <v>840</v>
      </c>
      <c r="O22" s="12">
        <v>708</v>
      </c>
      <c r="P22" s="12">
        <v>834</v>
      </c>
      <c r="Q22" s="12">
        <v>824</v>
      </c>
      <c r="R22" s="12">
        <v>427</v>
      </c>
      <c r="S22" s="12">
        <v>741</v>
      </c>
      <c r="T22" s="12">
        <v>879</v>
      </c>
      <c r="U22" s="12">
        <v>388</v>
      </c>
      <c r="V22" s="12">
        <v>827</v>
      </c>
      <c r="W22" s="12">
        <v>461</v>
      </c>
      <c r="X22" s="12">
        <v>770</v>
      </c>
      <c r="Y22" s="12">
        <v>644</v>
      </c>
      <c r="Z22" s="12">
        <v>768</v>
      </c>
      <c r="AA22" s="12">
        <v>929</v>
      </c>
      <c r="AB22" s="12">
        <v>733</v>
      </c>
      <c r="AC22" s="12">
        <v>674</v>
      </c>
      <c r="AD22" s="12">
        <v>682</v>
      </c>
      <c r="AE22" s="12">
        <v>893</v>
      </c>
      <c r="AF22" s="12">
        <v>721</v>
      </c>
    </row>
    <row r="23" spans="1:32">
      <c r="A23" s="19"/>
      <c r="B23" s="13" t="s">
        <v>497</v>
      </c>
      <c r="C23" s="14">
        <v>0.73</v>
      </c>
      <c r="D23" s="14">
        <v>0.72</v>
      </c>
      <c r="E23" s="14">
        <v>0.64</v>
      </c>
      <c r="F23" s="14">
        <v>0.55000000000000004</v>
      </c>
      <c r="G23" s="14">
        <v>0.68</v>
      </c>
      <c r="H23" s="14">
        <v>0.64</v>
      </c>
      <c r="I23" s="14">
        <v>0.63</v>
      </c>
      <c r="J23" s="14">
        <v>0.6</v>
      </c>
      <c r="K23" s="14">
        <v>0.65</v>
      </c>
      <c r="L23" s="14">
        <v>0.83000000000000007</v>
      </c>
      <c r="M23" s="14">
        <v>0.82000000000000006</v>
      </c>
      <c r="N23" s="14">
        <v>0.83000000000000007</v>
      </c>
      <c r="O23" s="14">
        <v>0.70000000000000007</v>
      </c>
      <c r="P23" s="14">
        <v>0.83000000000000007</v>
      </c>
      <c r="Q23" s="14">
        <v>0.8</v>
      </c>
      <c r="R23" s="14">
        <v>0.86</v>
      </c>
      <c r="S23" s="14">
        <v>0.74</v>
      </c>
      <c r="T23" s="14">
        <v>0.86</v>
      </c>
      <c r="U23" s="14">
        <v>0.77</v>
      </c>
      <c r="V23" s="14">
        <v>0.81</v>
      </c>
      <c r="W23" s="14">
        <v>0.92</v>
      </c>
      <c r="X23" s="14">
        <v>0.76</v>
      </c>
      <c r="Y23" s="14">
        <v>0.64</v>
      </c>
      <c r="Z23" s="14">
        <v>0.76</v>
      </c>
      <c r="AA23" s="14">
        <v>0.9</v>
      </c>
      <c r="AB23" s="14">
        <v>0.70000000000000007</v>
      </c>
      <c r="AC23" s="14">
        <v>0.67</v>
      </c>
      <c r="AD23" s="14">
        <v>0.68</v>
      </c>
      <c r="AE23" s="14">
        <v>0.89</v>
      </c>
      <c r="AF23" s="14">
        <v>0.70000000000000007</v>
      </c>
    </row>
    <row r="24" spans="1:32">
      <c r="A24" s="19"/>
      <c r="B24" s="11" t="s">
        <v>498</v>
      </c>
      <c r="C24" s="12">
        <v>5711</v>
      </c>
      <c r="D24" s="12">
        <v>261</v>
      </c>
      <c r="E24" s="12">
        <v>256</v>
      </c>
      <c r="F24" s="12">
        <v>409</v>
      </c>
      <c r="G24" s="12">
        <v>226</v>
      </c>
      <c r="H24" s="12">
        <v>383</v>
      </c>
      <c r="I24" s="12">
        <v>493</v>
      </c>
      <c r="J24" s="12">
        <v>110</v>
      </c>
      <c r="K24" s="12">
        <v>271</v>
      </c>
      <c r="L24" s="12">
        <v>100</v>
      </c>
      <c r="M24" s="12">
        <v>146</v>
      </c>
      <c r="N24" s="12">
        <v>136</v>
      </c>
      <c r="O24" s="12">
        <v>224</v>
      </c>
      <c r="P24" s="12">
        <v>152</v>
      </c>
      <c r="Q24" s="12">
        <v>159</v>
      </c>
      <c r="R24" s="12">
        <v>47</v>
      </c>
      <c r="S24" s="12">
        <v>190</v>
      </c>
      <c r="T24" s="12">
        <v>98</v>
      </c>
      <c r="U24" s="12">
        <v>104</v>
      </c>
      <c r="V24" s="12">
        <v>165</v>
      </c>
      <c r="W24" s="12">
        <v>38</v>
      </c>
      <c r="X24" s="12">
        <v>195</v>
      </c>
      <c r="Y24" s="12">
        <v>310</v>
      </c>
      <c r="Z24" s="12">
        <v>196</v>
      </c>
      <c r="AA24" s="12">
        <v>23</v>
      </c>
      <c r="AB24" s="12">
        <v>269</v>
      </c>
      <c r="AC24" s="12">
        <v>306</v>
      </c>
      <c r="AD24" s="12">
        <v>267</v>
      </c>
      <c r="AE24" s="12">
        <v>85</v>
      </c>
      <c r="AF24" s="12">
        <v>262</v>
      </c>
    </row>
    <row r="25" spans="1:32">
      <c r="A25" s="19"/>
      <c r="B25" s="13" t="s">
        <v>499</v>
      </c>
      <c r="C25" s="14">
        <v>0.22</v>
      </c>
      <c r="D25" s="14">
        <v>0.26</v>
      </c>
      <c r="E25" s="14">
        <v>0.24</v>
      </c>
      <c r="F25" s="14">
        <v>0.39</v>
      </c>
      <c r="G25" s="14">
        <v>0.22</v>
      </c>
      <c r="H25" s="14">
        <v>0.31</v>
      </c>
      <c r="I25" s="14">
        <v>0.32</v>
      </c>
      <c r="J25" s="14">
        <v>0.37</v>
      </c>
      <c r="K25" s="14">
        <v>0.27</v>
      </c>
      <c r="L25" s="14">
        <v>0.1</v>
      </c>
      <c r="M25" s="14">
        <v>0.15</v>
      </c>
      <c r="N25" s="14">
        <v>0.14000000000000001</v>
      </c>
      <c r="O25" s="14">
        <v>0.23</v>
      </c>
      <c r="P25" s="14">
        <v>0.15</v>
      </c>
      <c r="Q25" s="14">
        <v>0.15</v>
      </c>
      <c r="R25" s="14">
        <v>0.09</v>
      </c>
      <c r="S25" s="14">
        <v>0.19</v>
      </c>
      <c r="T25" s="14">
        <v>0.1</v>
      </c>
      <c r="U25" s="14">
        <v>0.2</v>
      </c>
      <c r="V25" s="14">
        <v>0.16</v>
      </c>
      <c r="W25" s="14">
        <v>0.08</v>
      </c>
      <c r="X25" s="14">
        <v>0.19</v>
      </c>
      <c r="Y25" s="14">
        <v>0.31</v>
      </c>
      <c r="Z25" s="14">
        <v>0.19</v>
      </c>
      <c r="AA25" s="14">
        <v>0.02</v>
      </c>
      <c r="AB25" s="14">
        <v>0.26</v>
      </c>
      <c r="AC25" s="14">
        <v>0.31</v>
      </c>
      <c r="AD25" s="14">
        <v>0.27</v>
      </c>
      <c r="AE25" s="14">
        <v>0.09</v>
      </c>
      <c r="AF25" s="14">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504</v>
      </c>
      <c r="C3" s="17"/>
      <c r="D3" s="17"/>
      <c r="E3" s="17"/>
      <c r="F3" s="17"/>
      <c r="H3" s="17" t="s">
        <v>505</v>
      </c>
      <c r="I3" s="17"/>
      <c r="J3" s="17"/>
      <c r="K3" s="17"/>
      <c r="L3" s="17"/>
    </row>
    <row r="4" spans="1:32" ht="27" customHeight="1">
      <c r="B4" s="17" t="s">
        <v>506</v>
      </c>
      <c r="C4" s="17"/>
      <c r="D4" s="17"/>
      <c r="E4" s="17"/>
      <c r="F4" s="17"/>
      <c r="H4" s="17" t="s">
        <v>507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HYPERLINK("#Content!A20","&lt;&lt;Back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11680</v>
      </c>
      <c r="D12" s="12">
        <v>486</v>
      </c>
      <c r="E12" s="12">
        <v>385</v>
      </c>
      <c r="F12" s="12">
        <v>305</v>
      </c>
      <c r="G12" s="12">
        <v>596</v>
      </c>
      <c r="H12" s="12">
        <v>576</v>
      </c>
      <c r="I12" s="12">
        <v>696</v>
      </c>
      <c r="J12" s="12">
        <v>121</v>
      </c>
      <c r="K12" s="12">
        <v>347</v>
      </c>
      <c r="L12" s="12">
        <v>550</v>
      </c>
      <c r="M12" s="12">
        <v>518</v>
      </c>
      <c r="N12" s="12">
        <v>617</v>
      </c>
      <c r="O12" s="12">
        <v>438</v>
      </c>
      <c r="P12" s="12">
        <v>335</v>
      </c>
      <c r="Q12" s="12">
        <v>433</v>
      </c>
      <c r="R12" s="12">
        <v>362</v>
      </c>
      <c r="S12" s="12">
        <v>631</v>
      </c>
      <c r="T12" s="12">
        <v>522</v>
      </c>
      <c r="U12" s="12">
        <v>337</v>
      </c>
      <c r="V12" s="12">
        <v>314</v>
      </c>
      <c r="W12" s="12">
        <v>340</v>
      </c>
      <c r="X12" s="12">
        <v>498</v>
      </c>
      <c r="Y12" s="12">
        <v>454</v>
      </c>
      <c r="Z12" s="12">
        <v>287</v>
      </c>
      <c r="AA12" s="12">
        <v>408</v>
      </c>
      <c r="AB12" s="12">
        <v>301</v>
      </c>
      <c r="AC12" s="12">
        <v>545</v>
      </c>
      <c r="AD12" s="12">
        <v>534</v>
      </c>
      <c r="AE12" s="12">
        <v>476</v>
      </c>
      <c r="AF12" s="12">
        <v>429</v>
      </c>
    </row>
    <row r="13" spans="1:32">
      <c r="A13" s="19"/>
      <c r="B13" s="13" t="s">
        <v>489</v>
      </c>
      <c r="C13" s="14">
        <v>0.44</v>
      </c>
      <c r="D13" s="14">
        <v>0.48</v>
      </c>
      <c r="E13" s="14">
        <v>0.37</v>
      </c>
      <c r="F13" s="14">
        <v>0.28999999999999998</v>
      </c>
      <c r="G13" s="14">
        <v>0.59</v>
      </c>
      <c r="H13" s="14">
        <v>0.47</v>
      </c>
      <c r="I13" s="14">
        <v>0.46</v>
      </c>
      <c r="J13" s="14">
        <v>0.41</v>
      </c>
      <c r="K13" s="14">
        <v>0.34</v>
      </c>
      <c r="L13" s="14">
        <v>0.55000000000000004</v>
      </c>
      <c r="M13" s="14">
        <v>0.51</v>
      </c>
      <c r="N13" s="14">
        <v>0.61</v>
      </c>
      <c r="O13" s="14">
        <v>0.43</v>
      </c>
      <c r="P13" s="14">
        <v>0.33</v>
      </c>
      <c r="Q13" s="14">
        <v>0.42</v>
      </c>
      <c r="R13" s="14">
        <v>0.72</v>
      </c>
      <c r="S13" s="14">
        <v>0.63</v>
      </c>
      <c r="T13" s="14">
        <v>0.51</v>
      </c>
      <c r="U13" s="14">
        <v>0.66</v>
      </c>
      <c r="V13" s="14">
        <v>0.31</v>
      </c>
      <c r="W13" s="14">
        <v>0.68</v>
      </c>
      <c r="X13" s="14">
        <v>0.49</v>
      </c>
      <c r="Y13" s="14">
        <v>0.45</v>
      </c>
      <c r="Z13" s="14">
        <v>0.28000000000000003</v>
      </c>
      <c r="AA13" s="14">
        <v>0.39</v>
      </c>
      <c r="AB13" s="14">
        <v>0.28999999999999998</v>
      </c>
      <c r="AC13" s="14">
        <v>0.54</v>
      </c>
      <c r="AD13" s="14">
        <v>0.53</v>
      </c>
      <c r="AE13" s="14">
        <v>0.48</v>
      </c>
      <c r="AF13" s="14">
        <v>0.42</v>
      </c>
    </row>
    <row r="14" spans="1:32">
      <c r="A14" s="19"/>
      <c r="B14" s="11" t="s">
        <v>490</v>
      </c>
      <c r="C14" s="12">
        <v>11199</v>
      </c>
      <c r="D14" s="12">
        <v>420</v>
      </c>
      <c r="E14" s="12">
        <v>432</v>
      </c>
      <c r="F14" s="12">
        <v>503</v>
      </c>
      <c r="G14" s="12">
        <v>335</v>
      </c>
      <c r="H14" s="12">
        <v>528</v>
      </c>
      <c r="I14" s="12">
        <v>653</v>
      </c>
      <c r="J14" s="12">
        <v>125</v>
      </c>
      <c r="K14" s="12">
        <v>446</v>
      </c>
      <c r="L14" s="12">
        <v>354</v>
      </c>
      <c r="M14" s="12">
        <v>389</v>
      </c>
      <c r="N14" s="12">
        <v>298</v>
      </c>
      <c r="O14" s="12">
        <v>418</v>
      </c>
      <c r="P14" s="12">
        <v>531</v>
      </c>
      <c r="Q14" s="12">
        <v>482</v>
      </c>
      <c r="R14" s="12">
        <v>112</v>
      </c>
      <c r="S14" s="12">
        <v>264</v>
      </c>
      <c r="T14" s="12">
        <v>400</v>
      </c>
      <c r="U14" s="12">
        <v>140</v>
      </c>
      <c r="V14" s="12">
        <v>537</v>
      </c>
      <c r="W14" s="12">
        <v>134</v>
      </c>
      <c r="X14" s="12">
        <v>395</v>
      </c>
      <c r="Y14" s="12">
        <v>390</v>
      </c>
      <c r="Z14" s="12">
        <v>552</v>
      </c>
      <c r="AA14" s="12">
        <v>568</v>
      </c>
      <c r="AB14" s="12">
        <v>420</v>
      </c>
      <c r="AC14" s="12">
        <v>347</v>
      </c>
      <c r="AD14" s="12">
        <v>390</v>
      </c>
      <c r="AE14" s="12">
        <v>401</v>
      </c>
      <c r="AF14" s="12">
        <v>456</v>
      </c>
    </row>
    <row r="15" spans="1:32">
      <c r="A15" s="19"/>
      <c r="B15" s="13" t="s">
        <v>491</v>
      </c>
      <c r="C15" s="14">
        <v>0.42</v>
      </c>
      <c r="D15" s="14">
        <v>0.41</v>
      </c>
      <c r="E15" s="14">
        <v>0.41</v>
      </c>
      <c r="F15" s="14">
        <v>0.47</v>
      </c>
      <c r="G15" s="14">
        <v>0.33</v>
      </c>
      <c r="H15" s="14">
        <v>0.43</v>
      </c>
      <c r="I15" s="14">
        <v>0.43</v>
      </c>
      <c r="J15" s="14">
        <v>0.42</v>
      </c>
      <c r="K15" s="14">
        <v>0.44</v>
      </c>
      <c r="L15" s="14">
        <v>0.35</v>
      </c>
      <c r="M15" s="14">
        <v>0.39</v>
      </c>
      <c r="N15" s="14">
        <v>0.28999999999999998</v>
      </c>
      <c r="O15" s="14">
        <v>0.42</v>
      </c>
      <c r="P15" s="14">
        <v>0.53</v>
      </c>
      <c r="Q15" s="14">
        <v>0.47</v>
      </c>
      <c r="R15" s="14">
        <v>0.22</v>
      </c>
      <c r="S15" s="14">
        <v>0.26</v>
      </c>
      <c r="T15" s="14">
        <v>0.39</v>
      </c>
      <c r="U15" s="14">
        <v>0.28000000000000003</v>
      </c>
      <c r="V15" s="14">
        <v>0.52</v>
      </c>
      <c r="W15" s="14">
        <v>0.26</v>
      </c>
      <c r="X15" s="14">
        <v>0.39</v>
      </c>
      <c r="Y15" s="14">
        <v>0.39</v>
      </c>
      <c r="Z15" s="14">
        <v>0.54</v>
      </c>
      <c r="AA15" s="14">
        <v>0.55000000000000004</v>
      </c>
      <c r="AB15" s="14">
        <v>0.4</v>
      </c>
      <c r="AC15" s="14">
        <v>0.34</v>
      </c>
      <c r="AD15" s="14">
        <v>0.39</v>
      </c>
      <c r="AE15" s="14">
        <v>0.4</v>
      </c>
      <c r="AF15" s="14">
        <v>0.44</v>
      </c>
    </row>
    <row r="16" spans="1:32">
      <c r="A16" s="19"/>
      <c r="B16" s="11" t="s">
        <v>492</v>
      </c>
      <c r="C16" s="12">
        <v>2110</v>
      </c>
      <c r="D16" s="12">
        <v>75</v>
      </c>
      <c r="E16" s="12">
        <v>119</v>
      </c>
      <c r="F16" s="12">
        <v>197</v>
      </c>
      <c r="G16" s="12">
        <v>45</v>
      </c>
      <c r="H16" s="12">
        <v>79</v>
      </c>
      <c r="I16" s="12">
        <v>112</v>
      </c>
      <c r="J16" s="12">
        <v>33</v>
      </c>
      <c r="K16" s="12">
        <v>106</v>
      </c>
      <c r="L16" s="12">
        <v>43</v>
      </c>
      <c r="M16" s="12">
        <v>68</v>
      </c>
      <c r="N16" s="12">
        <v>46</v>
      </c>
      <c r="O16" s="12">
        <v>65</v>
      </c>
      <c r="P16" s="12">
        <v>95</v>
      </c>
      <c r="Q16" s="12">
        <v>77</v>
      </c>
      <c r="R16" s="12">
        <v>12</v>
      </c>
      <c r="S16" s="12">
        <v>40</v>
      </c>
      <c r="T16" s="12">
        <v>54</v>
      </c>
      <c r="U16" s="12">
        <v>21</v>
      </c>
      <c r="V16" s="12">
        <v>113</v>
      </c>
      <c r="W16" s="12">
        <v>21</v>
      </c>
      <c r="X16" s="12">
        <v>76</v>
      </c>
      <c r="Y16" s="12">
        <v>80</v>
      </c>
      <c r="Z16" s="12">
        <v>114</v>
      </c>
      <c r="AA16" s="12">
        <v>5</v>
      </c>
      <c r="AB16" s="12">
        <v>218</v>
      </c>
      <c r="AC16" s="12">
        <v>76</v>
      </c>
      <c r="AD16" s="12">
        <v>45</v>
      </c>
      <c r="AE16" s="12">
        <v>72</v>
      </c>
      <c r="AF16" s="12">
        <v>98</v>
      </c>
    </row>
    <row r="17" spans="1:32">
      <c r="A17" s="19"/>
      <c r="B17" s="13" t="s">
        <v>493</v>
      </c>
      <c r="C17" s="14">
        <v>0.08</v>
      </c>
      <c r="D17" s="14">
        <v>7.0000000000000007E-2</v>
      </c>
      <c r="E17" s="14">
        <v>0.11</v>
      </c>
      <c r="F17" s="14">
        <v>0.18</v>
      </c>
      <c r="G17" s="14">
        <v>0.04</v>
      </c>
      <c r="H17" s="14">
        <v>0.06</v>
      </c>
      <c r="I17" s="14">
        <v>7.0000000000000007E-2</v>
      </c>
      <c r="J17" s="14">
        <v>0.11</v>
      </c>
      <c r="K17" s="14">
        <v>0.11</v>
      </c>
      <c r="L17" s="14">
        <v>0.04</v>
      </c>
      <c r="M17" s="14">
        <v>7.0000000000000007E-2</v>
      </c>
      <c r="N17" s="14">
        <v>0.05</v>
      </c>
      <c r="O17" s="14">
        <v>0.06</v>
      </c>
      <c r="P17" s="14">
        <v>0.1</v>
      </c>
      <c r="Q17" s="14">
        <v>0.08</v>
      </c>
      <c r="R17" s="14">
        <v>0.03</v>
      </c>
      <c r="S17" s="14">
        <v>0.04</v>
      </c>
      <c r="T17" s="14">
        <v>0.05</v>
      </c>
      <c r="U17" s="14">
        <v>0.04</v>
      </c>
      <c r="V17" s="14">
        <v>0.11</v>
      </c>
      <c r="W17" s="14">
        <v>0.04</v>
      </c>
      <c r="X17" s="14">
        <v>0.08</v>
      </c>
      <c r="Y17" s="14">
        <v>0.08</v>
      </c>
      <c r="Z17" s="14">
        <v>0.11</v>
      </c>
      <c r="AA17" s="15" t="s">
        <v>375</v>
      </c>
      <c r="AB17" s="14">
        <v>0.21</v>
      </c>
      <c r="AC17" s="14">
        <v>0.08</v>
      </c>
      <c r="AD17" s="14">
        <v>0.04</v>
      </c>
      <c r="AE17" s="14">
        <v>7.0000000000000007E-2</v>
      </c>
      <c r="AF17" s="14">
        <v>0.09</v>
      </c>
    </row>
    <row r="18" spans="1:32">
      <c r="A18" s="19"/>
      <c r="B18" s="11" t="s">
        <v>494</v>
      </c>
      <c r="C18" s="12">
        <v>620</v>
      </c>
      <c r="D18" s="12">
        <v>27</v>
      </c>
      <c r="E18" s="12">
        <v>43</v>
      </c>
      <c r="F18" s="12">
        <v>32</v>
      </c>
      <c r="G18" s="12">
        <v>19</v>
      </c>
      <c r="H18" s="12">
        <v>19</v>
      </c>
      <c r="I18" s="12">
        <v>32</v>
      </c>
      <c r="J18" s="12">
        <v>13</v>
      </c>
      <c r="K18" s="12">
        <v>47</v>
      </c>
      <c r="L18" s="12">
        <v>16</v>
      </c>
      <c r="M18" s="12">
        <v>13</v>
      </c>
      <c r="N18" s="12">
        <v>18</v>
      </c>
      <c r="O18" s="12">
        <v>26</v>
      </c>
      <c r="P18" s="12">
        <v>25</v>
      </c>
      <c r="Q18" s="12">
        <v>14</v>
      </c>
      <c r="R18" s="12">
        <v>4</v>
      </c>
      <c r="S18" s="12">
        <v>25</v>
      </c>
      <c r="T18" s="12">
        <v>9</v>
      </c>
      <c r="U18" s="12">
        <v>3</v>
      </c>
      <c r="V18" s="12">
        <v>45</v>
      </c>
      <c r="W18" s="12">
        <v>5</v>
      </c>
      <c r="X18" s="12">
        <v>27</v>
      </c>
      <c r="Y18" s="12">
        <v>58</v>
      </c>
      <c r="Z18" s="12">
        <v>19</v>
      </c>
      <c r="AA18" s="12">
        <v>1</v>
      </c>
      <c r="AB18" s="12">
        <v>61</v>
      </c>
      <c r="AC18" s="12">
        <v>20</v>
      </c>
      <c r="AD18" s="12">
        <v>25</v>
      </c>
      <c r="AE18" s="12">
        <v>26</v>
      </c>
      <c r="AF18" s="12">
        <v>28</v>
      </c>
    </row>
    <row r="19" spans="1:32">
      <c r="A19" s="19"/>
      <c r="B19" s="13" t="s">
        <v>495</v>
      </c>
      <c r="C19" s="14">
        <v>0.03</v>
      </c>
      <c r="D19" s="14">
        <v>0.03</v>
      </c>
      <c r="E19" s="14">
        <v>0.04</v>
      </c>
      <c r="F19" s="14">
        <v>0.03</v>
      </c>
      <c r="G19" s="14">
        <v>0.02</v>
      </c>
      <c r="H19" s="14">
        <v>0.02</v>
      </c>
      <c r="I19" s="14">
        <v>0.02</v>
      </c>
      <c r="J19" s="14">
        <v>0.04</v>
      </c>
      <c r="K19" s="14">
        <v>0.05</v>
      </c>
      <c r="L19" s="14">
        <v>0.02</v>
      </c>
      <c r="M19" s="14">
        <v>0.01</v>
      </c>
      <c r="N19" s="14">
        <v>0.02</v>
      </c>
      <c r="O19" s="14">
        <v>0.03</v>
      </c>
      <c r="P19" s="14">
        <v>0.02</v>
      </c>
      <c r="Q19" s="14">
        <v>0.01</v>
      </c>
      <c r="R19" s="14">
        <v>0.01</v>
      </c>
      <c r="S19" s="14">
        <v>0.03</v>
      </c>
      <c r="T19" s="14">
        <v>0.01</v>
      </c>
      <c r="U19" s="14">
        <v>0.01</v>
      </c>
      <c r="V19" s="14">
        <v>0.04</v>
      </c>
      <c r="W19" s="14">
        <v>0.01</v>
      </c>
      <c r="X19" s="14">
        <v>0.03</v>
      </c>
      <c r="Y19" s="14">
        <v>0.06</v>
      </c>
      <c r="Z19" s="14">
        <v>0.02</v>
      </c>
      <c r="AA19" s="15" t="s">
        <v>375</v>
      </c>
      <c r="AB19" s="14">
        <v>0.06</v>
      </c>
      <c r="AC19" s="14">
        <v>0.02</v>
      </c>
      <c r="AD19" s="14">
        <v>0.03</v>
      </c>
      <c r="AE19" s="14">
        <v>0.03</v>
      </c>
      <c r="AF19" s="14">
        <v>0.03</v>
      </c>
    </row>
    <row r="20" spans="1:32">
      <c r="A20" s="19"/>
      <c r="B20" s="11" t="s">
        <v>386</v>
      </c>
      <c r="C20" s="12">
        <v>843</v>
      </c>
      <c r="D20" s="12">
        <v>12</v>
      </c>
      <c r="E20" s="12">
        <v>67</v>
      </c>
      <c r="F20" s="12">
        <v>27</v>
      </c>
      <c r="G20" s="12">
        <v>21</v>
      </c>
      <c r="H20" s="12">
        <v>28</v>
      </c>
      <c r="I20" s="12">
        <v>34</v>
      </c>
      <c r="J20" s="12">
        <v>5</v>
      </c>
      <c r="K20" s="12">
        <v>61</v>
      </c>
      <c r="L20" s="12">
        <v>43</v>
      </c>
      <c r="M20" s="12">
        <v>19</v>
      </c>
      <c r="N20" s="12">
        <v>32</v>
      </c>
      <c r="O20" s="12">
        <v>56</v>
      </c>
      <c r="P20" s="12">
        <v>17</v>
      </c>
      <c r="Q20" s="12">
        <v>25</v>
      </c>
      <c r="R20" s="12">
        <v>10</v>
      </c>
      <c r="S20" s="12">
        <v>44</v>
      </c>
      <c r="T20" s="12">
        <v>38</v>
      </c>
      <c r="U20" s="12">
        <v>7</v>
      </c>
      <c r="V20" s="12">
        <v>17</v>
      </c>
      <c r="W20" s="12">
        <v>3</v>
      </c>
      <c r="X20" s="12">
        <v>14</v>
      </c>
      <c r="Y20" s="12">
        <v>21</v>
      </c>
      <c r="Z20" s="12">
        <v>45</v>
      </c>
      <c r="AA20" s="12">
        <v>56</v>
      </c>
      <c r="AB20" s="12">
        <v>41</v>
      </c>
      <c r="AC20" s="12">
        <v>17</v>
      </c>
      <c r="AD20" s="12">
        <v>10</v>
      </c>
      <c r="AE20" s="12">
        <v>25</v>
      </c>
      <c r="AF20" s="12">
        <v>20</v>
      </c>
    </row>
    <row r="21" spans="1:32">
      <c r="A21" s="19"/>
      <c r="B21" s="13" t="s">
        <v>399</v>
      </c>
      <c r="C21" s="14">
        <v>0.03</v>
      </c>
      <c r="D21" s="14">
        <v>0.01</v>
      </c>
      <c r="E21" s="14">
        <v>7.0000000000000007E-2</v>
      </c>
      <c r="F21" s="14">
        <v>0.03</v>
      </c>
      <c r="G21" s="14">
        <v>0.02</v>
      </c>
      <c r="H21" s="14">
        <v>0.02</v>
      </c>
      <c r="I21" s="14">
        <v>0.02</v>
      </c>
      <c r="J21" s="14">
        <v>0.02</v>
      </c>
      <c r="K21" s="14">
        <v>0.06</v>
      </c>
      <c r="L21" s="14">
        <v>0.04</v>
      </c>
      <c r="M21" s="14">
        <v>0.02</v>
      </c>
      <c r="N21" s="14">
        <v>0.03</v>
      </c>
      <c r="O21" s="14">
        <v>0.06</v>
      </c>
      <c r="P21" s="14">
        <v>0.02</v>
      </c>
      <c r="Q21" s="14">
        <v>0.02</v>
      </c>
      <c r="R21" s="14">
        <v>0.02</v>
      </c>
      <c r="S21" s="14">
        <v>0.04</v>
      </c>
      <c r="T21" s="14">
        <v>0.04</v>
      </c>
      <c r="U21" s="14">
        <v>0.01</v>
      </c>
      <c r="V21" s="14">
        <v>0.02</v>
      </c>
      <c r="W21" s="14">
        <v>0.01</v>
      </c>
      <c r="X21" s="14">
        <v>0.01</v>
      </c>
      <c r="Y21" s="14">
        <v>0.02</v>
      </c>
      <c r="Z21" s="14">
        <v>0.05</v>
      </c>
      <c r="AA21" s="14">
        <v>0.06</v>
      </c>
      <c r="AB21" s="14">
        <v>0.04</v>
      </c>
      <c r="AC21" s="14">
        <v>0.02</v>
      </c>
      <c r="AD21" s="14">
        <v>0.01</v>
      </c>
      <c r="AE21" s="14">
        <v>0.02</v>
      </c>
      <c r="AF21" s="14">
        <v>0.02</v>
      </c>
    </row>
    <row r="22" spans="1:32">
      <c r="A22" s="19"/>
      <c r="B22" s="11" t="s">
        <v>496</v>
      </c>
      <c r="C22" s="12">
        <v>22879</v>
      </c>
      <c r="D22" s="12">
        <v>906</v>
      </c>
      <c r="E22" s="12">
        <v>817</v>
      </c>
      <c r="F22" s="12">
        <v>808</v>
      </c>
      <c r="G22" s="12">
        <v>931</v>
      </c>
      <c r="H22" s="12">
        <v>1104</v>
      </c>
      <c r="I22" s="12">
        <v>1349</v>
      </c>
      <c r="J22" s="12">
        <v>246</v>
      </c>
      <c r="K22" s="12">
        <v>793</v>
      </c>
      <c r="L22" s="12">
        <v>904</v>
      </c>
      <c r="M22" s="12">
        <v>907</v>
      </c>
      <c r="N22" s="12">
        <v>915</v>
      </c>
      <c r="O22" s="12">
        <v>856</v>
      </c>
      <c r="P22" s="12">
        <v>866</v>
      </c>
      <c r="Q22" s="12">
        <v>915</v>
      </c>
      <c r="R22" s="12">
        <v>474</v>
      </c>
      <c r="S22" s="12">
        <v>895</v>
      </c>
      <c r="T22" s="12">
        <v>922</v>
      </c>
      <c r="U22" s="12">
        <v>477</v>
      </c>
      <c r="V22" s="12">
        <v>851</v>
      </c>
      <c r="W22" s="12">
        <v>474</v>
      </c>
      <c r="X22" s="12">
        <v>893</v>
      </c>
      <c r="Y22" s="12">
        <v>844</v>
      </c>
      <c r="Z22" s="12">
        <v>839</v>
      </c>
      <c r="AA22" s="12">
        <v>976</v>
      </c>
      <c r="AB22" s="12">
        <v>721</v>
      </c>
      <c r="AC22" s="12">
        <v>892</v>
      </c>
      <c r="AD22" s="12">
        <v>924</v>
      </c>
      <c r="AE22" s="12">
        <v>877</v>
      </c>
      <c r="AF22" s="12">
        <v>885</v>
      </c>
    </row>
    <row r="23" spans="1:32">
      <c r="A23" s="19"/>
      <c r="B23" s="13" t="s">
        <v>497</v>
      </c>
      <c r="C23" s="14">
        <v>0.86</v>
      </c>
      <c r="D23" s="14">
        <v>0.89</v>
      </c>
      <c r="E23" s="14">
        <v>0.78</v>
      </c>
      <c r="F23" s="14">
        <v>0.76</v>
      </c>
      <c r="G23" s="14">
        <v>0.92</v>
      </c>
      <c r="H23" s="14">
        <v>0.9</v>
      </c>
      <c r="I23" s="14">
        <v>0.89</v>
      </c>
      <c r="J23" s="14">
        <v>0.83000000000000007</v>
      </c>
      <c r="K23" s="14">
        <v>0.78</v>
      </c>
      <c r="L23" s="14">
        <v>0.9</v>
      </c>
      <c r="M23" s="14">
        <v>0.9</v>
      </c>
      <c r="N23" s="14">
        <v>0.9</v>
      </c>
      <c r="O23" s="14">
        <v>0.85</v>
      </c>
      <c r="P23" s="14">
        <v>0.86</v>
      </c>
      <c r="Q23" s="14">
        <v>0.89</v>
      </c>
      <c r="R23" s="14">
        <v>0.94000000000000006</v>
      </c>
      <c r="S23" s="14">
        <v>0.89</v>
      </c>
      <c r="T23" s="14">
        <v>0.9</v>
      </c>
      <c r="U23" s="14">
        <v>0.94000000000000006</v>
      </c>
      <c r="V23" s="14">
        <v>0.83000000000000007</v>
      </c>
      <c r="W23" s="14">
        <v>0.94000000000000006</v>
      </c>
      <c r="X23" s="14">
        <v>0.88</v>
      </c>
      <c r="Y23" s="14">
        <v>0.84</v>
      </c>
      <c r="Z23" s="14">
        <v>0.82000000000000006</v>
      </c>
      <c r="AA23" s="14">
        <v>0.94000000000000006</v>
      </c>
      <c r="AB23" s="14">
        <v>0.69000000000000006</v>
      </c>
      <c r="AC23" s="14">
        <v>0.88</v>
      </c>
      <c r="AD23" s="14">
        <v>0.92</v>
      </c>
      <c r="AE23" s="14">
        <v>0.88</v>
      </c>
      <c r="AF23" s="14">
        <v>0.86</v>
      </c>
    </row>
    <row r="24" spans="1:32">
      <c r="A24" s="19"/>
      <c r="B24" s="11" t="s">
        <v>498</v>
      </c>
      <c r="C24" s="12">
        <v>2730</v>
      </c>
      <c r="D24" s="12">
        <v>102</v>
      </c>
      <c r="E24" s="12">
        <v>162</v>
      </c>
      <c r="F24" s="12">
        <v>229</v>
      </c>
      <c r="G24" s="12">
        <v>64</v>
      </c>
      <c r="H24" s="12">
        <v>98</v>
      </c>
      <c r="I24" s="12">
        <v>144</v>
      </c>
      <c r="J24" s="12">
        <v>46</v>
      </c>
      <c r="K24" s="12">
        <v>153</v>
      </c>
      <c r="L24" s="12">
        <v>59</v>
      </c>
      <c r="M24" s="12">
        <v>81</v>
      </c>
      <c r="N24" s="12">
        <v>64</v>
      </c>
      <c r="O24" s="12">
        <v>91</v>
      </c>
      <c r="P24" s="12">
        <v>120</v>
      </c>
      <c r="Q24" s="12">
        <v>91</v>
      </c>
      <c r="R24" s="12">
        <v>16</v>
      </c>
      <c r="S24" s="12">
        <v>65</v>
      </c>
      <c r="T24" s="12">
        <v>63</v>
      </c>
      <c r="U24" s="12">
        <v>24</v>
      </c>
      <c r="V24" s="12">
        <v>158</v>
      </c>
      <c r="W24" s="12">
        <v>26</v>
      </c>
      <c r="X24" s="12">
        <v>103</v>
      </c>
      <c r="Y24" s="12">
        <v>138</v>
      </c>
      <c r="Z24" s="12">
        <v>133</v>
      </c>
      <c r="AA24" s="12">
        <v>6</v>
      </c>
      <c r="AB24" s="12">
        <v>279</v>
      </c>
      <c r="AC24" s="12">
        <v>96</v>
      </c>
      <c r="AD24" s="12">
        <v>70</v>
      </c>
      <c r="AE24" s="12">
        <v>98</v>
      </c>
      <c r="AF24" s="12">
        <v>126</v>
      </c>
    </row>
    <row r="25" spans="1:32">
      <c r="A25" s="19"/>
      <c r="B25" s="13" t="s">
        <v>499</v>
      </c>
      <c r="C25" s="14">
        <v>0.11</v>
      </c>
      <c r="D25" s="14">
        <v>0.1</v>
      </c>
      <c r="E25" s="14">
        <v>0.15</v>
      </c>
      <c r="F25" s="14">
        <v>0.21</v>
      </c>
      <c r="G25" s="14">
        <v>0.06</v>
      </c>
      <c r="H25" s="14">
        <v>0.08</v>
      </c>
      <c r="I25" s="14">
        <v>0.09</v>
      </c>
      <c r="J25" s="14">
        <v>0.15</v>
      </c>
      <c r="K25" s="14">
        <v>0.16</v>
      </c>
      <c r="L25" s="14">
        <v>0.06</v>
      </c>
      <c r="M25" s="14">
        <v>0.08</v>
      </c>
      <c r="N25" s="14">
        <v>7.0000000000000007E-2</v>
      </c>
      <c r="O25" s="14">
        <v>0.09</v>
      </c>
      <c r="P25" s="14">
        <v>0.12</v>
      </c>
      <c r="Q25" s="14">
        <v>0.09</v>
      </c>
      <c r="R25" s="14">
        <v>0.04</v>
      </c>
      <c r="S25" s="14">
        <v>7.0000000000000007E-2</v>
      </c>
      <c r="T25" s="14">
        <v>0.06</v>
      </c>
      <c r="U25" s="14">
        <v>0.05</v>
      </c>
      <c r="V25" s="14">
        <v>0.15</v>
      </c>
      <c r="W25" s="14">
        <v>0.05</v>
      </c>
      <c r="X25" s="14">
        <v>0.11</v>
      </c>
      <c r="Y25" s="14">
        <v>0.14000000000000001</v>
      </c>
      <c r="Z25" s="14">
        <v>0.13</v>
      </c>
      <c r="AA25" s="15" t="s">
        <v>375</v>
      </c>
      <c r="AB25" s="14">
        <v>0.27</v>
      </c>
      <c r="AC25" s="14">
        <v>0.1</v>
      </c>
      <c r="AD25" s="14">
        <v>7.0000000000000007E-2</v>
      </c>
      <c r="AE25" s="14">
        <v>0.1</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39</v>
      </c>
      <c r="C3" s="17"/>
      <c r="D3" s="17"/>
      <c r="E3" s="17"/>
      <c r="F3" s="17"/>
      <c r="H3" s="17" t="s">
        <v>40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HYPERLINK("#Content!A21","&lt;&lt;Back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508</v>
      </c>
      <c r="C12" s="12">
        <v>2515</v>
      </c>
      <c r="D12" s="12">
        <v>107</v>
      </c>
      <c r="E12" s="12">
        <v>130</v>
      </c>
      <c r="F12" s="12">
        <v>169</v>
      </c>
      <c r="G12" s="12">
        <v>108</v>
      </c>
      <c r="H12" s="12">
        <v>101</v>
      </c>
      <c r="I12" s="12">
        <v>128</v>
      </c>
      <c r="J12" s="12">
        <v>27</v>
      </c>
      <c r="K12" s="12">
        <v>101</v>
      </c>
      <c r="L12" s="12">
        <v>91</v>
      </c>
      <c r="M12" s="12">
        <v>78</v>
      </c>
      <c r="N12" s="12">
        <v>78</v>
      </c>
      <c r="O12" s="12">
        <v>90</v>
      </c>
      <c r="P12" s="12">
        <v>102</v>
      </c>
      <c r="Q12" s="12">
        <v>116</v>
      </c>
      <c r="R12" s="12">
        <v>38</v>
      </c>
      <c r="S12" s="12">
        <v>93</v>
      </c>
      <c r="T12" s="12">
        <v>69</v>
      </c>
      <c r="U12" s="12">
        <v>49</v>
      </c>
      <c r="V12" s="12">
        <v>110</v>
      </c>
      <c r="W12" s="12">
        <v>37</v>
      </c>
      <c r="X12" s="12">
        <v>103</v>
      </c>
      <c r="Y12" s="12">
        <v>73</v>
      </c>
      <c r="Z12" s="12">
        <v>96</v>
      </c>
      <c r="AA12" s="12">
        <v>104</v>
      </c>
      <c r="AB12" s="12">
        <v>95</v>
      </c>
      <c r="AC12" s="12">
        <v>128</v>
      </c>
      <c r="AD12" s="12">
        <v>140</v>
      </c>
      <c r="AE12" s="12">
        <v>115</v>
      </c>
      <c r="AF12" s="12">
        <v>94</v>
      </c>
    </row>
    <row r="13" spans="1:32">
      <c r="A13" s="19"/>
      <c r="B13" s="13" t="s">
        <v>509</v>
      </c>
      <c r="C13" s="14">
        <v>0.1</v>
      </c>
      <c r="D13" s="14">
        <v>0.11</v>
      </c>
      <c r="E13" s="14">
        <v>0.12</v>
      </c>
      <c r="F13" s="14">
        <v>0.16</v>
      </c>
      <c r="G13" s="14">
        <v>0.11</v>
      </c>
      <c r="H13" s="14">
        <v>0.08</v>
      </c>
      <c r="I13" s="14">
        <v>0.08</v>
      </c>
      <c r="J13" s="14">
        <v>0.09</v>
      </c>
      <c r="K13" s="14">
        <v>0.1</v>
      </c>
      <c r="L13" s="14">
        <v>0.09</v>
      </c>
      <c r="M13" s="14">
        <v>0.08</v>
      </c>
      <c r="N13" s="14">
        <v>0.08</v>
      </c>
      <c r="O13" s="14">
        <v>0.09</v>
      </c>
      <c r="P13" s="14">
        <v>0.1</v>
      </c>
      <c r="Q13" s="14">
        <v>0.11</v>
      </c>
      <c r="R13" s="14">
        <v>7.0000000000000007E-2</v>
      </c>
      <c r="S13" s="14">
        <v>0.09</v>
      </c>
      <c r="T13" s="14">
        <v>7.0000000000000007E-2</v>
      </c>
      <c r="U13" s="14">
        <v>0.1</v>
      </c>
      <c r="V13" s="14">
        <v>0.11</v>
      </c>
      <c r="W13" s="14">
        <v>7.0000000000000007E-2</v>
      </c>
      <c r="X13" s="14">
        <v>0.1</v>
      </c>
      <c r="Y13" s="14">
        <v>7.0000000000000007E-2</v>
      </c>
      <c r="Z13" s="14">
        <v>0.09</v>
      </c>
      <c r="AA13" s="14">
        <v>0.1</v>
      </c>
      <c r="AB13" s="14">
        <v>0.09</v>
      </c>
      <c r="AC13" s="14">
        <v>0.13</v>
      </c>
      <c r="AD13" s="14">
        <v>0.14000000000000001</v>
      </c>
      <c r="AE13" s="14">
        <v>0.11</v>
      </c>
      <c r="AF13" s="14">
        <v>0.09</v>
      </c>
    </row>
    <row r="14" spans="1:32">
      <c r="A14" s="19"/>
      <c r="B14" s="11" t="s">
        <v>510</v>
      </c>
      <c r="C14" s="12">
        <v>5252</v>
      </c>
      <c r="D14" s="12">
        <v>201</v>
      </c>
      <c r="E14" s="12">
        <v>91</v>
      </c>
      <c r="F14" s="12">
        <v>192</v>
      </c>
      <c r="G14" s="12">
        <v>240</v>
      </c>
      <c r="H14" s="12">
        <v>277</v>
      </c>
      <c r="I14" s="12">
        <v>334</v>
      </c>
      <c r="J14" s="12">
        <v>57</v>
      </c>
      <c r="K14" s="12">
        <v>164</v>
      </c>
      <c r="L14" s="12">
        <v>152</v>
      </c>
      <c r="M14" s="12">
        <v>150</v>
      </c>
      <c r="N14" s="12">
        <v>109</v>
      </c>
      <c r="O14" s="12">
        <v>221</v>
      </c>
      <c r="P14" s="12">
        <v>133</v>
      </c>
      <c r="Q14" s="12">
        <v>236</v>
      </c>
      <c r="R14" s="12">
        <v>107</v>
      </c>
      <c r="S14" s="12">
        <v>245</v>
      </c>
      <c r="T14" s="12">
        <v>334</v>
      </c>
      <c r="U14" s="12">
        <v>109</v>
      </c>
      <c r="V14" s="12">
        <v>155</v>
      </c>
      <c r="W14" s="12">
        <v>76</v>
      </c>
      <c r="X14" s="12">
        <v>252</v>
      </c>
      <c r="Y14" s="12">
        <v>152</v>
      </c>
      <c r="Z14" s="12">
        <v>302</v>
      </c>
      <c r="AA14" s="12">
        <v>121</v>
      </c>
      <c r="AB14" s="12">
        <v>150</v>
      </c>
      <c r="AC14" s="12">
        <v>116</v>
      </c>
      <c r="AD14" s="12">
        <v>120</v>
      </c>
      <c r="AE14" s="12">
        <v>242</v>
      </c>
      <c r="AF14" s="12">
        <v>154</v>
      </c>
    </row>
    <row r="15" spans="1:32">
      <c r="A15" s="19"/>
      <c r="B15" s="13" t="s">
        <v>511</v>
      </c>
      <c r="C15" s="14">
        <v>0.2</v>
      </c>
      <c r="D15" s="14">
        <v>0.2</v>
      </c>
      <c r="E15" s="14">
        <v>0.09</v>
      </c>
      <c r="F15" s="14">
        <v>0.18</v>
      </c>
      <c r="G15" s="14">
        <v>0.24</v>
      </c>
      <c r="H15" s="14">
        <v>0.23</v>
      </c>
      <c r="I15" s="14">
        <v>0.22</v>
      </c>
      <c r="J15" s="14">
        <v>0.19</v>
      </c>
      <c r="K15" s="14">
        <v>0.16</v>
      </c>
      <c r="L15" s="14">
        <v>0.15</v>
      </c>
      <c r="M15" s="14">
        <v>0.15</v>
      </c>
      <c r="N15" s="14">
        <v>0.11</v>
      </c>
      <c r="O15" s="14">
        <v>0.22</v>
      </c>
      <c r="P15" s="14">
        <v>0.13</v>
      </c>
      <c r="Q15" s="14">
        <v>0.23</v>
      </c>
      <c r="R15" s="14">
        <v>0.21</v>
      </c>
      <c r="S15" s="14">
        <v>0.24</v>
      </c>
      <c r="T15" s="14">
        <v>0.33</v>
      </c>
      <c r="U15" s="14">
        <v>0.21</v>
      </c>
      <c r="V15" s="14">
        <v>0.15</v>
      </c>
      <c r="W15" s="14">
        <v>0.15</v>
      </c>
      <c r="X15" s="14">
        <v>0.25</v>
      </c>
      <c r="Y15" s="14">
        <v>0.15</v>
      </c>
      <c r="Z15" s="14">
        <v>0.3</v>
      </c>
      <c r="AA15" s="14">
        <v>0.12</v>
      </c>
      <c r="AB15" s="14">
        <v>0.14000000000000001</v>
      </c>
      <c r="AC15" s="14">
        <v>0.11</v>
      </c>
      <c r="AD15" s="14">
        <v>0.12</v>
      </c>
      <c r="AE15" s="14">
        <v>0.24</v>
      </c>
      <c r="AF15" s="14">
        <v>0.15</v>
      </c>
    </row>
    <row r="16" spans="1:32">
      <c r="A16" s="19"/>
      <c r="B16" s="11" t="s">
        <v>512</v>
      </c>
      <c r="C16" s="12">
        <v>1570</v>
      </c>
      <c r="D16" s="12">
        <v>52</v>
      </c>
      <c r="E16" s="12">
        <v>104</v>
      </c>
      <c r="F16" s="12">
        <v>74</v>
      </c>
      <c r="G16" s="12">
        <v>61</v>
      </c>
      <c r="H16" s="12">
        <v>83</v>
      </c>
      <c r="I16" s="12">
        <v>98</v>
      </c>
      <c r="J16" s="12">
        <v>15</v>
      </c>
      <c r="K16" s="12">
        <v>72</v>
      </c>
      <c r="L16" s="12">
        <v>47</v>
      </c>
      <c r="M16" s="12">
        <v>64</v>
      </c>
      <c r="N16" s="12">
        <v>45</v>
      </c>
      <c r="O16" s="12">
        <v>64</v>
      </c>
      <c r="P16" s="12">
        <v>53</v>
      </c>
      <c r="Q16" s="12">
        <v>65</v>
      </c>
      <c r="R16" s="12">
        <v>33</v>
      </c>
      <c r="S16" s="12">
        <v>100</v>
      </c>
      <c r="T16" s="12">
        <v>100</v>
      </c>
      <c r="U16" s="12">
        <v>50</v>
      </c>
      <c r="V16" s="12">
        <v>58</v>
      </c>
      <c r="W16" s="12">
        <v>18</v>
      </c>
      <c r="X16" s="12">
        <v>42</v>
      </c>
      <c r="Y16" s="12">
        <v>44</v>
      </c>
      <c r="Z16" s="12">
        <v>59</v>
      </c>
      <c r="AA16" s="12">
        <v>17</v>
      </c>
      <c r="AB16" s="12">
        <v>74</v>
      </c>
      <c r="AC16" s="12">
        <v>77</v>
      </c>
      <c r="AD16" s="12">
        <v>76</v>
      </c>
      <c r="AE16" s="12">
        <v>85</v>
      </c>
      <c r="AF16" s="12">
        <v>50</v>
      </c>
    </row>
    <row r="17" spans="1:32">
      <c r="A17" s="19"/>
      <c r="B17" s="13" t="s">
        <v>513</v>
      </c>
      <c r="C17" s="14">
        <v>0.06</v>
      </c>
      <c r="D17" s="14">
        <v>0.05</v>
      </c>
      <c r="E17" s="14">
        <v>0.1</v>
      </c>
      <c r="F17" s="14">
        <v>7.0000000000000007E-2</v>
      </c>
      <c r="G17" s="14">
        <v>0.06</v>
      </c>
      <c r="H17" s="14">
        <v>7.0000000000000007E-2</v>
      </c>
      <c r="I17" s="14">
        <v>0.06</v>
      </c>
      <c r="J17" s="14">
        <v>0.05</v>
      </c>
      <c r="K17" s="14">
        <v>7.0000000000000007E-2</v>
      </c>
      <c r="L17" s="14">
        <v>0.05</v>
      </c>
      <c r="M17" s="14">
        <v>0.06</v>
      </c>
      <c r="N17" s="14">
        <v>0.04</v>
      </c>
      <c r="O17" s="14">
        <v>0.06</v>
      </c>
      <c r="P17" s="14">
        <v>0.05</v>
      </c>
      <c r="Q17" s="14">
        <v>0.06</v>
      </c>
      <c r="R17" s="14">
        <v>7.0000000000000007E-2</v>
      </c>
      <c r="S17" s="14">
        <v>0.1</v>
      </c>
      <c r="T17" s="14">
        <v>0.1</v>
      </c>
      <c r="U17" s="14">
        <v>0.1</v>
      </c>
      <c r="V17" s="14">
        <v>0.06</v>
      </c>
      <c r="W17" s="14">
        <v>0.04</v>
      </c>
      <c r="X17" s="14">
        <v>0.04</v>
      </c>
      <c r="Y17" s="14">
        <v>0.04</v>
      </c>
      <c r="Z17" s="14">
        <v>0.06</v>
      </c>
      <c r="AA17" s="14">
        <v>0.02</v>
      </c>
      <c r="AB17" s="14">
        <v>7.0000000000000007E-2</v>
      </c>
      <c r="AC17" s="14">
        <v>0.08</v>
      </c>
      <c r="AD17" s="14">
        <v>7.0000000000000007E-2</v>
      </c>
      <c r="AE17" s="14">
        <v>0.09</v>
      </c>
      <c r="AF17" s="14">
        <v>0.05</v>
      </c>
    </row>
    <row r="18" spans="1:32">
      <c r="A18" s="19"/>
      <c r="B18" s="11" t="s">
        <v>514</v>
      </c>
      <c r="C18" s="12">
        <v>592</v>
      </c>
      <c r="D18" s="12">
        <v>23</v>
      </c>
      <c r="E18" s="12">
        <v>37</v>
      </c>
      <c r="F18" s="12">
        <v>31</v>
      </c>
      <c r="G18" s="12">
        <v>20</v>
      </c>
      <c r="H18" s="12">
        <v>31</v>
      </c>
      <c r="I18" s="12">
        <v>35</v>
      </c>
      <c r="J18" s="12">
        <v>4</v>
      </c>
      <c r="K18" s="12">
        <v>40</v>
      </c>
      <c r="L18" s="12">
        <v>22</v>
      </c>
      <c r="M18" s="12">
        <v>19</v>
      </c>
      <c r="N18" s="12">
        <v>16</v>
      </c>
      <c r="O18" s="12">
        <v>15</v>
      </c>
      <c r="P18" s="12">
        <v>32</v>
      </c>
      <c r="Q18" s="12">
        <v>26</v>
      </c>
      <c r="R18" s="12">
        <v>5</v>
      </c>
      <c r="S18" s="12">
        <v>43</v>
      </c>
      <c r="T18" s="12">
        <v>60</v>
      </c>
      <c r="U18" s="12">
        <v>21</v>
      </c>
      <c r="V18" s="12">
        <v>33</v>
      </c>
      <c r="W18" s="12">
        <v>15</v>
      </c>
      <c r="X18" s="12">
        <v>10</v>
      </c>
      <c r="Y18" s="12">
        <v>25</v>
      </c>
      <c r="Z18" s="12">
        <v>30</v>
      </c>
      <c r="AA18" s="12">
        <v>17</v>
      </c>
      <c r="AB18" s="12">
        <v>36</v>
      </c>
      <c r="AC18" s="12">
        <v>36</v>
      </c>
      <c r="AD18" s="12">
        <v>41</v>
      </c>
      <c r="AE18" s="12">
        <v>14</v>
      </c>
      <c r="AF18" s="12">
        <v>12</v>
      </c>
    </row>
    <row r="19" spans="1:32">
      <c r="A19" s="19"/>
      <c r="B19" s="13" t="s">
        <v>515</v>
      </c>
      <c r="C19" s="14">
        <v>0.02</v>
      </c>
      <c r="D19" s="14">
        <v>0.02</v>
      </c>
      <c r="E19" s="14">
        <v>0.04</v>
      </c>
      <c r="F19" s="14">
        <v>0.03</v>
      </c>
      <c r="G19" s="14">
        <v>0.02</v>
      </c>
      <c r="H19" s="14">
        <v>0.02</v>
      </c>
      <c r="I19" s="14">
        <v>0.02</v>
      </c>
      <c r="J19" s="14">
        <v>0.02</v>
      </c>
      <c r="K19" s="14">
        <v>0.04</v>
      </c>
      <c r="L19" s="14">
        <v>0.02</v>
      </c>
      <c r="M19" s="14">
        <v>0.02</v>
      </c>
      <c r="N19" s="14">
        <v>0.02</v>
      </c>
      <c r="O19" s="14">
        <v>0.02</v>
      </c>
      <c r="P19" s="14">
        <v>0.03</v>
      </c>
      <c r="Q19" s="14">
        <v>0.03</v>
      </c>
      <c r="R19" s="14">
        <v>0.01</v>
      </c>
      <c r="S19" s="14">
        <v>0.04</v>
      </c>
      <c r="T19" s="14">
        <v>0.06</v>
      </c>
      <c r="U19" s="14">
        <v>0.04</v>
      </c>
      <c r="V19" s="14">
        <v>0.03</v>
      </c>
      <c r="W19" s="14">
        <v>0.03</v>
      </c>
      <c r="X19" s="14">
        <v>0.01</v>
      </c>
      <c r="Y19" s="14">
        <v>0.02</v>
      </c>
      <c r="Z19" s="14">
        <v>0.03</v>
      </c>
      <c r="AA19" s="14">
        <v>0.02</v>
      </c>
      <c r="AB19" s="14">
        <v>0.04</v>
      </c>
      <c r="AC19" s="14">
        <v>0.04</v>
      </c>
      <c r="AD19" s="14">
        <v>0.04</v>
      </c>
      <c r="AE19" s="14">
        <v>0.01</v>
      </c>
      <c r="AF19" s="14">
        <v>0.01</v>
      </c>
    </row>
    <row r="20" spans="1:32">
      <c r="A20" s="19"/>
      <c r="B20" s="11" t="s">
        <v>516</v>
      </c>
      <c r="C20" s="12">
        <v>1042</v>
      </c>
      <c r="D20" s="12">
        <v>55</v>
      </c>
      <c r="E20" s="12">
        <v>42</v>
      </c>
      <c r="F20" s="12">
        <v>48</v>
      </c>
      <c r="G20" s="12">
        <v>57</v>
      </c>
      <c r="H20" s="12">
        <v>46</v>
      </c>
      <c r="I20" s="12">
        <v>54</v>
      </c>
      <c r="J20" s="12">
        <v>8</v>
      </c>
      <c r="K20" s="12">
        <v>60</v>
      </c>
      <c r="L20" s="12">
        <v>36</v>
      </c>
      <c r="M20" s="12">
        <v>20</v>
      </c>
      <c r="N20" s="12">
        <v>47</v>
      </c>
      <c r="O20" s="12">
        <v>32</v>
      </c>
      <c r="P20" s="12">
        <v>49</v>
      </c>
      <c r="Q20" s="12">
        <v>46</v>
      </c>
      <c r="R20" s="12">
        <v>13</v>
      </c>
      <c r="S20" s="12">
        <v>34</v>
      </c>
      <c r="T20" s="12">
        <v>41</v>
      </c>
      <c r="U20" s="12">
        <v>12</v>
      </c>
      <c r="V20" s="12">
        <v>40</v>
      </c>
      <c r="W20" s="12">
        <v>37</v>
      </c>
      <c r="X20" s="12">
        <v>78</v>
      </c>
      <c r="Y20" s="12">
        <v>47</v>
      </c>
      <c r="Z20" s="12">
        <v>30</v>
      </c>
      <c r="AA20" s="12">
        <v>20</v>
      </c>
      <c r="AB20" s="12">
        <v>31</v>
      </c>
      <c r="AC20" s="12">
        <v>57</v>
      </c>
      <c r="AD20" s="12">
        <v>29</v>
      </c>
      <c r="AE20" s="12">
        <v>46</v>
      </c>
      <c r="AF20" s="12">
        <v>42</v>
      </c>
    </row>
    <row r="21" spans="1:32">
      <c r="A21" s="19"/>
      <c r="B21" s="13" t="s">
        <v>517</v>
      </c>
      <c r="C21" s="14">
        <v>0.04</v>
      </c>
      <c r="D21" s="14">
        <v>0.05</v>
      </c>
      <c r="E21" s="14">
        <v>0.04</v>
      </c>
      <c r="F21" s="14">
        <v>0.05</v>
      </c>
      <c r="G21" s="14">
        <v>0.06</v>
      </c>
      <c r="H21" s="14">
        <v>0.04</v>
      </c>
      <c r="I21" s="14">
        <v>0.04</v>
      </c>
      <c r="J21" s="14">
        <v>0.03</v>
      </c>
      <c r="K21" s="14">
        <v>0.06</v>
      </c>
      <c r="L21" s="14">
        <v>0.04</v>
      </c>
      <c r="M21" s="14">
        <v>0.02</v>
      </c>
      <c r="N21" s="14">
        <v>0.05</v>
      </c>
      <c r="O21" s="14">
        <v>0.03</v>
      </c>
      <c r="P21" s="14">
        <v>0.05</v>
      </c>
      <c r="Q21" s="14">
        <v>0.04</v>
      </c>
      <c r="R21" s="14">
        <v>0.03</v>
      </c>
      <c r="S21" s="14">
        <v>0.04</v>
      </c>
      <c r="T21" s="14">
        <v>0.04</v>
      </c>
      <c r="U21" s="14">
        <v>0.02</v>
      </c>
      <c r="V21" s="14">
        <v>0.04</v>
      </c>
      <c r="W21" s="14">
        <v>7.0000000000000007E-2</v>
      </c>
      <c r="X21" s="14">
        <v>0.08</v>
      </c>
      <c r="Y21" s="14">
        <v>0.05</v>
      </c>
      <c r="Z21" s="14">
        <v>0.03</v>
      </c>
      <c r="AA21" s="14">
        <v>0.02</v>
      </c>
      <c r="AB21" s="14">
        <v>0.03</v>
      </c>
      <c r="AC21" s="14">
        <v>0.06</v>
      </c>
      <c r="AD21" s="14">
        <v>0.03</v>
      </c>
      <c r="AE21" s="14">
        <v>0.05</v>
      </c>
      <c r="AF21" s="14">
        <v>0.04</v>
      </c>
    </row>
    <row r="22" spans="1:32">
      <c r="A22" s="19"/>
      <c r="B22" s="11" t="s">
        <v>518</v>
      </c>
      <c r="C22" s="12">
        <v>2099</v>
      </c>
      <c r="D22" s="12">
        <v>92</v>
      </c>
      <c r="E22" s="12">
        <v>73</v>
      </c>
      <c r="F22" s="12">
        <v>67</v>
      </c>
      <c r="G22" s="12">
        <v>117</v>
      </c>
      <c r="H22" s="12">
        <v>112</v>
      </c>
      <c r="I22" s="12">
        <v>136</v>
      </c>
      <c r="J22" s="12">
        <v>24</v>
      </c>
      <c r="K22" s="12">
        <v>76</v>
      </c>
      <c r="L22" s="12">
        <v>86</v>
      </c>
      <c r="M22" s="12">
        <v>70</v>
      </c>
      <c r="N22" s="12">
        <v>97</v>
      </c>
      <c r="O22" s="12">
        <v>85</v>
      </c>
      <c r="P22" s="12">
        <v>43</v>
      </c>
      <c r="Q22" s="12">
        <v>41</v>
      </c>
      <c r="R22" s="12">
        <v>35</v>
      </c>
      <c r="S22" s="12">
        <v>54</v>
      </c>
      <c r="T22" s="12">
        <v>43</v>
      </c>
      <c r="U22" s="12">
        <v>38</v>
      </c>
      <c r="V22" s="12">
        <v>83</v>
      </c>
      <c r="W22" s="12">
        <v>40</v>
      </c>
      <c r="X22" s="12">
        <v>111</v>
      </c>
      <c r="Y22" s="12">
        <v>140</v>
      </c>
      <c r="Z22" s="12">
        <v>46</v>
      </c>
      <c r="AA22" s="12">
        <v>85</v>
      </c>
      <c r="AB22" s="12">
        <v>71</v>
      </c>
      <c r="AC22" s="12">
        <v>72</v>
      </c>
      <c r="AD22" s="12">
        <v>95</v>
      </c>
      <c r="AE22" s="12">
        <v>84</v>
      </c>
      <c r="AF22" s="12">
        <v>179</v>
      </c>
    </row>
    <row r="23" spans="1:32">
      <c r="A23" s="19"/>
      <c r="B23" s="13" t="s">
        <v>519</v>
      </c>
      <c r="C23" s="14">
        <v>0.08</v>
      </c>
      <c r="D23" s="14">
        <v>0.09</v>
      </c>
      <c r="E23" s="14">
        <v>7.0000000000000007E-2</v>
      </c>
      <c r="F23" s="14">
        <v>0.06</v>
      </c>
      <c r="G23" s="14">
        <v>0.11</v>
      </c>
      <c r="H23" s="14">
        <v>0.09</v>
      </c>
      <c r="I23" s="14">
        <v>0.09</v>
      </c>
      <c r="J23" s="14">
        <v>0.08</v>
      </c>
      <c r="K23" s="14">
        <v>0.08</v>
      </c>
      <c r="L23" s="14">
        <v>0.09</v>
      </c>
      <c r="M23" s="14">
        <v>7.0000000000000007E-2</v>
      </c>
      <c r="N23" s="14">
        <v>0.1</v>
      </c>
      <c r="O23" s="14">
        <v>0.08</v>
      </c>
      <c r="P23" s="14">
        <v>0.04</v>
      </c>
      <c r="Q23" s="14">
        <v>0.04</v>
      </c>
      <c r="R23" s="14">
        <v>7.0000000000000007E-2</v>
      </c>
      <c r="S23" s="14">
        <v>0.05</v>
      </c>
      <c r="T23" s="14">
        <v>0.04</v>
      </c>
      <c r="U23" s="14">
        <v>7.0000000000000007E-2</v>
      </c>
      <c r="V23" s="14">
        <v>0.08</v>
      </c>
      <c r="W23" s="14">
        <v>0.08</v>
      </c>
      <c r="X23" s="14">
        <v>0.11</v>
      </c>
      <c r="Y23" s="14">
        <v>0.14000000000000001</v>
      </c>
      <c r="Z23" s="14">
        <v>0.04</v>
      </c>
      <c r="AA23" s="14">
        <v>0.08</v>
      </c>
      <c r="AB23" s="14">
        <v>7.0000000000000007E-2</v>
      </c>
      <c r="AC23" s="14">
        <v>7.0000000000000007E-2</v>
      </c>
      <c r="AD23" s="14">
        <v>0.09</v>
      </c>
      <c r="AE23" s="14">
        <v>0.08</v>
      </c>
      <c r="AF23" s="14">
        <v>0.18</v>
      </c>
    </row>
    <row r="24" spans="1:32">
      <c r="A24" s="19"/>
      <c r="B24" s="11" t="s">
        <v>520</v>
      </c>
      <c r="C24" s="12">
        <v>3487</v>
      </c>
      <c r="D24" s="12">
        <v>105</v>
      </c>
      <c r="E24" s="12">
        <v>170</v>
      </c>
      <c r="F24" s="12">
        <v>146</v>
      </c>
      <c r="G24" s="12">
        <v>117</v>
      </c>
      <c r="H24" s="12">
        <v>206</v>
      </c>
      <c r="I24" s="12">
        <v>265</v>
      </c>
      <c r="J24" s="12">
        <v>59</v>
      </c>
      <c r="K24" s="12">
        <v>133</v>
      </c>
      <c r="L24" s="12">
        <v>108</v>
      </c>
      <c r="M24" s="12">
        <v>238</v>
      </c>
      <c r="N24" s="12">
        <v>123</v>
      </c>
      <c r="O24" s="12">
        <v>98</v>
      </c>
      <c r="P24" s="12">
        <v>144</v>
      </c>
      <c r="Q24" s="12">
        <v>137</v>
      </c>
      <c r="R24" s="12">
        <v>35</v>
      </c>
      <c r="S24" s="12">
        <v>120</v>
      </c>
      <c r="T24" s="12">
        <v>96</v>
      </c>
      <c r="U24" s="12">
        <v>68</v>
      </c>
      <c r="V24" s="12">
        <v>136</v>
      </c>
      <c r="W24" s="12">
        <v>46</v>
      </c>
      <c r="X24" s="12">
        <v>86</v>
      </c>
      <c r="Y24" s="12">
        <v>127</v>
      </c>
      <c r="Z24" s="12">
        <v>86</v>
      </c>
      <c r="AA24" s="12">
        <v>234</v>
      </c>
      <c r="AB24" s="12">
        <v>128</v>
      </c>
      <c r="AC24" s="12">
        <v>135</v>
      </c>
      <c r="AD24" s="12">
        <v>162</v>
      </c>
      <c r="AE24" s="12">
        <v>168</v>
      </c>
      <c r="AF24" s="12">
        <v>129</v>
      </c>
    </row>
    <row r="25" spans="1:32">
      <c r="A25" s="19"/>
      <c r="B25" s="13" t="s">
        <v>521</v>
      </c>
      <c r="C25" s="14">
        <v>0.13</v>
      </c>
      <c r="D25" s="14">
        <v>0.1</v>
      </c>
      <c r="E25" s="14">
        <v>0.16</v>
      </c>
      <c r="F25" s="14">
        <v>0.14000000000000001</v>
      </c>
      <c r="G25" s="14">
        <v>0.11</v>
      </c>
      <c r="H25" s="14">
        <v>0.17</v>
      </c>
      <c r="I25" s="14">
        <v>0.17</v>
      </c>
      <c r="J25" s="14">
        <v>0.2</v>
      </c>
      <c r="K25" s="14">
        <v>0.13</v>
      </c>
      <c r="L25" s="14">
        <v>0.11</v>
      </c>
      <c r="M25" s="14">
        <v>0.24</v>
      </c>
      <c r="N25" s="14">
        <v>0.12</v>
      </c>
      <c r="O25" s="14">
        <v>0.1</v>
      </c>
      <c r="P25" s="14">
        <v>0.14000000000000001</v>
      </c>
      <c r="Q25" s="14">
        <v>0.13</v>
      </c>
      <c r="R25" s="14">
        <v>7.0000000000000007E-2</v>
      </c>
      <c r="S25" s="14">
        <v>0.12</v>
      </c>
      <c r="T25" s="14">
        <v>0.09</v>
      </c>
      <c r="U25" s="14">
        <v>0.13</v>
      </c>
      <c r="V25" s="14">
        <v>0.13</v>
      </c>
      <c r="W25" s="14">
        <v>0.09</v>
      </c>
      <c r="X25" s="14">
        <v>0.09</v>
      </c>
      <c r="Y25" s="14">
        <v>0.13</v>
      </c>
      <c r="Z25" s="14">
        <v>0.09</v>
      </c>
      <c r="AA25" s="14">
        <v>0.22</v>
      </c>
      <c r="AB25" s="14">
        <v>0.12</v>
      </c>
      <c r="AC25" s="14">
        <v>0.13</v>
      </c>
      <c r="AD25" s="14">
        <v>0.16</v>
      </c>
      <c r="AE25" s="14">
        <v>0.17</v>
      </c>
      <c r="AF25" s="14">
        <v>0.13</v>
      </c>
    </row>
    <row r="26" spans="1:32">
      <c r="A26" s="19"/>
      <c r="B26" s="11" t="s">
        <v>522</v>
      </c>
      <c r="C26" s="12">
        <v>1188</v>
      </c>
      <c r="D26" s="12">
        <v>68</v>
      </c>
      <c r="E26" s="12">
        <v>40</v>
      </c>
      <c r="F26" s="12">
        <v>55</v>
      </c>
      <c r="G26" s="12">
        <v>66</v>
      </c>
      <c r="H26" s="12">
        <v>78</v>
      </c>
      <c r="I26" s="12">
        <v>93</v>
      </c>
      <c r="J26" s="12">
        <v>15</v>
      </c>
      <c r="K26" s="12">
        <v>37</v>
      </c>
      <c r="L26" s="12">
        <v>62</v>
      </c>
      <c r="M26" s="12">
        <v>23</v>
      </c>
      <c r="N26" s="12">
        <v>47</v>
      </c>
      <c r="O26" s="12">
        <v>34</v>
      </c>
      <c r="P26" s="12">
        <v>37</v>
      </c>
      <c r="Q26" s="12">
        <v>41</v>
      </c>
      <c r="R26" s="12">
        <v>8</v>
      </c>
      <c r="S26" s="12">
        <v>52</v>
      </c>
      <c r="T26" s="12">
        <v>22</v>
      </c>
      <c r="U26" s="12">
        <v>18</v>
      </c>
      <c r="V26" s="12">
        <v>47</v>
      </c>
      <c r="W26" s="12">
        <v>25</v>
      </c>
      <c r="X26" s="12">
        <v>47</v>
      </c>
      <c r="Y26" s="12">
        <v>39</v>
      </c>
      <c r="Z26" s="12">
        <v>47</v>
      </c>
      <c r="AA26" s="12">
        <v>30</v>
      </c>
      <c r="AB26" s="12">
        <v>41</v>
      </c>
      <c r="AC26" s="12">
        <v>51</v>
      </c>
      <c r="AD26" s="12">
        <v>37</v>
      </c>
      <c r="AE26" s="12">
        <v>27</v>
      </c>
      <c r="AF26" s="12">
        <v>41</v>
      </c>
    </row>
    <row r="27" spans="1:32">
      <c r="A27" s="19"/>
      <c r="B27" s="13" t="s">
        <v>523</v>
      </c>
      <c r="C27" s="14">
        <v>0.05</v>
      </c>
      <c r="D27" s="14">
        <v>7.0000000000000007E-2</v>
      </c>
      <c r="E27" s="14">
        <v>0.04</v>
      </c>
      <c r="F27" s="14">
        <v>0.05</v>
      </c>
      <c r="G27" s="14">
        <v>0.06</v>
      </c>
      <c r="H27" s="14">
        <v>0.06</v>
      </c>
      <c r="I27" s="14">
        <v>0.06</v>
      </c>
      <c r="J27" s="14">
        <v>0.05</v>
      </c>
      <c r="K27" s="14">
        <v>0.04</v>
      </c>
      <c r="L27" s="14">
        <v>0.06</v>
      </c>
      <c r="M27" s="14">
        <v>0.02</v>
      </c>
      <c r="N27" s="14">
        <v>0.05</v>
      </c>
      <c r="O27" s="14">
        <v>0.03</v>
      </c>
      <c r="P27" s="14">
        <v>0.04</v>
      </c>
      <c r="Q27" s="14">
        <v>0.04</v>
      </c>
      <c r="R27" s="14">
        <v>0.02</v>
      </c>
      <c r="S27" s="14">
        <v>0.05</v>
      </c>
      <c r="T27" s="14">
        <v>0.02</v>
      </c>
      <c r="U27" s="14">
        <v>0.04</v>
      </c>
      <c r="V27" s="14">
        <v>0.05</v>
      </c>
      <c r="W27" s="14">
        <v>0.05</v>
      </c>
      <c r="X27" s="14">
        <v>0.05</v>
      </c>
      <c r="Y27" s="14">
        <v>0.04</v>
      </c>
      <c r="Z27" s="14">
        <v>0.05</v>
      </c>
      <c r="AA27" s="14">
        <v>0.03</v>
      </c>
      <c r="AB27" s="14">
        <v>0.04</v>
      </c>
      <c r="AC27" s="14">
        <v>0.05</v>
      </c>
      <c r="AD27" s="14">
        <v>0.04</v>
      </c>
      <c r="AE27" s="14">
        <v>0.03</v>
      </c>
      <c r="AF27" s="14">
        <v>0.04</v>
      </c>
    </row>
    <row r="28" spans="1:32">
      <c r="A28" s="19"/>
      <c r="B28" s="11" t="s">
        <v>524</v>
      </c>
      <c r="C28" s="12">
        <v>799</v>
      </c>
      <c r="D28" s="12">
        <v>60</v>
      </c>
      <c r="E28" s="12">
        <v>34</v>
      </c>
      <c r="F28" s="12">
        <v>13</v>
      </c>
      <c r="G28" s="12">
        <v>4</v>
      </c>
      <c r="H28" s="12">
        <v>35</v>
      </c>
      <c r="I28" s="12">
        <v>41</v>
      </c>
      <c r="J28" s="12">
        <v>6</v>
      </c>
      <c r="K28" s="12">
        <v>30</v>
      </c>
      <c r="L28" s="12">
        <v>33</v>
      </c>
      <c r="M28" s="12">
        <v>15</v>
      </c>
      <c r="N28" s="12">
        <v>24</v>
      </c>
      <c r="O28" s="12">
        <v>31</v>
      </c>
      <c r="P28" s="12">
        <v>32</v>
      </c>
      <c r="Q28" s="12">
        <v>62</v>
      </c>
      <c r="R28" s="12">
        <v>14</v>
      </c>
      <c r="S28" s="12">
        <v>11</v>
      </c>
      <c r="T28" s="12">
        <v>19</v>
      </c>
      <c r="U28" s="12">
        <v>10</v>
      </c>
      <c r="V28" s="12">
        <v>54</v>
      </c>
      <c r="W28" s="12">
        <v>15</v>
      </c>
      <c r="X28" s="12">
        <v>15</v>
      </c>
      <c r="Y28" s="12">
        <v>33</v>
      </c>
      <c r="Z28" s="12">
        <v>7</v>
      </c>
      <c r="AA28" s="12">
        <v>41</v>
      </c>
      <c r="AB28" s="12">
        <v>35</v>
      </c>
      <c r="AC28" s="12">
        <v>59</v>
      </c>
      <c r="AD28" s="12">
        <v>31</v>
      </c>
      <c r="AE28" s="12">
        <v>7</v>
      </c>
      <c r="AF28" s="12">
        <v>4</v>
      </c>
    </row>
    <row r="29" spans="1:32">
      <c r="A29" s="19"/>
      <c r="B29" s="13" t="s">
        <v>525</v>
      </c>
      <c r="C29" s="14">
        <v>0.03</v>
      </c>
      <c r="D29" s="14">
        <v>0.06</v>
      </c>
      <c r="E29" s="14">
        <v>0.03</v>
      </c>
      <c r="F29" s="14">
        <v>0.01</v>
      </c>
      <c r="G29" s="15" t="s">
        <v>375</v>
      </c>
      <c r="H29" s="14">
        <v>0.03</v>
      </c>
      <c r="I29" s="14">
        <v>0.03</v>
      </c>
      <c r="J29" s="14">
        <v>0.02</v>
      </c>
      <c r="K29" s="14">
        <v>0.03</v>
      </c>
      <c r="L29" s="14">
        <v>0.03</v>
      </c>
      <c r="M29" s="14">
        <v>0.01</v>
      </c>
      <c r="N29" s="14">
        <v>0.02</v>
      </c>
      <c r="O29" s="14">
        <v>0.03</v>
      </c>
      <c r="P29" s="14">
        <v>0.03</v>
      </c>
      <c r="Q29" s="14">
        <v>0.06</v>
      </c>
      <c r="R29" s="14">
        <v>0.03</v>
      </c>
      <c r="S29" s="14">
        <v>0.01</v>
      </c>
      <c r="T29" s="14">
        <v>0.02</v>
      </c>
      <c r="U29" s="14">
        <v>0.02</v>
      </c>
      <c r="V29" s="14">
        <v>0.05</v>
      </c>
      <c r="W29" s="14">
        <v>0.03</v>
      </c>
      <c r="X29" s="14">
        <v>0.02</v>
      </c>
      <c r="Y29" s="14">
        <v>0.03</v>
      </c>
      <c r="Z29" s="14">
        <v>0.01</v>
      </c>
      <c r="AA29" s="14">
        <v>0.04</v>
      </c>
      <c r="AB29" s="14">
        <v>0.03</v>
      </c>
      <c r="AC29" s="14">
        <v>0.06</v>
      </c>
      <c r="AD29" s="14">
        <v>0.03</v>
      </c>
      <c r="AE29" s="14">
        <v>0.01</v>
      </c>
      <c r="AF29" s="15" t="s">
        <v>375</v>
      </c>
    </row>
    <row r="30" spans="1:32">
      <c r="A30" s="19"/>
      <c r="B30" s="11" t="s">
        <v>526</v>
      </c>
      <c r="C30" s="12">
        <v>1500</v>
      </c>
      <c r="D30" s="12">
        <v>59</v>
      </c>
      <c r="E30" s="12">
        <v>25</v>
      </c>
      <c r="F30" s="12">
        <v>23</v>
      </c>
      <c r="G30" s="12">
        <v>98</v>
      </c>
      <c r="H30" s="12">
        <v>64</v>
      </c>
      <c r="I30" s="12">
        <v>77</v>
      </c>
      <c r="J30" s="12">
        <v>13</v>
      </c>
      <c r="K30" s="12">
        <v>16</v>
      </c>
      <c r="L30" s="12">
        <v>85</v>
      </c>
      <c r="M30" s="12">
        <v>45</v>
      </c>
      <c r="N30" s="12">
        <v>49</v>
      </c>
      <c r="O30" s="12">
        <v>68</v>
      </c>
      <c r="P30" s="12">
        <v>46</v>
      </c>
      <c r="Q30" s="12">
        <v>51</v>
      </c>
      <c r="R30" s="12">
        <v>19</v>
      </c>
      <c r="S30" s="12">
        <v>5</v>
      </c>
      <c r="T30" s="12">
        <v>10</v>
      </c>
      <c r="U30" s="12">
        <v>16</v>
      </c>
      <c r="V30" s="12">
        <v>49</v>
      </c>
      <c r="W30" s="12">
        <v>31</v>
      </c>
      <c r="X30" s="12">
        <v>104</v>
      </c>
      <c r="Y30" s="12">
        <v>53</v>
      </c>
      <c r="Z30" s="12">
        <v>54</v>
      </c>
      <c r="AA30" s="12">
        <v>62</v>
      </c>
      <c r="AB30" s="12">
        <v>38</v>
      </c>
      <c r="AC30" s="12">
        <v>25</v>
      </c>
      <c r="AD30" s="12">
        <v>28</v>
      </c>
      <c r="AE30" s="12">
        <v>64</v>
      </c>
      <c r="AF30" s="12">
        <v>187</v>
      </c>
    </row>
    <row r="31" spans="1:32">
      <c r="A31" s="19"/>
      <c r="B31" s="13" t="s">
        <v>527</v>
      </c>
      <c r="C31" s="14">
        <v>0.06</v>
      </c>
      <c r="D31" s="14">
        <v>0.06</v>
      </c>
      <c r="E31" s="14">
        <v>0.02</v>
      </c>
      <c r="F31" s="14">
        <v>0.02</v>
      </c>
      <c r="G31" s="14">
        <v>0.1</v>
      </c>
      <c r="H31" s="14">
        <v>0.05</v>
      </c>
      <c r="I31" s="14">
        <v>0.05</v>
      </c>
      <c r="J31" s="14">
        <v>0.05</v>
      </c>
      <c r="K31" s="14">
        <v>0.02</v>
      </c>
      <c r="L31" s="14">
        <v>0.08</v>
      </c>
      <c r="M31" s="14">
        <v>0.04</v>
      </c>
      <c r="N31" s="14">
        <v>0.05</v>
      </c>
      <c r="O31" s="14">
        <v>7.0000000000000007E-2</v>
      </c>
      <c r="P31" s="14">
        <v>0.05</v>
      </c>
      <c r="Q31" s="14">
        <v>0.05</v>
      </c>
      <c r="R31" s="14">
        <v>0.04</v>
      </c>
      <c r="S31" s="14">
        <v>0.01</v>
      </c>
      <c r="T31" s="14">
        <v>0.01</v>
      </c>
      <c r="U31" s="14">
        <v>0.03</v>
      </c>
      <c r="V31" s="14">
        <v>0.05</v>
      </c>
      <c r="W31" s="14">
        <v>0.06</v>
      </c>
      <c r="X31" s="14">
        <v>0.1</v>
      </c>
      <c r="Y31" s="14">
        <v>0.05</v>
      </c>
      <c r="Z31" s="14">
        <v>0.05</v>
      </c>
      <c r="AA31" s="14">
        <v>0.06</v>
      </c>
      <c r="AB31" s="14">
        <v>0.04</v>
      </c>
      <c r="AC31" s="14">
        <v>0.02</v>
      </c>
      <c r="AD31" s="14">
        <v>0.03</v>
      </c>
      <c r="AE31" s="14">
        <v>0.06</v>
      </c>
      <c r="AF31" s="14">
        <v>0.18</v>
      </c>
    </row>
    <row r="32" spans="1:32">
      <c r="A32" s="19"/>
      <c r="B32" s="11" t="s">
        <v>528</v>
      </c>
      <c r="C32" s="12">
        <v>1871</v>
      </c>
      <c r="D32" s="12">
        <v>61</v>
      </c>
      <c r="E32" s="12">
        <v>87</v>
      </c>
      <c r="F32" s="12">
        <v>82</v>
      </c>
      <c r="G32" s="12">
        <v>37</v>
      </c>
      <c r="H32" s="12">
        <v>36</v>
      </c>
      <c r="I32" s="12">
        <v>48</v>
      </c>
      <c r="J32" s="12">
        <v>12</v>
      </c>
      <c r="K32" s="12">
        <v>84</v>
      </c>
      <c r="L32" s="12">
        <v>99</v>
      </c>
      <c r="M32" s="12">
        <v>79</v>
      </c>
      <c r="N32" s="12">
        <v>68</v>
      </c>
      <c r="O32" s="12">
        <v>78</v>
      </c>
      <c r="P32" s="12">
        <v>138</v>
      </c>
      <c r="Q32" s="12">
        <v>58</v>
      </c>
      <c r="R32" s="12">
        <v>16</v>
      </c>
      <c r="S32" s="12">
        <v>43</v>
      </c>
      <c r="T32" s="12">
        <v>49</v>
      </c>
      <c r="U32" s="12">
        <v>41</v>
      </c>
      <c r="V32" s="12">
        <v>110</v>
      </c>
      <c r="W32" s="12">
        <v>31</v>
      </c>
      <c r="X32" s="12">
        <v>54</v>
      </c>
      <c r="Y32" s="12">
        <v>94</v>
      </c>
      <c r="Z32" s="12">
        <v>124</v>
      </c>
      <c r="AA32" s="12">
        <v>98</v>
      </c>
      <c r="AB32" s="12">
        <v>132</v>
      </c>
      <c r="AC32" s="12">
        <v>142</v>
      </c>
      <c r="AD32" s="12">
        <v>134</v>
      </c>
      <c r="AE32" s="12">
        <v>68</v>
      </c>
      <c r="AF32" s="12">
        <v>59</v>
      </c>
    </row>
    <row r="33" spans="1:32">
      <c r="A33" s="19"/>
      <c r="B33" s="13" t="s">
        <v>529</v>
      </c>
      <c r="C33" s="14">
        <v>7.0000000000000007E-2</v>
      </c>
      <c r="D33" s="14">
        <v>0.06</v>
      </c>
      <c r="E33" s="14">
        <v>0.08</v>
      </c>
      <c r="F33" s="14">
        <v>0.08</v>
      </c>
      <c r="G33" s="14">
        <v>0.04</v>
      </c>
      <c r="H33" s="14">
        <v>0.03</v>
      </c>
      <c r="I33" s="14">
        <v>0.03</v>
      </c>
      <c r="J33" s="14">
        <v>0.04</v>
      </c>
      <c r="K33" s="14">
        <v>0.08</v>
      </c>
      <c r="L33" s="14">
        <v>0.1</v>
      </c>
      <c r="M33" s="14">
        <v>0.08</v>
      </c>
      <c r="N33" s="14">
        <v>7.0000000000000007E-2</v>
      </c>
      <c r="O33" s="14">
        <v>0.08</v>
      </c>
      <c r="P33" s="14">
        <v>0.14000000000000001</v>
      </c>
      <c r="Q33" s="14">
        <v>0.06</v>
      </c>
      <c r="R33" s="14">
        <v>0.03</v>
      </c>
      <c r="S33" s="14">
        <v>0.04</v>
      </c>
      <c r="T33" s="14">
        <v>0.05</v>
      </c>
      <c r="U33" s="14">
        <v>0.08</v>
      </c>
      <c r="V33" s="14">
        <v>0.11</v>
      </c>
      <c r="W33" s="14">
        <v>0.06</v>
      </c>
      <c r="X33" s="14">
        <v>0.05</v>
      </c>
      <c r="Y33" s="14">
        <v>0.09</v>
      </c>
      <c r="Z33" s="14">
        <v>0.12</v>
      </c>
      <c r="AA33" s="14">
        <v>0.09</v>
      </c>
      <c r="AB33" s="14">
        <v>0.13</v>
      </c>
      <c r="AC33" s="14">
        <v>0.14000000000000001</v>
      </c>
      <c r="AD33" s="14">
        <v>0.13</v>
      </c>
      <c r="AE33" s="14">
        <v>7.0000000000000007E-2</v>
      </c>
      <c r="AF33" s="14">
        <v>0.06</v>
      </c>
    </row>
    <row r="34" spans="1:32">
      <c r="A34" s="19"/>
      <c r="B34" s="11" t="s">
        <v>530</v>
      </c>
      <c r="C34" s="12">
        <v>2027</v>
      </c>
      <c r="D34" s="12">
        <v>76</v>
      </c>
      <c r="E34" s="12">
        <v>26</v>
      </c>
      <c r="F34" s="12">
        <v>58</v>
      </c>
      <c r="G34" s="12">
        <v>52</v>
      </c>
      <c r="H34" s="12">
        <v>85</v>
      </c>
      <c r="I34" s="12">
        <v>112</v>
      </c>
      <c r="J34" s="12">
        <v>27</v>
      </c>
      <c r="K34" s="12">
        <v>75</v>
      </c>
      <c r="L34" s="12">
        <v>74</v>
      </c>
      <c r="M34" s="12">
        <v>89</v>
      </c>
      <c r="N34" s="12">
        <v>161</v>
      </c>
      <c r="O34" s="12">
        <v>91</v>
      </c>
      <c r="P34" s="12">
        <v>55</v>
      </c>
      <c r="Q34" s="12">
        <v>60</v>
      </c>
      <c r="R34" s="12">
        <v>70</v>
      </c>
      <c r="S34" s="12">
        <v>64</v>
      </c>
      <c r="T34" s="12">
        <v>74</v>
      </c>
      <c r="U34" s="12">
        <v>40</v>
      </c>
      <c r="V34" s="12">
        <v>58</v>
      </c>
      <c r="W34" s="12">
        <v>53</v>
      </c>
      <c r="X34" s="12">
        <v>55</v>
      </c>
      <c r="Y34" s="12">
        <v>65</v>
      </c>
      <c r="Z34" s="12">
        <v>27</v>
      </c>
      <c r="AA34" s="12">
        <v>93</v>
      </c>
      <c r="AB34" s="12">
        <v>84</v>
      </c>
      <c r="AC34" s="12">
        <v>56</v>
      </c>
      <c r="AD34" s="12">
        <v>58</v>
      </c>
      <c r="AE34" s="12">
        <v>48</v>
      </c>
      <c r="AF34" s="12">
        <v>54</v>
      </c>
    </row>
    <row r="35" spans="1:32">
      <c r="A35" s="19"/>
      <c r="B35" s="13" t="s">
        <v>531</v>
      </c>
      <c r="C35" s="14">
        <v>0.08</v>
      </c>
      <c r="D35" s="14">
        <v>7.0000000000000007E-2</v>
      </c>
      <c r="E35" s="14">
        <v>0.02</v>
      </c>
      <c r="F35" s="14">
        <v>0.06</v>
      </c>
      <c r="G35" s="14">
        <v>0.05</v>
      </c>
      <c r="H35" s="14">
        <v>7.0000000000000007E-2</v>
      </c>
      <c r="I35" s="14">
        <v>7.0000000000000007E-2</v>
      </c>
      <c r="J35" s="14">
        <v>0.09</v>
      </c>
      <c r="K35" s="14">
        <v>0.08</v>
      </c>
      <c r="L35" s="14">
        <v>7.0000000000000007E-2</v>
      </c>
      <c r="M35" s="14">
        <v>0.09</v>
      </c>
      <c r="N35" s="14">
        <v>0.16</v>
      </c>
      <c r="O35" s="14">
        <v>0.09</v>
      </c>
      <c r="P35" s="14">
        <v>0.06</v>
      </c>
      <c r="Q35" s="14">
        <v>0.06</v>
      </c>
      <c r="R35" s="14">
        <v>0.14000000000000001</v>
      </c>
      <c r="S35" s="14">
        <v>0.06</v>
      </c>
      <c r="T35" s="14">
        <v>7.0000000000000007E-2</v>
      </c>
      <c r="U35" s="14">
        <v>0.08</v>
      </c>
      <c r="V35" s="14">
        <v>0.06</v>
      </c>
      <c r="W35" s="14">
        <v>0.11</v>
      </c>
      <c r="X35" s="14">
        <v>0.05</v>
      </c>
      <c r="Y35" s="14">
        <v>7.0000000000000007E-2</v>
      </c>
      <c r="Z35" s="14">
        <v>0.03</v>
      </c>
      <c r="AA35" s="14">
        <v>0.09</v>
      </c>
      <c r="AB35" s="14">
        <v>0.08</v>
      </c>
      <c r="AC35" s="14">
        <v>0.06</v>
      </c>
      <c r="AD35" s="14">
        <v>0.06</v>
      </c>
      <c r="AE35" s="14">
        <v>0.05</v>
      </c>
      <c r="AF35" s="14">
        <v>0.05</v>
      </c>
    </row>
    <row r="36" spans="1:32">
      <c r="A36" s="19"/>
      <c r="B36" s="11" t="s">
        <v>532</v>
      </c>
      <c r="C36" s="12">
        <v>1389</v>
      </c>
      <c r="D36" s="12">
        <v>41</v>
      </c>
      <c r="E36" s="12">
        <v>132</v>
      </c>
      <c r="F36" s="12">
        <v>58</v>
      </c>
      <c r="G36" s="12">
        <v>21</v>
      </c>
      <c r="H36" s="12">
        <v>39</v>
      </c>
      <c r="I36" s="12">
        <v>57</v>
      </c>
      <c r="J36" s="12">
        <v>18</v>
      </c>
      <c r="K36" s="12">
        <v>61</v>
      </c>
      <c r="L36" s="12">
        <v>56</v>
      </c>
      <c r="M36" s="12">
        <v>88</v>
      </c>
      <c r="N36" s="12">
        <v>73</v>
      </c>
      <c r="O36" s="12">
        <v>44</v>
      </c>
      <c r="P36" s="12">
        <v>107</v>
      </c>
      <c r="Q36" s="12">
        <v>52</v>
      </c>
      <c r="R36" s="12">
        <v>57</v>
      </c>
      <c r="S36" s="12">
        <v>99</v>
      </c>
      <c r="T36" s="12">
        <v>64</v>
      </c>
      <c r="U36" s="12">
        <v>19</v>
      </c>
      <c r="V36" s="12">
        <v>68</v>
      </c>
      <c r="W36" s="12">
        <v>38</v>
      </c>
      <c r="X36" s="12">
        <v>19</v>
      </c>
      <c r="Y36" s="12">
        <v>67</v>
      </c>
      <c r="Z36" s="12">
        <v>71</v>
      </c>
      <c r="AA36" s="12">
        <v>60</v>
      </c>
      <c r="AB36" s="12">
        <v>81</v>
      </c>
      <c r="AC36" s="12">
        <v>29</v>
      </c>
      <c r="AD36" s="12">
        <v>37</v>
      </c>
      <c r="AE36" s="12">
        <v>23</v>
      </c>
      <c r="AF36" s="12">
        <v>14</v>
      </c>
    </row>
    <row r="37" spans="1:32">
      <c r="A37" s="19"/>
      <c r="B37" s="13" t="s">
        <v>533</v>
      </c>
      <c r="C37" s="14">
        <v>0.05</v>
      </c>
      <c r="D37" s="14">
        <v>0.04</v>
      </c>
      <c r="E37" s="14">
        <v>0.13</v>
      </c>
      <c r="F37" s="14">
        <v>0.05</v>
      </c>
      <c r="G37" s="14">
        <v>0.02</v>
      </c>
      <c r="H37" s="14">
        <v>0.03</v>
      </c>
      <c r="I37" s="14">
        <v>0.04</v>
      </c>
      <c r="J37" s="14">
        <v>0.06</v>
      </c>
      <c r="K37" s="14">
        <v>0.06</v>
      </c>
      <c r="L37" s="14">
        <v>0.06</v>
      </c>
      <c r="M37" s="14">
        <v>0.09</v>
      </c>
      <c r="N37" s="14">
        <v>7.0000000000000007E-2</v>
      </c>
      <c r="O37" s="14">
        <v>0.04</v>
      </c>
      <c r="P37" s="14">
        <v>0.11</v>
      </c>
      <c r="Q37" s="14">
        <v>0.05</v>
      </c>
      <c r="R37" s="14">
        <v>0.11</v>
      </c>
      <c r="S37" s="14">
        <v>0.1</v>
      </c>
      <c r="T37" s="14">
        <v>0.06</v>
      </c>
      <c r="U37" s="14">
        <v>0.04</v>
      </c>
      <c r="V37" s="14">
        <v>0.06</v>
      </c>
      <c r="W37" s="14">
        <v>0.08</v>
      </c>
      <c r="X37" s="14">
        <v>0.02</v>
      </c>
      <c r="Y37" s="14">
        <v>7.0000000000000007E-2</v>
      </c>
      <c r="Z37" s="14">
        <v>7.0000000000000007E-2</v>
      </c>
      <c r="AA37" s="14">
        <v>0.06</v>
      </c>
      <c r="AB37" s="14">
        <v>0.08</v>
      </c>
      <c r="AC37" s="14">
        <v>0.03</v>
      </c>
      <c r="AD37" s="14">
        <v>0.04</v>
      </c>
      <c r="AE37" s="14">
        <v>0.02</v>
      </c>
      <c r="AF37" s="14">
        <v>0.01</v>
      </c>
    </row>
    <row r="38" spans="1:32">
      <c r="A38" s="19"/>
      <c r="B38" s="11" t="s">
        <v>534</v>
      </c>
      <c r="C38" s="12">
        <v>629</v>
      </c>
      <c r="D38" s="12">
        <v>17</v>
      </c>
      <c r="E38" s="12">
        <v>23</v>
      </c>
      <c r="F38" s="12">
        <v>18</v>
      </c>
      <c r="G38" s="12">
        <v>8</v>
      </c>
      <c r="H38" s="12">
        <v>18</v>
      </c>
      <c r="I38" s="12">
        <v>27</v>
      </c>
      <c r="J38" s="12">
        <v>9</v>
      </c>
      <c r="K38" s="12">
        <v>33</v>
      </c>
      <c r="L38" s="12">
        <v>34</v>
      </c>
      <c r="M38" s="12">
        <v>17</v>
      </c>
      <c r="N38" s="12">
        <v>46</v>
      </c>
      <c r="O38" s="12">
        <v>22</v>
      </c>
      <c r="P38" s="12">
        <v>26</v>
      </c>
      <c r="Q38" s="12">
        <v>26</v>
      </c>
      <c r="R38" s="12">
        <v>44</v>
      </c>
      <c r="S38" s="12">
        <v>20</v>
      </c>
      <c r="T38" s="12">
        <v>21</v>
      </c>
      <c r="U38" s="12">
        <v>13</v>
      </c>
      <c r="V38" s="12">
        <v>26</v>
      </c>
      <c r="W38" s="12">
        <v>29</v>
      </c>
      <c r="X38" s="12">
        <v>22</v>
      </c>
      <c r="Y38" s="12">
        <v>17</v>
      </c>
      <c r="Z38" s="12">
        <v>26</v>
      </c>
      <c r="AA38" s="12">
        <v>30</v>
      </c>
      <c r="AB38" s="12">
        <v>31</v>
      </c>
      <c r="AC38" s="12">
        <v>16</v>
      </c>
      <c r="AD38" s="12">
        <v>8</v>
      </c>
      <c r="AE38" s="12">
        <v>4</v>
      </c>
      <c r="AF38" s="12">
        <v>7</v>
      </c>
    </row>
    <row r="39" spans="1:32">
      <c r="A39" s="19"/>
      <c r="B39" s="13" t="s">
        <v>535</v>
      </c>
      <c r="C39" s="14">
        <v>0.02</v>
      </c>
      <c r="D39" s="14">
        <v>0.02</v>
      </c>
      <c r="E39" s="14">
        <v>0.02</v>
      </c>
      <c r="F39" s="14">
        <v>0.02</v>
      </c>
      <c r="G39" s="14">
        <v>0.01</v>
      </c>
      <c r="H39" s="14">
        <v>0.01</v>
      </c>
      <c r="I39" s="14">
        <v>0.02</v>
      </c>
      <c r="J39" s="14">
        <v>0.03</v>
      </c>
      <c r="K39" s="14">
        <v>0.03</v>
      </c>
      <c r="L39" s="14">
        <v>0.03</v>
      </c>
      <c r="M39" s="14">
        <v>0.02</v>
      </c>
      <c r="N39" s="14">
        <v>0.04</v>
      </c>
      <c r="O39" s="14">
        <v>0.02</v>
      </c>
      <c r="P39" s="14">
        <v>0.03</v>
      </c>
      <c r="Q39" s="14">
        <v>0.03</v>
      </c>
      <c r="R39" s="14">
        <v>0.09</v>
      </c>
      <c r="S39" s="14">
        <v>0.02</v>
      </c>
      <c r="T39" s="14">
        <v>0.02</v>
      </c>
      <c r="U39" s="14">
        <v>0.03</v>
      </c>
      <c r="V39" s="14">
        <v>0.02</v>
      </c>
      <c r="W39" s="14">
        <v>0.06</v>
      </c>
      <c r="X39" s="14">
        <v>0.02</v>
      </c>
      <c r="Y39" s="14">
        <v>0.02</v>
      </c>
      <c r="Z39" s="14">
        <v>0.03</v>
      </c>
      <c r="AA39" s="14">
        <v>0.03</v>
      </c>
      <c r="AB39" s="14">
        <v>0.03</v>
      </c>
      <c r="AC39" s="14">
        <v>0.02</v>
      </c>
      <c r="AD39" s="14">
        <v>0.01</v>
      </c>
      <c r="AE39" s="15" t="s">
        <v>375</v>
      </c>
      <c r="AF39" s="14">
        <v>0.01</v>
      </c>
    </row>
    <row r="40" spans="1:32">
      <c r="A40" s="19"/>
      <c r="B40" s="11" t="s">
        <v>436</v>
      </c>
      <c r="C40" s="12">
        <v>107</v>
      </c>
      <c r="D40" s="12">
        <v>0</v>
      </c>
      <c r="E40" s="12">
        <v>8</v>
      </c>
      <c r="F40" s="12">
        <v>4</v>
      </c>
      <c r="G40" s="12">
        <v>0</v>
      </c>
      <c r="H40" s="12">
        <v>10</v>
      </c>
      <c r="I40" s="12">
        <v>11</v>
      </c>
      <c r="J40" s="12">
        <v>1</v>
      </c>
      <c r="K40" s="12">
        <v>11</v>
      </c>
      <c r="L40" s="12">
        <v>1</v>
      </c>
      <c r="M40" s="12">
        <v>3</v>
      </c>
      <c r="N40" s="12">
        <v>4</v>
      </c>
      <c r="O40" s="12">
        <v>8</v>
      </c>
      <c r="P40" s="12">
        <v>2</v>
      </c>
      <c r="Q40" s="12">
        <v>2</v>
      </c>
      <c r="R40" s="12">
        <v>0</v>
      </c>
      <c r="S40" s="12">
        <v>7</v>
      </c>
      <c r="T40" s="12">
        <v>1</v>
      </c>
      <c r="U40" s="12">
        <v>0</v>
      </c>
      <c r="V40" s="12">
        <v>0</v>
      </c>
      <c r="W40" s="12">
        <v>2</v>
      </c>
      <c r="X40" s="12">
        <v>0</v>
      </c>
      <c r="Y40" s="12">
        <v>7</v>
      </c>
      <c r="Z40" s="12">
        <v>2</v>
      </c>
      <c r="AA40" s="12">
        <v>1</v>
      </c>
      <c r="AB40" s="12">
        <v>1</v>
      </c>
      <c r="AC40" s="12">
        <v>2</v>
      </c>
      <c r="AD40" s="12">
        <v>0</v>
      </c>
      <c r="AE40" s="12">
        <v>1</v>
      </c>
      <c r="AF40" s="12">
        <v>1</v>
      </c>
    </row>
    <row r="41" spans="1:32">
      <c r="A41" s="19"/>
      <c r="B41" s="13" t="s">
        <v>437</v>
      </c>
      <c r="C41" s="15" t="s">
        <v>375</v>
      </c>
      <c r="D41" s="15" t="s">
        <v>375</v>
      </c>
      <c r="E41" s="14">
        <v>0.01</v>
      </c>
      <c r="F41" s="15" t="s">
        <v>375</v>
      </c>
      <c r="G41" s="15" t="s">
        <v>375</v>
      </c>
      <c r="H41" s="14">
        <v>0.01</v>
      </c>
      <c r="I41" s="14">
        <v>0.01</v>
      </c>
      <c r="J41" s="15" t="s">
        <v>375</v>
      </c>
      <c r="K41" s="14">
        <v>0.01</v>
      </c>
      <c r="L41" s="15" t="s">
        <v>375</v>
      </c>
      <c r="M41" s="15" t="s">
        <v>375</v>
      </c>
      <c r="N41" s="15" t="s">
        <v>375</v>
      </c>
      <c r="O41" s="14">
        <v>0.01</v>
      </c>
      <c r="P41" s="15" t="s">
        <v>375</v>
      </c>
      <c r="Q41" s="15" t="s">
        <v>375</v>
      </c>
      <c r="R41" s="15" t="s">
        <v>375</v>
      </c>
      <c r="S41" s="14">
        <v>0.01</v>
      </c>
      <c r="T41" s="15" t="s">
        <v>375</v>
      </c>
      <c r="U41" s="15" t="s">
        <v>375</v>
      </c>
      <c r="V41" s="15" t="s">
        <v>375</v>
      </c>
      <c r="W41" s="15" t="s">
        <v>375</v>
      </c>
      <c r="X41" s="15" t="s">
        <v>375</v>
      </c>
      <c r="Y41" s="14">
        <v>0.01</v>
      </c>
      <c r="Z41" s="15" t="s">
        <v>375</v>
      </c>
      <c r="AA41" s="15" t="s">
        <v>375</v>
      </c>
      <c r="AB41" s="15" t="s">
        <v>375</v>
      </c>
      <c r="AC41" s="15" t="s">
        <v>375</v>
      </c>
      <c r="AD41" s="15" t="s">
        <v>375</v>
      </c>
      <c r="AE41" s="15" t="s">
        <v>375</v>
      </c>
      <c r="AF41" s="15" t="s">
        <v>375</v>
      </c>
    </row>
    <row r="42" spans="1:32">
      <c r="A42" s="19"/>
      <c r="B42" s="11" t="s">
        <v>438</v>
      </c>
      <c r="C42" s="12">
        <v>121</v>
      </c>
      <c r="D42" s="12">
        <v>2</v>
      </c>
      <c r="E42" s="12">
        <v>5</v>
      </c>
      <c r="F42" s="12">
        <v>14</v>
      </c>
      <c r="G42" s="12">
        <v>3</v>
      </c>
      <c r="H42" s="12">
        <v>8</v>
      </c>
      <c r="I42" s="12">
        <v>9</v>
      </c>
      <c r="J42" s="12">
        <v>1</v>
      </c>
      <c r="K42" s="12">
        <v>4</v>
      </c>
      <c r="L42" s="12">
        <v>4</v>
      </c>
      <c r="M42" s="12">
        <v>1</v>
      </c>
      <c r="N42" s="12">
        <v>5</v>
      </c>
      <c r="O42" s="12">
        <v>6</v>
      </c>
      <c r="P42" s="12">
        <v>1</v>
      </c>
      <c r="Q42" s="12">
        <v>3</v>
      </c>
      <c r="R42" s="12">
        <v>0</v>
      </c>
      <c r="S42" s="12">
        <v>4</v>
      </c>
      <c r="T42" s="12">
        <v>2</v>
      </c>
      <c r="U42" s="12">
        <v>0</v>
      </c>
      <c r="V42" s="12">
        <v>0</v>
      </c>
      <c r="W42" s="12">
        <v>3</v>
      </c>
      <c r="X42" s="12">
        <v>8</v>
      </c>
      <c r="Y42" s="12">
        <v>12</v>
      </c>
      <c r="Z42" s="12">
        <v>4</v>
      </c>
      <c r="AA42" s="12">
        <v>0</v>
      </c>
      <c r="AB42" s="12">
        <v>1</v>
      </c>
      <c r="AC42" s="12">
        <v>3</v>
      </c>
      <c r="AD42" s="12">
        <v>1</v>
      </c>
      <c r="AE42" s="12">
        <v>1</v>
      </c>
      <c r="AF42" s="12">
        <v>3</v>
      </c>
    </row>
    <row r="43" spans="1:32">
      <c r="A43" s="19"/>
      <c r="B43" s="13" t="s">
        <v>439</v>
      </c>
      <c r="C43" s="15" t="s">
        <v>375</v>
      </c>
      <c r="D43" s="15" t="s">
        <v>375</v>
      </c>
      <c r="E43" s="14">
        <v>0.01</v>
      </c>
      <c r="F43" s="14">
        <v>0.01</v>
      </c>
      <c r="G43" s="15" t="s">
        <v>375</v>
      </c>
      <c r="H43" s="14">
        <v>0.01</v>
      </c>
      <c r="I43" s="14">
        <v>0.01</v>
      </c>
      <c r="J43" s="15" t="s">
        <v>375</v>
      </c>
      <c r="K43" s="15" t="s">
        <v>375</v>
      </c>
      <c r="L43" s="15" t="s">
        <v>375</v>
      </c>
      <c r="M43" s="15" t="s">
        <v>375</v>
      </c>
      <c r="N43" s="15" t="s">
        <v>375</v>
      </c>
      <c r="O43" s="14">
        <v>0.01</v>
      </c>
      <c r="P43" s="15" t="s">
        <v>375</v>
      </c>
      <c r="Q43" s="15" t="s">
        <v>375</v>
      </c>
      <c r="R43" s="15" t="s">
        <v>375</v>
      </c>
      <c r="S43" s="14">
        <v>0.01</v>
      </c>
      <c r="T43" s="15" t="s">
        <v>375</v>
      </c>
      <c r="U43" s="15" t="s">
        <v>375</v>
      </c>
      <c r="V43" s="15" t="s">
        <v>375</v>
      </c>
      <c r="W43" s="14">
        <v>0.01</v>
      </c>
      <c r="X43" s="14">
        <v>0.01</v>
      </c>
      <c r="Y43" s="14">
        <v>0.01</v>
      </c>
      <c r="Z43" s="15" t="s">
        <v>375</v>
      </c>
      <c r="AA43" s="15" t="s">
        <v>375</v>
      </c>
      <c r="AB43" s="15" t="s">
        <v>375</v>
      </c>
      <c r="AC43" s="15" t="s">
        <v>375</v>
      </c>
      <c r="AD43" s="15" t="s">
        <v>375</v>
      </c>
      <c r="AE43" s="15" t="s">
        <v>375</v>
      </c>
      <c r="AF43" s="15" t="s">
        <v>375</v>
      </c>
    </row>
    <row r="44" spans="1:32">
      <c r="A44" s="19"/>
      <c r="B44" s="11" t="s">
        <v>386</v>
      </c>
      <c r="C44" s="12">
        <v>264</v>
      </c>
      <c r="D44" s="12">
        <v>1</v>
      </c>
      <c r="E44" s="12">
        <v>19</v>
      </c>
      <c r="F44" s="12">
        <v>14</v>
      </c>
      <c r="G44" s="12">
        <v>7</v>
      </c>
      <c r="H44" s="12">
        <v>3</v>
      </c>
      <c r="I44" s="12">
        <v>3</v>
      </c>
      <c r="J44" s="12">
        <v>0</v>
      </c>
      <c r="K44" s="12">
        <v>10</v>
      </c>
      <c r="L44" s="12">
        <v>17</v>
      </c>
      <c r="M44" s="12">
        <v>7</v>
      </c>
      <c r="N44" s="12">
        <v>20</v>
      </c>
      <c r="O44" s="12">
        <v>19</v>
      </c>
      <c r="P44" s="12">
        <v>4</v>
      </c>
      <c r="Q44" s="12">
        <v>11</v>
      </c>
      <c r="R44" s="12">
        <v>4</v>
      </c>
      <c r="S44" s="12">
        <v>12</v>
      </c>
      <c r="T44" s="12">
        <v>15</v>
      </c>
      <c r="U44" s="12">
        <v>4</v>
      </c>
      <c r="V44" s="12">
        <v>0</v>
      </c>
      <c r="W44" s="12">
        <v>5</v>
      </c>
      <c r="X44" s="12">
        <v>4</v>
      </c>
      <c r="Y44" s="12">
        <v>9</v>
      </c>
      <c r="Z44" s="12">
        <v>3</v>
      </c>
      <c r="AA44" s="12">
        <v>22</v>
      </c>
      <c r="AB44" s="12">
        <v>12</v>
      </c>
      <c r="AC44" s="12">
        <v>1</v>
      </c>
      <c r="AD44" s="12">
        <v>7</v>
      </c>
      <c r="AE44" s="12">
        <v>6</v>
      </c>
      <c r="AF44" s="12">
        <v>0</v>
      </c>
    </row>
    <row r="45" spans="1:32">
      <c r="A45" s="19"/>
      <c r="B45" s="13" t="s">
        <v>399</v>
      </c>
      <c r="C45" s="14">
        <v>0.01</v>
      </c>
      <c r="D45" s="15" t="s">
        <v>375</v>
      </c>
      <c r="E45" s="14">
        <v>0.02</v>
      </c>
      <c r="F45" s="14">
        <v>0.01</v>
      </c>
      <c r="G45" s="14">
        <v>0.01</v>
      </c>
      <c r="H45" s="15" t="s">
        <v>375</v>
      </c>
      <c r="I45" s="15" t="s">
        <v>375</v>
      </c>
      <c r="J45" s="15" t="s">
        <v>375</v>
      </c>
      <c r="K45" s="14">
        <v>0.01</v>
      </c>
      <c r="L45" s="14">
        <v>0.02</v>
      </c>
      <c r="M45" s="14">
        <v>0.01</v>
      </c>
      <c r="N45" s="14">
        <v>0.02</v>
      </c>
      <c r="O45" s="14">
        <v>0.02</v>
      </c>
      <c r="P45" s="15" t="s">
        <v>375</v>
      </c>
      <c r="Q45" s="14">
        <v>0.01</v>
      </c>
      <c r="R45" s="14">
        <v>0.01</v>
      </c>
      <c r="S45" s="14">
        <v>0.01</v>
      </c>
      <c r="T45" s="14">
        <v>0.02</v>
      </c>
      <c r="U45" s="14">
        <v>0.01</v>
      </c>
      <c r="V45" s="15" t="s">
        <v>375</v>
      </c>
      <c r="W45" s="14">
        <v>0.01</v>
      </c>
      <c r="X45" s="15" t="s">
        <v>375</v>
      </c>
      <c r="Y45" s="14">
        <v>0.01</v>
      </c>
      <c r="Z45" s="15" t="s">
        <v>375</v>
      </c>
      <c r="AA45" s="14">
        <v>0.02</v>
      </c>
      <c r="AB45" s="14">
        <v>0.01</v>
      </c>
      <c r="AC45" s="15" t="s">
        <v>375</v>
      </c>
      <c r="AD45" s="14">
        <v>0.01</v>
      </c>
      <c r="AE45" s="14">
        <v>0.01</v>
      </c>
      <c r="AF45" s="15" t="s">
        <v>375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41</v>
      </c>
      <c r="C3" s="17"/>
      <c r="D3" s="17"/>
      <c r="E3" s="17"/>
      <c r="F3" s="17"/>
      <c r="H3" s="17" t="s">
        <v>42</v>
      </c>
      <c r="I3" s="17"/>
      <c r="J3" s="17"/>
      <c r="K3" s="17"/>
      <c r="L3" s="17"/>
    </row>
    <row r="4" spans="1:32" ht="27" customHeight="1">
      <c r="B4" s="17"/>
      <c r="C4" s="17"/>
      <c r="D4" s="17"/>
      <c r="E4" s="17"/>
      <c r="F4" s="17"/>
      <c r="H4" s="17"/>
      <c r="I4" s="17"/>
      <c r="J4" s="17"/>
      <c r="K4" s="17"/>
      <c r="L4" s="17"/>
    </row>
    <row r="5" spans="1:32" ht="24" customHeight="1">
      <c r="B5" s="17" t="s">
        <v>536</v>
      </c>
      <c r="C5" s="17"/>
      <c r="D5" s="17"/>
      <c r="E5" s="17"/>
      <c r="F5" s="17"/>
      <c r="H5" s="17" t="s">
        <v>537</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HYPERLINK("#Content!A22","&lt;&lt;Back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26067</v>
      </c>
      <c r="D10" s="10">
        <v>1018</v>
      </c>
      <c r="E10" s="10">
        <v>1022</v>
      </c>
      <c r="F10" s="10">
        <v>1037</v>
      </c>
      <c r="G10" s="10">
        <v>1006</v>
      </c>
      <c r="H10" s="10">
        <v>1219</v>
      </c>
      <c r="I10" s="10">
        <v>1515</v>
      </c>
      <c r="J10" s="10">
        <v>296</v>
      </c>
      <c r="K10" s="10">
        <v>992</v>
      </c>
      <c r="L10" s="10">
        <v>985</v>
      </c>
      <c r="M10" s="10">
        <v>999</v>
      </c>
      <c r="N10" s="10">
        <v>986</v>
      </c>
      <c r="O10" s="10">
        <v>978</v>
      </c>
      <c r="P10" s="10">
        <v>997</v>
      </c>
      <c r="Q10" s="10">
        <v>1017</v>
      </c>
      <c r="R10" s="10">
        <v>497</v>
      </c>
      <c r="S10" s="10">
        <v>988</v>
      </c>
      <c r="T10" s="10">
        <v>1006</v>
      </c>
      <c r="U10" s="10">
        <v>504</v>
      </c>
      <c r="V10" s="10">
        <v>1026</v>
      </c>
      <c r="W10" s="10">
        <v>494</v>
      </c>
      <c r="X10" s="10">
        <v>998</v>
      </c>
      <c r="Y10" s="10">
        <v>982</v>
      </c>
      <c r="Z10" s="10">
        <v>1009</v>
      </c>
      <c r="AA10" s="10">
        <v>1015</v>
      </c>
      <c r="AB10" s="10">
        <v>1027</v>
      </c>
      <c r="AC10" s="10">
        <v>1001</v>
      </c>
      <c r="AD10" s="10">
        <v>995</v>
      </c>
      <c r="AE10" s="10">
        <v>995</v>
      </c>
      <c r="AF10" s="10">
        <v>1028</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508</v>
      </c>
      <c r="C12" s="12">
        <v>5070</v>
      </c>
      <c r="D12" s="12">
        <v>153</v>
      </c>
      <c r="E12" s="12">
        <v>218</v>
      </c>
      <c r="F12" s="12">
        <v>256</v>
      </c>
      <c r="G12" s="12">
        <v>212</v>
      </c>
      <c r="H12" s="12">
        <v>237</v>
      </c>
      <c r="I12" s="12">
        <v>316</v>
      </c>
      <c r="J12" s="12">
        <v>79</v>
      </c>
      <c r="K12" s="12">
        <v>199</v>
      </c>
      <c r="L12" s="12">
        <v>186</v>
      </c>
      <c r="M12" s="12">
        <v>243</v>
      </c>
      <c r="N12" s="12">
        <v>148</v>
      </c>
      <c r="O12" s="12">
        <v>158</v>
      </c>
      <c r="P12" s="12">
        <v>249</v>
      </c>
      <c r="Q12" s="12">
        <v>205</v>
      </c>
      <c r="R12" s="12">
        <v>87</v>
      </c>
      <c r="S12" s="12">
        <v>165</v>
      </c>
      <c r="T12" s="12">
        <v>167</v>
      </c>
      <c r="U12" s="12">
        <v>88</v>
      </c>
      <c r="V12" s="12">
        <v>217</v>
      </c>
      <c r="W12" s="12">
        <v>53</v>
      </c>
      <c r="X12" s="12">
        <v>218</v>
      </c>
      <c r="Y12" s="12">
        <v>215</v>
      </c>
      <c r="Z12" s="12">
        <v>213</v>
      </c>
      <c r="AA12" s="12">
        <v>217</v>
      </c>
      <c r="AB12" s="12">
        <v>178</v>
      </c>
      <c r="AC12" s="12">
        <v>232</v>
      </c>
      <c r="AD12" s="12">
        <v>262</v>
      </c>
      <c r="AE12" s="12">
        <v>187</v>
      </c>
      <c r="AF12" s="12">
        <v>231</v>
      </c>
    </row>
    <row r="13" spans="1:32">
      <c r="A13" s="19"/>
      <c r="B13" s="13" t="s">
        <v>509</v>
      </c>
      <c r="C13" s="14">
        <v>0.22</v>
      </c>
      <c r="D13" s="14">
        <v>0.17</v>
      </c>
      <c r="E13" s="14">
        <v>0.24</v>
      </c>
      <c r="F13" s="14">
        <v>0.28999999999999998</v>
      </c>
      <c r="G13" s="14">
        <v>0.24</v>
      </c>
      <c r="H13" s="14">
        <v>0.21</v>
      </c>
      <c r="I13" s="14">
        <v>0.23</v>
      </c>
      <c r="J13" s="14">
        <v>0.28999999999999998</v>
      </c>
      <c r="K13" s="14">
        <v>0.22</v>
      </c>
      <c r="L13" s="14">
        <v>0.21</v>
      </c>
      <c r="M13" s="14">
        <v>0.26</v>
      </c>
      <c r="N13" s="14">
        <v>0.16</v>
      </c>
      <c r="O13" s="14">
        <v>0.18</v>
      </c>
      <c r="P13" s="14">
        <v>0.28000000000000003</v>
      </c>
      <c r="Q13" s="14">
        <v>0.23</v>
      </c>
      <c r="R13" s="14">
        <v>0.19</v>
      </c>
      <c r="S13" s="14">
        <v>0.18</v>
      </c>
      <c r="T13" s="14">
        <v>0.18</v>
      </c>
      <c r="U13" s="14">
        <v>0.19</v>
      </c>
      <c r="V13" s="14">
        <v>0.24</v>
      </c>
      <c r="W13" s="14">
        <v>0.12</v>
      </c>
      <c r="X13" s="14">
        <v>0.24</v>
      </c>
      <c r="Y13" s="14">
        <v>0.24</v>
      </c>
      <c r="Z13" s="14">
        <v>0.23</v>
      </c>
      <c r="AA13" s="14">
        <v>0.24</v>
      </c>
      <c r="AB13" s="14">
        <v>0.19</v>
      </c>
      <c r="AC13" s="14">
        <v>0.27</v>
      </c>
      <c r="AD13" s="14">
        <v>0.31</v>
      </c>
      <c r="AE13" s="14">
        <v>0.21</v>
      </c>
      <c r="AF13" s="14">
        <v>0.25</v>
      </c>
    </row>
    <row r="14" spans="1:32">
      <c r="A14" s="19"/>
      <c r="B14" s="11" t="s">
        <v>510</v>
      </c>
      <c r="C14" s="12">
        <v>5350</v>
      </c>
      <c r="D14" s="12">
        <v>243</v>
      </c>
      <c r="E14" s="12">
        <v>154</v>
      </c>
      <c r="F14" s="12">
        <v>246</v>
      </c>
      <c r="G14" s="12">
        <v>254</v>
      </c>
      <c r="H14" s="12">
        <v>268</v>
      </c>
      <c r="I14" s="12">
        <v>328</v>
      </c>
      <c r="J14" s="12">
        <v>60</v>
      </c>
      <c r="K14" s="12">
        <v>186</v>
      </c>
      <c r="L14" s="12">
        <v>167</v>
      </c>
      <c r="M14" s="12">
        <v>169</v>
      </c>
      <c r="N14" s="12">
        <v>168</v>
      </c>
      <c r="O14" s="12">
        <v>226</v>
      </c>
      <c r="P14" s="12">
        <v>149</v>
      </c>
      <c r="Q14" s="12">
        <v>204</v>
      </c>
      <c r="R14" s="12">
        <v>145</v>
      </c>
      <c r="S14" s="12">
        <v>214</v>
      </c>
      <c r="T14" s="12">
        <v>229</v>
      </c>
      <c r="U14" s="12">
        <v>120</v>
      </c>
      <c r="V14" s="12">
        <v>163</v>
      </c>
      <c r="W14" s="12">
        <v>86</v>
      </c>
      <c r="X14" s="12">
        <v>238</v>
      </c>
      <c r="Y14" s="12">
        <v>194</v>
      </c>
      <c r="Z14" s="12">
        <v>188</v>
      </c>
      <c r="AA14" s="12">
        <v>222</v>
      </c>
      <c r="AB14" s="12">
        <v>202</v>
      </c>
      <c r="AC14" s="12">
        <v>165</v>
      </c>
      <c r="AD14" s="12">
        <v>189</v>
      </c>
      <c r="AE14" s="12">
        <v>226</v>
      </c>
      <c r="AF14" s="12">
        <v>212</v>
      </c>
    </row>
    <row r="15" spans="1:32">
      <c r="A15" s="19"/>
      <c r="B15" s="13" t="s">
        <v>511</v>
      </c>
      <c r="C15" s="14">
        <v>0.26</v>
      </c>
      <c r="D15" s="14">
        <v>0.3</v>
      </c>
      <c r="E15" s="14">
        <v>0.17</v>
      </c>
      <c r="F15" s="14">
        <v>0.28999999999999998</v>
      </c>
      <c r="G15" s="14">
        <v>0.33</v>
      </c>
      <c r="H15" s="14">
        <v>0.28000000000000003</v>
      </c>
      <c r="I15" s="14">
        <v>0.28000000000000003</v>
      </c>
      <c r="J15" s="14">
        <v>0.25</v>
      </c>
      <c r="K15" s="14">
        <v>0.22</v>
      </c>
      <c r="L15" s="14">
        <v>0.2</v>
      </c>
      <c r="M15" s="14">
        <v>0.2</v>
      </c>
      <c r="N15" s="14">
        <v>0.19</v>
      </c>
      <c r="O15" s="14">
        <v>0.3</v>
      </c>
      <c r="P15" s="14">
        <v>0.17</v>
      </c>
      <c r="Q15" s="14">
        <v>0.26</v>
      </c>
      <c r="R15" s="14">
        <v>0.37</v>
      </c>
      <c r="S15" s="14">
        <v>0.28999999999999998</v>
      </c>
      <c r="T15" s="14">
        <v>0.34</v>
      </c>
      <c r="U15" s="14">
        <v>0.3</v>
      </c>
      <c r="V15" s="14">
        <v>0.19</v>
      </c>
      <c r="W15" s="14">
        <v>0.21</v>
      </c>
      <c r="X15" s="14">
        <v>0.32</v>
      </c>
      <c r="Y15" s="14">
        <v>0.23</v>
      </c>
      <c r="Z15" s="14">
        <v>0.27</v>
      </c>
      <c r="AA15" s="14">
        <v>0.25</v>
      </c>
      <c r="AB15" s="14">
        <v>0.23</v>
      </c>
      <c r="AC15" s="14">
        <v>0.19</v>
      </c>
      <c r="AD15" s="14">
        <v>0.22</v>
      </c>
      <c r="AE15" s="14">
        <v>0.3</v>
      </c>
      <c r="AF15" s="14">
        <v>0.24</v>
      </c>
    </row>
    <row r="16" spans="1:32">
      <c r="A16" s="19"/>
      <c r="B16" s="11" t="s">
        <v>512</v>
      </c>
      <c r="C16" s="12">
        <v>2909</v>
      </c>
      <c r="D16" s="12">
        <v>101</v>
      </c>
      <c r="E16" s="12">
        <v>144</v>
      </c>
      <c r="F16" s="12">
        <v>138</v>
      </c>
      <c r="G16" s="12">
        <v>125</v>
      </c>
      <c r="H16" s="12">
        <v>142</v>
      </c>
      <c r="I16" s="12">
        <v>169</v>
      </c>
      <c r="J16" s="12">
        <v>26</v>
      </c>
      <c r="K16" s="12">
        <v>146</v>
      </c>
      <c r="L16" s="12">
        <v>81</v>
      </c>
      <c r="M16" s="12">
        <v>127</v>
      </c>
      <c r="N16" s="12">
        <v>74</v>
      </c>
      <c r="O16" s="12">
        <v>117</v>
      </c>
      <c r="P16" s="12">
        <v>115</v>
      </c>
      <c r="Q16" s="12">
        <v>119</v>
      </c>
      <c r="R16" s="12">
        <v>60</v>
      </c>
      <c r="S16" s="12">
        <v>146</v>
      </c>
      <c r="T16" s="12">
        <v>194</v>
      </c>
      <c r="U16" s="12">
        <v>90</v>
      </c>
      <c r="V16" s="12">
        <v>132</v>
      </c>
      <c r="W16" s="12">
        <v>46</v>
      </c>
      <c r="X16" s="12">
        <v>94</v>
      </c>
      <c r="Y16" s="12">
        <v>127</v>
      </c>
      <c r="Z16" s="12">
        <v>121</v>
      </c>
      <c r="AA16" s="12">
        <v>46</v>
      </c>
      <c r="AB16" s="12">
        <v>123</v>
      </c>
      <c r="AC16" s="12">
        <v>116</v>
      </c>
      <c r="AD16" s="12">
        <v>132</v>
      </c>
      <c r="AE16" s="12">
        <v>133</v>
      </c>
      <c r="AF16" s="12">
        <v>130</v>
      </c>
    </row>
    <row r="17" spans="1:32">
      <c r="A17" s="19"/>
      <c r="B17" s="13" t="s">
        <v>513</v>
      </c>
      <c r="C17" s="14">
        <v>0.12</v>
      </c>
      <c r="D17" s="14">
        <v>0.1</v>
      </c>
      <c r="E17" s="14">
        <v>0.16</v>
      </c>
      <c r="F17" s="14">
        <v>0.14000000000000001</v>
      </c>
      <c r="G17" s="14">
        <v>0.13</v>
      </c>
      <c r="H17" s="14">
        <v>0.13</v>
      </c>
      <c r="I17" s="14">
        <v>0.12</v>
      </c>
      <c r="J17" s="14">
        <v>0.09</v>
      </c>
      <c r="K17" s="14">
        <v>0.16</v>
      </c>
      <c r="L17" s="14">
        <v>0.09</v>
      </c>
      <c r="M17" s="14">
        <v>0.14000000000000001</v>
      </c>
      <c r="N17" s="14">
        <v>0.08</v>
      </c>
      <c r="O17" s="14">
        <v>0.13</v>
      </c>
      <c r="P17" s="14">
        <v>0.12</v>
      </c>
      <c r="Q17" s="14">
        <v>0.13</v>
      </c>
      <c r="R17" s="14">
        <v>0.13</v>
      </c>
      <c r="S17" s="14">
        <v>0.16</v>
      </c>
      <c r="T17" s="14">
        <v>0.21</v>
      </c>
      <c r="U17" s="14">
        <v>0.2</v>
      </c>
      <c r="V17" s="14">
        <v>0.14000000000000001</v>
      </c>
      <c r="W17" s="14">
        <v>0.1</v>
      </c>
      <c r="X17" s="14">
        <v>0.1</v>
      </c>
      <c r="Y17" s="14">
        <v>0.14000000000000001</v>
      </c>
      <c r="Z17" s="14">
        <v>0.13</v>
      </c>
      <c r="AA17" s="14">
        <v>0.05</v>
      </c>
      <c r="AB17" s="14">
        <v>0.13</v>
      </c>
      <c r="AC17" s="14">
        <v>0.13</v>
      </c>
      <c r="AD17" s="14">
        <v>0.14000000000000001</v>
      </c>
      <c r="AE17" s="14">
        <v>0.15</v>
      </c>
      <c r="AF17" s="14">
        <v>0.13</v>
      </c>
    </row>
    <row r="18" spans="1:32">
      <c r="A18" s="19"/>
      <c r="B18" s="11" t="s">
        <v>514</v>
      </c>
      <c r="C18" s="12">
        <v>1287</v>
      </c>
      <c r="D18" s="12">
        <v>45</v>
      </c>
      <c r="E18" s="12">
        <v>57</v>
      </c>
      <c r="F18" s="12">
        <v>56</v>
      </c>
      <c r="G18" s="12">
        <v>59</v>
      </c>
      <c r="H18" s="12">
        <v>60</v>
      </c>
      <c r="I18" s="12">
        <v>69</v>
      </c>
      <c r="J18" s="12">
        <v>9</v>
      </c>
      <c r="K18" s="12">
        <v>60</v>
      </c>
      <c r="L18" s="12">
        <v>32</v>
      </c>
      <c r="M18" s="12">
        <v>52</v>
      </c>
      <c r="N18" s="12">
        <v>38</v>
      </c>
      <c r="O18" s="12">
        <v>34</v>
      </c>
      <c r="P18" s="12">
        <v>68</v>
      </c>
      <c r="Q18" s="12">
        <v>58</v>
      </c>
      <c r="R18" s="12">
        <v>20</v>
      </c>
      <c r="S18" s="12">
        <v>69</v>
      </c>
      <c r="T18" s="12">
        <v>154</v>
      </c>
      <c r="U18" s="12">
        <v>35</v>
      </c>
      <c r="V18" s="12">
        <v>78</v>
      </c>
      <c r="W18" s="12">
        <v>24</v>
      </c>
      <c r="X18" s="12">
        <v>24</v>
      </c>
      <c r="Y18" s="12">
        <v>49</v>
      </c>
      <c r="Z18" s="12">
        <v>74</v>
      </c>
      <c r="AA18" s="12">
        <v>42</v>
      </c>
      <c r="AB18" s="12">
        <v>92</v>
      </c>
      <c r="AC18" s="12">
        <v>55</v>
      </c>
      <c r="AD18" s="12">
        <v>35</v>
      </c>
      <c r="AE18" s="12">
        <v>28</v>
      </c>
      <c r="AF18" s="12">
        <v>27</v>
      </c>
    </row>
    <row r="19" spans="1:32">
      <c r="A19" s="19"/>
      <c r="B19" s="13" t="s">
        <v>515</v>
      </c>
      <c r="C19" s="14">
        <v>0.05</v>
      </c>
      <c r="D19" s="14">
        <v>0.04</v>
      </c>
      <c r="E19" s="14">
        <v>0.06</v>
      </c>
      <c r="F19" s="14">
        <v>0.06</v>
      </c>
      <c r="G19" s="14">
        <v>0.06</v>
      </c>
      <c r="H19" s="14">
        <v>0.05</v>
      </c>
      <c r="I19" s="14">
        <v>0.05</v>
      </c>
      <c r="J19" s="14">
        <v>0.03</v>
      </c>
      <c r="K19" s="14">
        <v>0.06</v>
      </c>
      <c r="L19" s="14">
        <v>0.03</v>
      </c>
      <c r="M19" s="14">
        <v>0.05</v>
      </c>
      <c r="N19" s="14">
        <v>0.04</v>
      </c>
      <c r="O19" s="14">
        <v>0.04</v>
      </c>
      <c r="P19" s="14">
        <v>7.0000000000000007E-2</v>
      </c>
      <c r="Q19" s="14">
        <v>0.06</v>
      </c>
      <c r="R19" s="14">
        <v>0.04</v>
      </c>
      <c r="S19" s="14">
        <v>7.0000000000000007E-2</v>
      </c>
      <c r="T19" s="14">
        <v>0.16</v>
      </c>
      <c r="U19" s="14">
        <v>7.0000000000000007E-2</v>
      </c>
      <c r="V19" s="14">
        <v>0.08</v>
      </c>
      <c r="W19" s="14">
        <v>0.05</v>
      </c>
      <c r="X19" s="14">
        <v>0.02</v>
      </c>
      <c r="Y19" s="14">
        <v>0.05</v>
      </c>
      <c r="Z19" s="14">
        <v>0.08</v>
      </c>
      <c r="AA19" s="14">
        <v>0.04</v>
      </c>
      <c r="AB19" s="14">
        <v>0.09</v>
      </c>
      <c r="AC19" s="14">
        <v>0.06</v>
      </c>
      <c r="AD19" s="14">
        <v>0.04</v>
      </c>
      <c r="AE19" s="14">
        <v>0.03</v>
      </c>
      <c r="AF19" s="14">
        <v>0.03</v>
      </c>
    </row>
    <row r="20" spans="1:32">
      <c r="A20" s="19"/>
      <c r="B20" s="11" t="s">
        <v>516</v>
      </c>
      <c r="C20" s="12">
        <v>2236</v>
      </c>
      <c r="D20" s="12">
        <v>104</v>
      </c>
      <c r="E20" s="12">
        <v>98</v>
      </c>
      <c r="F20" s="12">
        <v>89</v>
      </c>
      <c r="G20" s="12">
        <v>117</v>
      </c>
      <c r="H20" s="12">
        <v>127</v>
      </c>
      <c r="I20" s="12">
        <v>148</v>
      </c>
      <c r="J20" s="12">
        <v>21</v>
      </c>
      <c r="K20" s="12">
        <v>106</v>
      </c>
      <c r="L20" s="12">
        <v>81</v>
      </c>
      <c r="M20" s="12">
        <v>75</v>
      </c>
      <c r="N20" s="12">
        <v>87</v>
      </c>
      <c r="O20" s="12">
        <v>65</v>
      </c>
      <c r="P20" s="12">
        <v>81</v>
      </c>
      <c r="Q20" s="12">
        <v>91</v>
      </c>
      <c r="R20" s="12">
        <v>53</v>
      </c>
      <c r="S20" s="12">
        <v>64</v>
      </c>
      <c r="T20" s="12">
        <v>81</v>
      </c>
      <c r="U20" s="12">
        <v>55</v>
      </c>
      <c r="V20" s="12">
        <v>79</v>
      </c>
      <c r="W20" s="12">
        <v>63</v>
      </c>
      <c r="X20" s="12">
        <v>141</v>
      </c>
      <c r="Y20" s="12">
        <v>88</v>
      </c>
      <c r="Z20" s="12">
        <v>53</v>
      </c>
      <c r="AA20" s="12">
        <v>49</v>
      </c>
      <c r="AB20" s="12">
        <v>81</v>
      </c>
      <c r="AC20" s="12">
        <v>72</v>
      </c>
      <c r="AD20" s="12">
        <v>69</v>
      </c>
      <c r="AE20" s="12">
        <v>110</v>
      </c>
      <c r="AF20" s="12">
        <v>130</v>
      </c>
    </row>
    <row r="21" spans="1:32">
      <c r="A21" s="19"/>
      <c r="B21" s="13" t="s">
        <v>517</v>
      </c>
      <c r="C21" s="14">
        <v>0.09</v>
      </c>
      <c r="D21" s="14">
        <v>0.11</v>
      </c>
      <c r="E21" s="14">
        <v>0.1</v>
      </c>
      <c r="F21" s="14">
        <v>0.09</v>
      </c>
      <c r="G21" s="14">
        <v>0.12</v>
      </c>
      <c r="H21" s="14">
        <v>0.11</v>
      </c>
      <c r="I21" s="14">
        <v>0.1</v>
      </c>
      <c r="J21" s="14">
        <v>7.0000000000000007E-2</v>
      </c>
      <c r="K21" s="14">
        <v>0.11</v>
      </c>
      <c r="L21" s="14">
        <v>0.08</v>
      </c>
      <c r="M21" s="14">
        <v>0.08</v>
      </c>
      <c r="N21" s="14">
        <v>0.09</v>
      </c>
      <c r="O21" s="14">
        <v>7.0000000000000007E-2</v>
      </c>
      <c r="P21" s="14">
        <v>0.09</v>
      </c>
      <c r="Q21" s="14">
        <v>0.09</v>
      </c>
      <c r="R21" s="14">
        <v>0.11</v>
      </c>
      <c r="S21" s="14">
        <v>7.0000000000000007E-2</v>
      </c>
      <c r="T21" s="14">
        <v>0.08</v>
      </c>
      <c r="U21" s="14">
        <v>0.11</v>
      </c>
      <c r="V21" s="14">
        <v>0.08</v>
      </c>
      <c r="W21" s="14">
        <v>0.14000000000000001</v>
      </c>
      <c r="X21" s="14">
        <v>0.15</v>
      </c>
      <c r="Y21" s="14">
        <v>0.09</v>
      </c>
      <c r="Z21" s="14">
        <v>0.05</v>
      </c>
      <c r="AA21" s="14">
        <v>0.05</v>
      </c>
      <c r="AB21" s="14">
        <v>0.08</v>
      </c>
      <c r="AC21" s="14">
        <v>0.08</v>
      </c>
      <c r="AD21" s="14">
        <v>7.0000000000000007E-2</v>
      </c>
      <c r="AE21" s="14">
        <v>0.12</v>
      </c>
      <c r="AF21" s="14">
        <v>0.13</v>
      </c>
    </row>
    <row r="22" spans="1:32">
      <c r="A22" s="19"/>
      <c r="B22" s="11" t="s">
        <v>518</v>
      </c>
      <c r="C22" s="12">
        <v>3365</v>
      </c>
      <c r="D22" s="12">
        <v>140</v>
      </c>
      <c r="E22" s="12">
        <v>158</v>
      </c>
      <c r="F22" s="12">
        <v>137</v>
      </c>
      <c r="G22" s="12">
        <v>187</v>
      </c>
      <c r="H22" s="12">
        <v>148</v>
      </c>
      <c r="I22" s="12">
        <v>194</v>
      </c>
      <c r="J22" s="12">
        <v>46</v>
      </c>
      <c r="K22" s="12">
        <v>104</v>
      </c>
      <c r="L22" s="12">
        <v>118</v>
      </c>
      <c r="M22" s="12">
        <v>115</v>
      </c>
      <c r="N22" s="12">
        <v>129</v>
      </c>
      <c r="O22" s="12">
        <v>122</v>
      </c>
      <c r="P22" s="12">
        <v>122</v>
      </c>
      <c r="Q22" s="12">
        <v>81</v>
      </c>
      <c r="R22" s="12">
        <v>49</v>
      </c>
      <c r="S22" s="12">
        <v>96</v>
      </c>
      <c r="T22" s="12">
        <v>101</v>
      </c>
      <c r="U22" s="12">
        <v>76</v>
      </c>
      <c r="V22" s="12">
        <v>139</v>
      </c>
      <c r="W22" s="12">
        <v>62</v>
      </c>
      <c r="X22" s="12">
        <v>164</v>
      </c>
      <c r="Y22" s="12">
        <v>164</v>
      </c>
      <c r="Z22" s="12">
        <v>134</v>
      </c>
      <c r="AA22" s="12">
        <v>150</v>
      </c>
      <c r="AB22" s="12">
        <v>141</v>
      </c>
      <c r="AC22" s="12">
        <v>100</v>
      </c>
      <c r="AD22" s="12">
        <v>126</v>
      </c>
      <c r="AE22" s="12">
        <v>176</v>
      </c>
      <c r="AF22" s="12">
        <v>262</v>
      </c>
    </row>
    <row r="23" spans="1:32">
      <c r="A23" s="19"/>
      <c r="B23" s="13" t="s">
        <v>519</v>
      </c>
      <c r="C23" s="14">
        <v>0.14000000000000001</v>
      </c>
      <c r="D23" s="14">
        <v>0.15</v>
      </c>
      <c r="E23" s="14">
        <v>0.17</v>
      </c>
      <c r="F23" s="14">
        <v>0.14000000000000001</v>
      </c>
      <c r="G23" s="14">
        <v>0.21</v>
      </c>
      <c r="H23" s="14">
        <v>0.13</v>
      </c>
      <c r="I23" s="14">
        <v>0.14000000000000001</v>
      </c>
      <c r="J23" s="14">
        <v>0.17</v>
      </c>
      <c r="K23" s="14">
        <v>0.11</v>
      </c>
      <c r="L23" s="14">
        <v>0.13</v>
      </c>
      <c r="M23" s="14">
        <v>0.12</v>
      </c>
      <c r="N23" s="14">
        <v>0.15</v>
      </c>
      <c r="O23" s="14">
        <v>0.14000000000000001</v>
      </c>
      <c r="P23" s="14">
        <v>0.13</v>
      </c>
      <c r="Q23" s="14">
        <v>0.08</v>
      </c>
      <c r="R23" s="14">
        <v>0.11</v>
      </c>
      <c r="S23" s="14">
        <v>0.1</v>
      </c>
      <c r="T23" s="14">
        <v>0.1</v>
      </c>
      <c r="U23" s="14">
        <v>0.16</v>
      </c>
      <c r="V23" s="14">
        <v>0.15</v>
      </c>
      <c r="W23" s="14">
        <v>0.14000000000000001</v>
      </c>
      <c r="X23" s="14">
        <v>0.19</v>
      </c>
      <c r="Y23" s="14">
        <v>0.19</v>
      </c>
      <c r="Z23" s="14">
        <v>0.14000000000000001</v>
      </c>
      <c r="AA23" s="14">
        <v>0.16</v>
      </c>
      <c r="AB23" s="14">
        <v>0.15</v>
      </c>
      <c r="AC23" s="14">
        <v>0.11</v>
      </c>
      <c r="AD23" s="14">
        <v>0.14000000000000001</v>
      </c>
      <c r="AE23" s="14">
        <v>0.19</v>
      </c>
      <c r="AF23" s="14">
        <v>0.31</v>
      </c>
    </row>
    <row r="24" spans="1:32">
      <c r="A24" s="19"/>
      <c r="B24" s="11" t="s">
        <v>520</v>
      </c>
      <c r="C24" s="12">
        <v>5073</v>
      </c>
      <c r="D24" s="12">
        <v>167</v>
      </c>
      <c r="E24" s="12">
        <v>227</v>
      </c>
      <c r="F24" s="12">
        <v>262</v>
      </c>
      <c r="G24" s="12">
        <v>175</v>
      </c>
      <c r="H24" s="12">
        <v>252</v>
      </c>
      <c r="I24" s="12">
        <v>315</v>
      </c>
      <c r="J24" s="12">
        <v>64</v>
      </c>
      <c r="K24" s="12">
        <v>217</v>
      </c>
      <c r="L24" s="12">
        <v>156</v>
      </c>
      <c r="M24" s="12">
        <v>220</v>
      </c>
      <c r="N24" s="12">
        <v>171</v>
      </c>
      <c r="O24" s="12">
        <v>182</v>
      </c>
      <c r="P24" s="12">
        <v>199</v>
      </c>
      <c r="Q24" s="12">
        <v>249</v>
      </c>
      <c r="R24" s="12">
        <v>46</v>
      </c>
      <c r="S24" s="12">
        <v>233</v>
      </c>
      <c r="T24" s="12">
        <v>166</v>
      </c>
      <c r="U24" s="12">
        <v>89</v>
      </c>
      <c r="V24" s="12">
        <v>205</v>
      </c>
      <c r="W24" s="12">
        <v>64</v>
      </c>
      <c r="X24" s="12">
        <v>125</v>
      </c>
      <c r="Y24" s="12">
        <v>168</v>
      </c>
      <c r="Z24" s="12">
        <v>160</v>
      </c>
      <c r="AA24" s="12">
        <v>239</v>
      </c>
      <c r="AB24" s="12">
        <v>179</v>
      </c>
      <c r="AC24" s="12">
        <v>219</v>
      </c>
      <c r="AD24" s="12">
        <v>205</v>
      </c>
      <c r="AE24" s="12">
        <v>235</v>
      </c>
      <c r="AF24" s="12">
        <v>148</v>
      </c>
    </row>
    <row r="25" spans="1:32">
      <c r="A25" s="19"/>
      <c r="B25" s="13" t="s">
        <v>521</v>
      </c>
      <c r="C25" s="14">
        <v>0.22</v>
      </c>
      <c r="D25" s="14">
        <v>0.18</v>
      </c>
      <c r="E25" s="14">
        <v>0.27</v>
      </c>
      <c r="F25" s="14">
        <v>0.28999999999999998</v>
      </c>
      <c r="G25" s="14">
        <v>0.2</v>
      </c>
      <c r="H25" s="14">
        <v>0.25</v>
      </c>
      <c r="I25" s="14">
        <v>0.25</v>
      </c>
      <c r="J25" s="14">
        <v>0.27</v>
      </c>
      <c r="K25" s="14">
        <v>0.25</v>
      </c>
      <c r="L25" s="14">
        <v>0.18</v>
      </c>
      <c r="M25" s="14">
        <v>0.28999999999999998</v>
      </c>
      <c r="N25" s="14">
        <v>0.2</v>
      </c>
      <c r="O25" s="14">
        <v>0.21</v>
      </c>
      <c r="P25" s="14">
        <v>0.23</v>
      </c>
      <c r="Q25" s="14">
        <v>0.28000000000000003</v>
      </c>
      <c r="R25" s="14">
        <v>0.1</v>
      </c>
      <c r="S25" s="14">
        <v>0.27</v>
      </c>
      <c r="T25" s="14">
        <v>0.18</v>
      </c>
      <c r="U25" s="14">
        <v>0.21</v>
      </c>
      <c r="V25" s="14">
        <v>0.23</v>
      </c>
      <c r="W25" s="14">
        <v>0.14000000000000001</v>
      </c>
      <c r="X25" s="14">
        <v>0.14000000000000001</v>
      </c>
      <c r="Y25" s="14">
        <v>0.2</v>
      </c>
      <c r="Z25" s="14">
        <v>0.17</v>
      </c>
      <c r="AA25" s="14">
        <v>0.31</v>
      </c>
      <c r="AB25" s="14">
        <v>0.2</v>
      </c>
      <c r="AC25" s="14">
        <v>0.25</v>
      </c>
      <c r="AD25" s="14">
        <v>0.25</v>
      </c>
      <c r="AE25" s="14">
        <v>0.28000000000000003</v>
      </c>
      <c r="AF25" s="14">
        <v>0.16</v>
      </c>
    </row>
    <row r="26" spans="1:32">
      <c r="A26" s="19"/>
      <c r="B26" s="11" t="s">
        <v>522</v>
      </c>
      <c r="C26" s="12">
        <v>2966</v>
      </c>
      <c r="D26" s="12">
        <v>124</v>
      </c>
      <c r="E26" s="12">
        <v>116</v>
      </c>
      <c r="F26" s="12">
        <v>128</v>
      </c>
      <c r="G26" s="12">
        <v>143</v>
      </c>
      <c r="H26" s="12">
        <v>194</v>
      </c>
      <c r="I26" s="12">
        <v>223</v>
      </c>
      <c r="J26" s="12">
        <v>29</v>
      </c>
      <c r="K26" s="12">
        <v>110</v>
      </c>
      <c r="L26" s="12">
        <v>152</v>
      </c>
      <c r="M26" s="12">
        <v>95</v>
      </c>
      <c r="N26" s="12">
        <v>83</v>
      </c>
      <c r="O26" s="12">
        <v>83</v>
      </c>
      <c r="P26" s="12">
        <v>105</v>
      </c>
      <c r="Q26" s="12">
        <v>136</v>
      </c>
      <c r="R26" s="12">
        <v>43</v>
      </c>
      <c r="S26" s="12">
        <v>108</v>
      </c>
      <c r="T26" s="12">
        <v>92</v>
      </c>
      <c r="U26" s="12">
        <v>59</v>
      </c>
      <c r="V26" s="12">
        <v>118</v>
      </c>
      <c r="W26" s="12">
        <v>49</v>
      </c>
      <c r="X26" s="12">
        <v>134</v>
      </c>
      <c r="Y26" s="12">
        <v>143</v>
      </c>
      <c r="Z26" s="12">
        <v>99</v>
      </c>
      <c r="AA26" s="12">
        <v>90</v>
      </c>
      <c r="AB26" s="12">
        <v>91</v>
      </c>
      <c r="AC26" s="12">
        <v>129</v>
      </c>
      <c r="AD26" s="12">
        <v>125</v>
      </c>
      <c r="AE26" s="12">
        <v>95</v>
      </c>
      <c r="AF26" s="12">
        <v>90</v>
      </c>
    </row>
    <row r="27" spans="1:32">
      <c r="A27" s="19"/>
      <c r="B27" s="13" t="s">
        <v>523</v>
      </c>
      <c r="C27" s="14">
        <v>0.12</v>
      </c>
      <c r="D27" s="14">
        <v>0.13</v>
      </c>
      <c r="E27" s="14">
        <v>0.12</v>
      </c>
      <c r="F27" s="14">
        <v>0.13</v>
      </c>
      <c r="G27" s="14">
        <v>0.15</v>
      </c>
      <c r="H27" s="14">
        <v>0.17</v>
      </c>
      <c r="I27" s="14">
        <v>0.16</v>
      </c>
      <c r="J27" s="14">
        <v>0.1</v>
      </c>
      <c r="K27" s="14">
        <v>0.12</v>
      </c>
      <c r="L27" s="14">
        <v>0.16</v>
      </c>
      <c r="M27" s="14">
        <v>0.1</v>
      </c>
      <c r="N27" s="14">
        <v>0.09</v>
      </c>
      <c r="O27" s="14">
        <v>0.09</v>
      </c>
      <c r="P27" s="14">
        <v>0.11</v>
      </c>
      <c r="Q27" s="14">
        <v>0.14000000000000001</v>
      </c>
      <c r="R27" s="14">
        <v>0.09</v>
      </c>
      <c r="S27" s="14">
        <v>0.12</v>
      </c>
      <c r="T27" s="14">
        <v>0.09</v>
      </c>
      <c r="U27" s="14">
        <v>0.12</v>
      </c>
      <c r="V27" s="14">
        <v>0.12</v>
      </c>
      <c r="W27" s="14">
        <v>0.1</v>
      </c>
      <c r="X27" s="14">
        <v>0.14000000000000001</v>
      </c>
      <c r="Y27" s="14">
        <v>0.15</v>
      </c>
      <c r="Z27" s="14">
        <v>0.1</v>
      </c>
      <c r="AA27" s="14">
        <v>0.09</v>
      </c>
      <c r="AB27" s="14">
        <v>0.09</v>
      </c>
      <c r="AC27" s="14">
        <v>0.14000000000000001</v>
      </c>
      <c r="AD27" s="14">
        <v>0.13</v>
      </c>
      <c r="AE27" s="14">
        <v>0.1</v>
      </c>
      <c r="AF27" s="14">
        <v>0.09</v>
      </c>
    </row>
    <row r="28" spans="1:32">
      <c r="A28" s="19"/>
      <c r="B28" s="11" t="s">
        <v>524</v>
      </c>
      <c r="C28" s="12">
        <v>1310</v>
      </c>
      <c r="D28" s="12">
        <v>101</v>
      </c>
      <c r="E28" s="12">
        <v>54</v>
      </c>
      <c r="F28" s="12">
        <v>30</v>
      </c>
      <c r="G28" s="12">
        <v>17</v>
      </c>
      <c r="H28" s="12">
        <v>66</v>
      </c>
      <c r="I28" s="12">
        <v>76</v>
      </c>
      <c r="J28" s="12">
        <v>11</v>
      </c>
      <c r="K28" s="12">
        <v>56</v>
      </c>
      <c r="L28" s="12">
        <v>86</v>
      </c>
      <c r="M28" s="12">
        <v>24</v>
      </c>
      <c r="N28" s="12">
        <v>50</v>
      </c>
      <c r="O28" s="12">
        <v>45</v>
      </c>
      <c r="P28" s="12">
        <v>39</v>
      </c>
      <c r="Q28" s="12">
        <v>77</v>
      </c>
      <c r="R28" s="12">
        <v>20</v>
      </c>
      <c r="S28" s="12">
        <v>22</v>
      </c>
      <c r="T28" s="12">
        <v>36</v>
      </c>
      <c r="U28" s="12">
        <v>16</v>
      </c>
      <c r="V28" s="12">
        <v>61</v>
      </c>
      <c r="W28" s="12">
        <v>30</v>
      </c>
      <c r="X28" s="12">
        <v>60</v>
      </c>
      <c r="Y28" s="12">
        <v>66</v>
      </c>
      <c r="Z28" s="12">
        <v>17</v>
      </c>
      <c r="AA28" s="12">
        <v>48</v>
      </c>
      <c r="AB28" s="12">
        <v>50</v>
      </c>
      <c r="AC28" s="12">
        <v>66</v>
      </c>
      <c r="AD28" s="12">
        <v>66</v>
      </c>
      <c r="AE28" s="12">
        <v>14</v>
      </c>
      <c r="AF28" s="12">
        <v>24</v>
      </c>
    </row>
    <row r="29" spans="1:32">
      <c r="A29" s="19"/>
      <c r="B29" s="13" t="s">
        <v>525</v>
      </c>
      <c r="C29" s="14">
        <v>0.05</v>
      </c>
      <c r="D29" s="14">
        <v>0.11</v>
      </c>
      <c r="E29" s="14">
        <v>0.05</v>
      </c>
      <c r="F29" s="14">
        <v>0.03</v>
      </c>
      <c r="G29" s="14">
        <v>0.02</v>
      </c>
      <c r="H29" s="14">
        <v>0.06</v>
      </c>
      <c r="I29" s="14">
        <v>0.05</v>
      </c>
      <c r="J29" s="14">
        <v>0.04</v>
      </c>
      <c r="K29" s="14">
        <v>0.06</v>
      </c>
      <c r="L29" s="14">
        <v>0.09</v>
      </c>
      <c r="M29" s="14">
        <v>0.02</v>
      </c>
      <c r="N29" s="14">
        <v>0.05</v>
      </c>
      <c r="O29" s="14">
        <v>0.05</v>
      </c>
      <c r="P29" s="14">
        <v>0.04</v>
      </c>
      <c r="Q29" s="14">
        <v>0.08</v>
      </c>
      <c r="R29" s="14">
        <v>0.04</v>
      </c>
      <c r="S29" s="14">
        <v>0.02</v>
      </c>
      <c r="T29" s="14">
        <v>0.04</v>
      </c>
      <c r="U29" s="14">
        <v>0.03</v>
      </c>
      <c r="V29" s="14">
        <v>0.06</v>
      </c>
      <c r="W29" s="14">
        <v>0.06</v>
      </c>
      <c r="X29" s="14">
        <v>0.06</v>
      </c>
      <c r="Y29" s="14">
        <v>7.0000000000000007E-2</v>
      </c>
      <c r="Z29" s="14">
        <v>0.02</v>
      </c>
      <c r="AA29" s="14">
        <v>0.05</v>
      </c>
      <c r="AB29" s="14">
        <v>0.05</v>
      </c>
      <c r="AC29" s="14">
        <v>7.0000000000000007E-2</v>
      </c>
      <c r="AD29" s="14">
        <v>7.0000000000000007E-2</v>
      </c>
      <c r="AE29" s="14">
        <v>0.01</v>
      </c>
      <c r="AF29" s="14">
        <v>0.02</v>
      </c>
    </row>
    <row r="30" spans="1:32">
      <c r="A30" s="19"/>
      <c r="B30" s="11" t="s">
        <v>526</v>
      </c>
      <c r="C30" s="12">
        <v>3533</v>
      </c>
      <c r="D30" s="12">
        <v>123</v>
      </c>
      <c r="E30" s="12">
        <v>106</v>
      </c>
      <c r="F30" s="12">
        <v>53</v>
      </c>
      <c r="G30" s="12">
        <v>197</v>
      </c>
      <c r="H30" s="12">
        <v>165</v>
      </c>
      <c r="I30" s="12">
        <v>199</v>
      </c>
      <c r="J30" s="12">
        <v>34</v>
      </c>
      <c r="K30" s="12">
        <v>50</v>
      </c>
      <c r="L30" s="12">
        <v>173</v>
      </c>
      <c r="M30" s="12">
        <v>143</v>
      </c>
      <c r="N30" s="12">
        <v>113</v>
      </c>
      <c r="O30" s="12">
        <v>155</v>
      </c>
      <c r="P30" s="12">
        <v>129</v>
      </c>
      <c r="Q30" s="12">
        <v>157</v>
      </c>
      <c r="R30" s="12">
        <v>37</v>
      </c>
      <c r="S30" s="12">
        <v>18</v>
      </c>
      <c r="T30" s="12">
        <v>55</v>
      </c>
      <c r="U30" s="12">
        <v>58</v>
      </c>
      <c r="V30" s="12">
        <v>171</v>
      </c>
      <c r="W30" s="12">
        <v>87</v>
      </c>
      <c r="X30" s="12">
        <v>193</v>
      </c>
      <c r="Y30" s="12">
        <v>157</v>
      </c>
      <c r="Z30" s="12">
        <v>92</v>
      </c>
      <c r="AA30" s="12">
        <v>168</v>
      </c>
      <c r="AB30" s="12">
        <v>89</v>
      </c>
      <c r="AC30" s="12">
        <v>80</v>
      </c>
      <c r="AD30" s="12">
        <v>76</v>
      </c>
      <c r="AE30" s="12">
        <v>163</v>
      </c>
      <c r="AF30" s="12">
        <v>229</v>
      </c>
    </row>
    <row r="31" spans="1:32">
      <c r="A31" s="19"/>
      <c r="B31" s="13" t="s">
        <v>527</v>
      </c>
      <c r="C31" s="14">
        <v>0.14000000000000001</v>
      </c>
      <c r="D31" s="14">
        <v>0.13</v>
      </c>
      <c r="E31" s="14">
        <v>0.11</v>
      </c>
      <c r="F31" s="14">
        <v>0.05</v>
      </c>
      <c r="G31" s="14">
        <v>0.22</v>
      </c>
      <c r="H31" s="14">
        <v>0.14000000000000001</v>
      </c>
      <c r="I31" s="14">
        <v>0.14000000000000001</v>
      </c>
      <c r="J31" s="14">
        <v>0.12</v>
      </c>
      <c r="K31" s="14">
        <v>0.05</v>
      </c>
      <c r="L31" s="14">
        <v>0.19</v>
      </c>
      <c r="M31" s="14">
        <v>0.15</v>
      </c>
      <c r="N31" s="14">
        <v>0.12</v>
      </c>
      <c r="O31" s="14">
        <v>0.17</v>
      </c>
      <c r="P31" s="14">
        <v>0.14000000000000001</v>
      </c>
      <c r="Q31" s="14">
        <v>0.16</v>
      </c>
      <c r="R31" s="14">
        <v>0.08</v>
      </c>
      <c r="S31" s="14">
        <v>0.02</v>
      </c>
      <c r="T31" s="14">
        <v>0.06</v>
      </c>
      <c r="U31" s="14">
        <v>0.12</v>
      </c>
      <c r="V31" s="14">
        <v>0.17</v>
      </c>
      <c r="W31" s="14">
        <v>0.19</v>
      </c>
      <c r="X31" s="14">
        <v>0.22</v>
      </c>
      <c r="Y31" s="14">
        <v>0.17</v>
      </c>
      <c r="Z31" s="14">
        <v>0.1</v>
      </c>
      <c r="AA31" s="14">
        <v>0.18</v>
      </c>
      <c r="AB31" s="14">
        <v>0.09</v>
      </c>
      <c r="AC31" s="14">
        <v>0.08</v>
      </c>
      <c r="AD31" s="14">
        <v>0.08</v>
      </c>
      <c r="AE31" s="14">
        <v>0.18</v>
      </c>
      <c r="AF31" s="14">
        <v>0.27</v>
      </c>
    </row>
    <row r="32" spans="1:32">
      <c r="A32" s="19"/>
      <c r="B32" s="11" t="s">
        <v>528</v>
      </c>
      <c r="C32" s="12">
        <v>3760</v>
      </c>
      <c r="D32" s="12">
        <v>135</v>
      </c>
      <c r="E32" s="12">
        <v>156</v>
      </c>
      <c r="F32" s="12">
        <v>159</v>
      </c>
      <c r="G32" s="12">
        <v>108</v>
      </c>
      <c r="H32" s="12">
        <v>141</v>
      </c>
      <c r="I32" s="12">
        <v>188</v>
      </c>
      <c r="J32" s="12">
        <v>47</v>
      </c>
      <c r="K32" s="12">
        <v>122</v>
      </c>
      <c r="L32" s="12">
        <v>154</v>
      </c>
      <c r="M32" s="12">
        <v>141</v>
      </c>
      <c r="N32" s="12">
        <v>94</v>
      </c>
      <c r="O32" s="12">
        <v>149</v>
      </c>
      <c r="P32" s="12">
        <v>178</v>
      </c>
      <c r="Q32" s="12">
        <v>142</v>
      </c>
      <c r="R32" s="12">
        <v>24</v>
      </c>
      <c r="S32" s="12">
        <v>92</v>
      </c>
      <c r="T32" s="12">
        <v>108</v>
      </c>
      <c r="U32" s="12">
        <v>64</v>
      </c>
      <c r="V32" s="12">
        <v>165</v>
      </c>
      <c r="W32" s="12">
        <v>82</v>
      </c>
      <c r="X32" s="12">
        <v>162</v>
      </c>
      <c r="Y32" s="12">
        <v>138</v>
      </c>
      <c r="Z32" s="12">
        <v>197</v>
      </c>
      <c r="AA32" s="12">
        <v>167</v>
      </c>
      <c r="AB32" s="12">
        <v>192</v>
      </c>
      <c r="AC32" s="12">
        <v>220</v>
      </c>
      <c r="AD32" s="12">
        <v>235</v>
      </c>
      <c r="AE32" s="12">
        <v>153</v>
      </c>
      <c r="AF32" s="12">
        <v>166</v>
      </c>
    </row>
    <row r="33" spans="1:32">
      <c r="A33" s="19"/>
      <c r="B33" s="13" t="s">
        <v>529</v>
      </c>
      <c r="C33" s="14">
        <v>0.16</v>
      </c>
      <c r="D33" s="14">
        <v>0.14000000000000001</v>
      </c>
      <c r="E33" s="14">
        <v>0.17</v>
      </c>
      <c r="F33" s="14">
        <v>0.17</v>
      </c>
      <c r="G33" s="14">
        <v>0.11</v>
      </c>
      <c r="H33" s="14">
        <v>0.12</v>
      </c>
      <c r="I33" s="14">
        <v>0.13</v>
      </c>
      <c r="J33" s="14">
        <v>0.17</v>
      </c>
      <c r="K33" s="14">
        <v>0.13</v>
      </c>
      <c r="L33" s="14">
        <v>0.17</v>
      </c>
      <c r="M33" s="14">
        <v>0.15</v>
      </c>
      <c r="N33" s="14">
        <v>0.1</v>
      </c>
      <c r="O33" s="14">
        <v>0.17</v>
      </c>
      <c r="P33" s="14">
        <v>0.21</v>
      </c>
      <c r="Q33" s="14">
        <v>0.15</v>
      </c>
      <c r="R33" s="14">
        <v>0.05</v>
      </c>
      <c r="S33" s="14">
        <v>0.1</v>
      </c>
      <c r="T33" s="14">
        <v>0.11</v>
      </c>
      <c r="U33" s="14">
        <v>0.14000000000000001</v>
      </c>
      <c r="V33" s="14">
        <v>0.18</v>
      </c>
      <c r="W33" s="14">
        <v>0.18</v>
      </c>
      <c r="X33" s="14">
        <v>0.17</v>
      </c>
      <c r="Y33" s="14">
        <v>0.16</v>
      </c>
      <c r="Z33" s="14">
        <v>0.22</v>
      </c>
      <c r="AA33" s="14">
        <v>0.18</v>
      </c>
      <c r="AB33" s="14">
        <v>0.21</v>
      </c>
      <c r="AC33" s="14">
        <v>0.26</v>
      </c>
      <c r="AD33" s="14">
        <v>0.27</v>
      </c>
      <c r="AE33" s="14">
        <v>0.16</v>
      </c>
      <c r="AF33" s="14">
        <v>0.17</v>
      </c>
    </row>
    <row r="34" spans="1:32">
      <c r="A34" s="19"/>
      <c r="B34" s="11" t="s">
        <v>530</v>
      </c>
      <c r="C34" s="12">
        <v>4613</v>
      </c>
      <c r="D34" s="12">
        <v>207</v>
      </c>
      <c r="E34" s="12">
        <v>125</v>
      </c>
      <c r="F34" s="12">
        <v>121</v>
      </c>
      <c r="G34" s="12">
        <v>188</v>
      </c>
      <c r="H34" s="12">
        <v>246</v>
      </c>
      <c r="I34" s="12">
        <v>308</v>
      </c>
      <c r="J34" s="12">
        <v>62</v>
      </c>
      <c r="K34" s="12">
        <v>180</v>
      </c>
      <c r="L34" s="12">
        <v>158</v>
      </c>
      <c r="M34" s="12">
        <v>223</v>
      </c>
      <c r="N34" s="12">
        <v>275</v>
      </c>
      <c r="O34" s="12">
        <v>185</v>
      </c>
      <c r="P34" s="12">
        <v>124</v>
      </c>
      <c r="Q34" s="12">
        <v>153</v>
      </c>
      <c r="R34" s="12">
        <v>116</v>
      </c>
      <c r="S34" s="12">
        <v>159</v>
      </c>
      <c r="T34" s="12">
        <v>132</v>
      </c>
      <c r="U34" s="12">
        <v>83</v>
      </c>
      <c r="V34" s="12">
        <v>123</v>
      </c>
      <c r="W34" s="12">
        <v>98</v>
      </c>
      <c r="X34" s="12">
        <v>157</v>
      </c>
      <c r="Y34" s="12">
        <v>143</v>
      </c>
      <c r="Z34" s="12">
        <v>56</v>
      </c>
      <c r="AA34" s="12">
        <v>224</v>
      </c>
      <c r="AB34" s="12">
        <v>144</v>
      </c>
      <c r="AC34" s="12">
        <v>130</v>
      </c>
      <c r="AD34" s="12">
        <v>138</v>
      </c>
      <c r="AE34" s="12">
        <v>173</v>
      </c>
      <c r="AF34" s="12">
        <v>216</v>
      </c>
    </row>
    <row r="35" spans="1:32">
      <c r="A35" s="19"/>
      <c r="B35" s="13" t="s">
        <v>531</v>
      </c>
      <c r="C35" s="14">
        <v>0.19</v>
      </c>
      <c r="D35" s="14">
        <v>0.22</v>
      </c>
      <c r="E35" s="14">
        <v>0.13</v>
      </c>
      <c r="F35" s="14">
        <v>0.12</v>
      </c>
      <c r="G35" s="14">
        <v>0.2</v>
      </c>
      <c r="H35" s="14">
        <v>0.22</v>
      </c>
      <c r="I35" s="14">
        <v>0.22</v>
      </c>
      <c r="J35" s="14">
        <v>0.23</v>
      </c>
      <c r="K35" s="14">
        <v>0.2</v>
      </c>
      <c r="L35" s="14">
        <v>0.17</v>
      </c>
      <c r="M35" s="14">
        <v>0.25</v>
      </c>
      <c r="N35" s="14">
        <v>0.33</v>
      </c>
      <c r="O35" s="14">
        <v>0.21</v>
      </c>
      <c r="P35" s="14">
        <v>0.13</v>
      </c>
      <c r="Q35" s="14">
        <v>0.16</v>
      </c>
      <c r="R35" s="14">
        <v>0.27</v>
      </c>
      <c r="S35" s="14">
        <v>0.17</v>
      </c>
      <c r="T35" s="14">
        <v>0.14000000000000001</v>
      </c>
      <c r="U35" s="14">
        <v>0.18</v>
      </c>
      <c r="V35" s="14">
        <v>0.13</v>
      </c>
      <c r="W35" s="14">
        <v>0.22</v>
      </c>
      <c r="X35" s="14">
        <v>0.17</v>
      </c>
      <c r="Y35" s="14">
        <v>0.16</v>
      </c>
      <c r="Z35" s="14">
        <v>0.06</v>
      </c>
      <c r="AA35" s="14">
        <v>0.24</v>
      </c>
      <c r="AB35" s="14">
        <v>0.15</v>
      </c>
      <c r="AC35" s="14">
        <v>0.14000000000000001</v>
      </c>
      <c r="AD35" s="14">
        <v>0.15</v>
      </c>
      <c r="AE35" s="14">
        <v>0.18</v>
      </c>
      <c r="AF35" s="14">
        <v>0.22</v>
      </c>
    </row>
    <row r="36" spans="1:32">
      <c r="A36" s="19"/>
      <c r="B36" s="11" t="s">
        <v>532</v>
      </c>
      <c r="C36" s="12">
        <v>2976</v>
      </c>
      <c r="D36" s="12">
        <v>91</v>
      </c>
      <c r="E36" s="12">
        <v>184</v>
      </c>
      <c r="F36" s="12">
        <v>94</v>
      </c>
      <c r="G36" s="12">
        <v>59</v>
      </c>
      <c r="H36" s="12">
        <v>117</v>
      </c>
      <c r="I36" s="12">
        <v>149</v>
      </c>
      <c r="J36" s="12">
        <v>32</v>
      </c>
      <c r="K36" s="12">
        <v>113</v>
      </c>
      <c r="L36" s="12">
        <v>120</v>
      </c>
      <c r="M36" s="12">
        <v>214</v>
      </c>
      <c r="N36" s="12">
        <v>107</v>
      </c>
      <c r="O36" s="12">
        <v>104</v>
      </c>
      <c r="P36" s="12">
        <v>172</v>
      </c>
      <c r="Q36" s="12">
        <v>116</v>
      </c>
      <c r="R36" s="12">
        <v>83</v>
      </c>
      <c r="S36" s="12">
        <v>133</v>
      </c>
      <c r="T36" s="12">
        <v>136</v>
      </c>
      <c r="U36" s="12">
        <v>50</v>
      </c>
      <c r="V36" s="12">
        <v>116</v>
      </c>
      <c r="W36" s="12">
        <v>59</v>
      </c>
      <c r="X36" s="12">
        <v>95</v>
      </c>
      <c r="Y36" s="12">
        <v>158</v>
      </c>
      <c r="Z36" s="12">
        <v>150</v>
      </c>
      <c r="AA36" s="12">
        <v>139</v>
      </c>
      <c r="AB36" s="12">
        <v>144</v>
      </c>
      <c r="AC36" s="12">
        <v>81</v>
      </c>
      <c r="AD36" s="12">
        <v>104</v>
      </c>
      <c r="AE36" s="12">
        <v>68</v>
      </c>
      <c r="AF36" s="12">
        <v>65</v>
      </c>
    </row>
    <row r="37" spans="1:32">
      <c r="A37" s="19"/>
      <c r="B37" s="13" t="s">
        <v>533</v>
      </c>
      <c r="C37" s="14">
        <v>0.12</v>
      </c>
      <c r="D37" s="14">
        <v>0.09</v>
      </c>
      <c r="E37" s="14">
        <v>0.21</v>
      </c>
      <c r="F37" s="14">
        <v>0.1</v>
      </c>
      <c r="G37" s="14">
        <v>0.06</v>
      </c>
      <c r="H37" s="14">
        <v>0.1</v>
      </c>
      <c r="I37" s="14">
        <v>0.1</v>
      </c>
      <c r="J37" s="14">
        <v>0.12</v>
      </c>
      <c r="K37" s="14">
        <v>0.12</v>
      </c>
      <c r="L37" s="14">
        <v>0.13</v>
      </c>
      <c r="M37" s="14">
        <v>0.24</v>
      </c>
      <c r="N37" s="14">
        <v>0.12</v>
      </c>
      <c r="O37" s="14">
        <v>0.11</v>
      </c>
      <c r="P37" s="14">
        <v>0.19</v>
      </c>
      <c r="Q37" s="14">
        <v>0.12</v>
      </c>
      <c r="R37" s="14">
        <v>0.19</v>
      </c>
      <c r="S37" s="14">
        <v>0.15</v>
      </c>
      <c r="T37" s="14">
        <v>0.14000000000000001</v>
      </c>
      <c r="U37" s="14">
        <v>0.1</v>
      </c>
      <c r="V37" s="14">
        <v>0.12</v>
      </c>
      <c r="W37" s="14">
        <v>0.13</v>
      </c>
      <c r="X37" s="14">
        <v>0.1</v>
      </c>
      <c r="Y37" s="14">
        <v>0.17</v>
      </c>
      <c r="Z37" s="14">
        <v>0.16</v>
      </c>
      <c r="AA37" s="14">
        <v>0.15</v>
      </c>
      <c r="AB37" s="14">
        <v>0.15</v>
      </c>
      <c r="AC37" s="14">
        <v>0.08</v>
      </c>
      <c r="AD37" s="14">
        <v>0.11</v>
      </c>
      <c r="AE37" s="14">
        <v>7.0000000000000007E-2</v>
      </c>
      <c r="AF37" s="14">
        <v>0.06</v>
      </c>
    </row>
    <row r="38" spans="1:32">
      <c r="A38" s="19"/>
      <c r="B38" s="11" t="s">
        <v>534</v>
      </c>
      <c r="C38" s="12">
        <v>1711</v>
      </c>
      <c r="D38" s="12">
        <v>72</v>
      </c>
      <c r="E38" s="12">
        <v>54</v>
      </c>
      <c r="F38" s="12">
        <v>40</v>
      </c>
      <c r="G38" s="12">
        <v>46</v>
      </c>
      <c r="H38" s="12">
        <v>45</v>
      </c>
      <c r="I38" s="12">
        <v>61</v>
      </c>
      <c r="J38" s="12">
        <v>16</v>
      </c>
      <c r="K38" s="12">
        <v>91</v>
      </c>
      <c r="L38" s="12">
        <v>63</v>
      </c>
      <c r="M38" s="12">
        <v>99</v>
      </c>
      <c r="N38" s="12">
        <v>94</v>
      </c>
      <c r="O38" s="12">
        <v>89</v>
      </c>
      <c r="P38" s="12">
        <v>63</v>
      </c>
      <c r="Q38" s="12">
        <v>96</v>
      </c>
      <c r="R38" s="12">
        <v>75</v>
      </c>
      <c r="S38" s="12">
        <v>54</v>
      </c>
      <c r="T38" s="12">
        <v>66</v>
      </c>
      <c r="U38" s="12">
        <v>30</v>
      </c>
      <c r="V38" s="12">
        <v>60</v>
      </c>
      <c r="W38" s="12">
        <v>53</v>
      </c>
      <c r="X38" s="12">
        <v>30</v>
      </c>
      <c r="Y38" s="12">
        <v>59</v>
      </c>
      <c r="Z38" s="12">
        <v>42</v>
      </c>
      <c r="AA38" s="12">
        <v>60</v>
      </c>
      <c r="AB38" s="12">
        <v>53</v>
      </c>
      <c r="AC38" s="12">
        <v>46</v>
      </c>
      <c r="AD38" s="12">
        <v>43</v>
      </c>
      <c r="AE38" s="12">
        <v>28</v>
      </c>
      <c r="AF38" s="12">
        <v>33</v>
      </c>
    </row>
    <row r="39" spans="1:32">
      <c r="A39" s="19"/>
      <c r="B39" s="13" t="s">
        <v>535</v>
      </c>
      <c r="C39" s="14">
        <v>7.0000000000000007E-2</v>
      </c>
      <c r="D39" s="14">
        <v>7.0000000000000007E-2</v>
      </c>
      <c r="E39" s="14">
        <v>0.05</v>
      </c>
      <c r="F39" s="14">
        <v>0.04</v>
      </c>
      <c r="G39" s="14">
        <v>0.05</v>
      </c>
      <c r="H39" s="14">
        <v>0.04</v>
      </c>
      <c r="I39" s="14">
        <v>0.04</v>
      </c>
      <c r="J39" s="14">
        <v>0.06</v>
      </c>
      <c r="K39" s="14">
        <v>0.09</v>
      </c>
      <c r="L39" s="14">
        <v>7.0000000000000007E-2</v>
      </c>
      <c r="M39" s="14">
        <v>0.1</v>
      </c>
      <c r="N39" s="14">
        <v>0.1</v>
      </c>
      <c r="O39" s="14">
        <v>0.09</v>
      </c>
      <c r="P39" s="14">
        <v>7.0000000000000007E-2</v>
      </c>
      <c r="Q39" s="14">
        <v>0.1</v>
      </c>
      <c r="R39" s="14">
        <v>0.17</v>
      </c>
      <c r="S39" s="14">
        <v>0.06</v>
      </c>
      <c r="T39" s="14">
        <v>7.0000000000000007E-2</v>
      </c>
      <c r="U39" s="14">
        <v>0.06</v>
      </c>
      <c r="V39" s="14">
        <v>0.06</v>
      </c>
      <c r="W39" s="14">
        <v>0.11</v>
      </c>
      <c r="X39" s="14">
        <v>0.03</v>
      </c>
      <c r="Y39" s="14">
        <v>0.06</v>
      </c>
      <c r="Z39" s="14">
        <v>0.04</v>
      </c>
      <c r="AA39" s="14">
        <v>0.06</v>
      </c>
      <c r="AB39" s="14">
        <v>0.05</v>
      </c>
      <c r="AC39" s="14">
        <v>0.05</v>
      </c>
      <c r="AD39" s="14">
        <v>0.04</v>
      </c>
      <c r="AE39" s="14">
        <v>0.03</v>
      </c>
      <c r="AF39" s="14">
        <v>0.03</v>
      </c>
    </row>
    <row r="40" spans="1:32">
      <c r="A40" s="19"/>
      <c r="B40" s="11" t="s">
        <v>436</v>
      </c>
      <c r="C40" s="12">
        <v>88</v>
      </c>
      <c r="D40" s="12">
        <v>2</v>
      </c>
      <c r="E40" s="12">
        <v>5</v>
      </c>
      <c r="F40" s="12">
        <v>1</v>
      </c>
      <c r="G40" s="12">
        <v>0</v>
      </c>
      <c r="H40" s="12">
        <v>10</v>
      </c>
      <c r="I40" s="12">
        <v>10</v>
      </c>
      <c r="J40" s="12">
        <v>0</v>
      </c>
      <c r="K40" s="12">
        <v>11</v>
      </c>
      <c r="L40" s="12">
        <v>1</v>
      </c>
      <c r="M40" s="12">
        <v>3</v>
      </c>
      <c r="N40" s="12">
        <v>3</v>
      </c>
      <c r="O40" s="12">
        <v>5</v>
      </c>
      <c r="P40" s="12">
        <v>3</v>
      </c>
      <c r="Q40" s="12">
        <v>1</v>
      </c>
      <c r="R40" s="12">
        <v>0</v>
      </c>
      <c r="S40" s="12">
        <v>5</v>
      </c>
      <c r="T40" s="12">
        <v>2</v>
      </c>
      <c r="U40" s="12">
        <v>0</v>
      </c>
      <c r="V40" s="12">
        <v>0</v>
      </c>
      <c r="W40" s="12">
        <v>1</v>
      </c>
      <c r="X40" s="12">
        <v>1</v>
      </c>
      <c r="Y40" s="12">
        <v>16</v>
      </c>
      <c r="Z40" s="12">
        <v>1</v>
      </c>
      <c r="AA40" s="12">
        <v>1</v>
      </c>
      <c r="AB40" s="12">
        <v>3</v>
      </c>
      <c r="AC40" s="12">
        <v>2</v>
      </c>
      <c r="AD40" s="12">
        <v>2</v>
      </c>
      <c r="AE40" s="12">
        <v>2</v>
      </c>
      <c r="AF40" s="12">
        <v>1</v>
      </c>
    </row>
    <row r="41" spans="1:32">
      <c r="A41" s="19"/>
      <c r="B41" s="13" t="s">
        <v>437</v>
      </c>
      <c r="C41" s="15" t="s">
        <v>375</v>
      </c>
      <c r="D41" s="15" t="s">
        <v>375</v>
      </c>
      <c r="E41" s="15" t="s">
        <v>375</v>
      </c>
      <c r="F41" s="15" t="s">
        <v>375</v>
      </c>
      <c r="G41" s="15" t="s">
        <v>375</v>
      </c>
      <c r="H41" s="14">
        <v>0.01</v>
      </c>
      <c r="I41" s="14">
        <v>0.01</v>
      </c>
      <c r="J41" s="15" t="s">
        <v>375</v>
      </c>
      <c r="K41" s="14">
        <v>0.01</v>
      </c>
      <c r="L41" s="15" t="s">
        <v>375</v>
      </c>
      <c r="M41" s="15" t="s">
        <v>375</v>
      </c>
      <c r="N41" s="15" t="s">
        <v>375</v>
      </c>
      <c r="O41" s="14">
        <v>0.01</v>
      </c>
      <c r="P41" s="15" t="s">
        <v>375</v>
      </c>
      <c r="Q41" s="15" t="s">
        <v>375</v>
      </c>
      <c r="R41" s="15" t="s">
        <v>375</v>
      </c>
      <c r="S41" s="14">
        <v>0.01</v>
      </c>
      <c r="T41" s="15" t="s">
        <v>375</v>
      </c>
      <c r="U41" s="15" t="s">
        <v>375</v>
      </c>
      <c r="V41" s="15" t="s">
        <v>375</v>
      </c>
      <c r="W41" s="15" t="s">
        <v>375</v>
      </c>
      <c r="X41" s="15" t="s">
        <v>375</v>
      </c>
      <c r="Y41" s="14">
        <v>0.02</v>
      </c>
      <c r="Z41" s="15" t="s">
        <v>375</v>
      </c>
      <c r="AA41" s="15" t="s">
        <v>375</v>
      </c>
      <c r="AB41" s="15" t="s">
        <v>375</v>
      </c>
      <c r="AC41" s="15" t="s">
        <v>375</v>
      </c>
      <c r="AD41" s="15" t="s">
        <v>375</v>
      </c>
      <c r="AE41" s="15" t="s">
        <v>375</v>
      </c>
      <c r="AF41" s="15" t="s">
        <v>375</v>
      </c>
    </row>
    <row r="42" spans="1:32">
      <c r="A42" s="19"/>
      <c r="B42" s="11" t="s">
        <v>438</v>
      </c>
      <c r="C42" s="12">
        <v>114</v>
      </c>
      <c r="D42" s="12">
        <v>2</v>
      </c>
      <c r="E42" s="12">
        <v>2</v>
      </c>
      <c r="F42" s="12">
        <v>1</v>
      </c>
      <c r="G42" s="12">
        <v>4</v>
      </c>
      <c r="H42" s="12">
        <v>9</v>
      </c>
      <c r="I42" s="12">
        <v>10</v>
      </c>
      <c r="J42" s="12">
        <v>1</v>
      </c>
      <c r="K42" s="12">
        <v>1</v>
      </c>
      <c r="L42" s="12">
        <v>0</v>
      </c>
      <c r="M42" s="12">
        <v>0</v>
      </c>
      <c r="N42" s="12">
        <v>12</v>
      </c>
      <c r="O42" s="12">
        <v>4</v>
      </c>
      <c r="P42" s="12">
        <v>0</v>
      </c>
      <c r="Q42" s="12">
        <v>2</v>
      </c>
      <c r="R42" s="12">
        <v>0</v>
      </c>
      <c r="S42" s="12">
        <v>7</v>
      </c>
      <c r="T42" s="12">
        <v>1</v>
      </c>
      <c r="U42" s="12">
        <v>3</v>
      </c>
      <c r="V42" s="12">
        <v>0</v>
      </c>
      <c r="W42" s="12">
        <v>4</v>
      </c>
      <c r="X42" s="12">
        <v>3</v>
      </c>
      <c r="Y42" s="12">
        <v>1</v>
      </c>
      <c r="Z42" s="12">
        <v>1</v>
      </c>
      <c r="AA42" s="12">
        <v>0</v>
      </c>
      <c r="AB42" s="12">
        <v>1</v>
      </c>
      <c r="AC42" s="12">
        <v>5</v>
      </c>
      <c r="AD42" s="12">
        <v>0</v>
      </c>
      <c r="AE42" s="12">
        <v>6</v>
      </c>
      <c r="AF42" s="12">
        <v>9</v>
      </c>
    </row>
    <row r="43" spans="1:32">
      <c r="A43" s="19"/>
      <c r="B43" s="13" t="s">
        <v>439</v>
      </c>
      <c r="C43" s="15" t="s">
        <v>375</v>
      </c>
      <c r="D43" s="15" t="s">
        <v>375</v>
      </c>
      <c r="E43" s="15" t="s">
        <v>375</v>
      </c>
      <c r="F43" s="15" t="s">
        <v>375</v>
      </c>
      <c r="G43" s="15" t="s">
        <v>375</v>
      </c>
      <c r="H43" s="14">
        <v>0.01</v>
      </c>
      <c r="I43" s="14">
        <v>0.01</v>
      </c>
      <c r="J43" s="15" t="s">
        <v>375</v>
      </c>
      <c r="K43" s="15" t="s">
        <v>375</v>
      </c>
      <c r="L43" s="15" t="s">
        <v>375</v>
      </c>
      <c r="M43" s="15" t="s">
        <v>375</v>
      </c>
      <c r="N43" s="14">
        <v>0.01</v>
      </c>
      <c r="O43" s="15" t="s">
        <v>375</v>
      </c>
      <c r="P43" s="15" t="s">
        <v>375</v>
      </c>
      <c r="Q43" s="15" t="s">
        <v>375</v>
      </c>
      <c r="R43" s="15" t="s">
        <v>375</v>
      </c>
      <c r="S43" s="14">
        <v>0.01</v>
      </c>
      <c r="T43" s="15" t="s">
        <v>375</v>
      </c>
      <c r="U43" s="14">
        <v>0.01</v>
      </c>
      <c r="V43" s="15" t="s">
        <v>375</v>
      </c>
      <c r="W43" s="14">
        <v>0.01</v>
      </c>
      <c r="X43" s="15" t="s">
        <v>375</v>
      </c>
      <c r="Y43" s="15" t="s">
        <v>375</v>
      </c>
      <c r="Z43" s="15" t="s">
        <v>375</v>
      </c>
      <c r="AA43" s="15" t="s">
        <v>375</v>
      </c>
      <c r="AB43" s="15" t="s">
        <v>375</v>
      </c>
      <c r="AC43" s="15" t="s">
        <v>375</v>
      </c>
      <c r="AD43" s="15" t="s">
        <v>375</v>
      </c>
      <c r="AE43" s="14">
        <v>0.01</v>
      </c>
      <c r="AF43" s="14">
        <v>0.01</v>
      </c>
    </row>
    <row r="44" spans="1:32">
      <c r="A44" s="19"/>
      <c r="B44" s="11" t="s">
        <v>386</v>
      </c>
      <c r="C44" s="12">
        <v>144</v>
      </c>
      <c r="D44" s="12">
        <v>3</v>
      </c>
      <c r="E44" s="12">
        <v>1</v>
      </c>
      <c r="F44" s="12">
        <v>4</v>
      </c>
      <c r="G44" s="12">
        <v>7</v>
      </c>
      <c r="H44" s="12">
        <v>1</v>
      </c>
      <c r="I44" s="12">
        <v>1</v>
      </c>
      <c r="J44" s="12">
        <v>0</v>
      </c>
      <c r="K44" s="12">
        <v>9</v>
      </c>
      <c r="L44" s="12">
        <v>2</v>
      </c>
      <c r="M44" s="12">
        <v>1</v>
      </c>
      <c r="N44" s="12">
        <v>15</v>
      </c>
      <c r="O44" s="12">
        <v>10</v>
      </c>
      <c r="P44" s="12">
        <v>0</v>
      </c>
      <c r="Q44" s="12">
        <v>5</v>
      </c>
      <c r="R44" s="12">
        <v>9</v>
      </c>
      <c r="S44" s="12">
        <v>22</v>
      </c>
      <c r="T44" s="12">
        <v>7</v>
      </c>
      <c r="U44" s="12">
        <v>0</v>
      </c>
      <c r="V44" s="12">
        <v>3</v>
      </c>
      <c r="W44" s="12">
        <v>0</v>
      </c>
      <c r="X44" s="12">
        <v>3</v>
      </c>
      <c r="Y44" s="12">
        <v>3</v>
      </c>
      <c r="Z44" s="12">
        <v>5</v>
      </c>
      <c r="AA44" s="12">
        <v>8</v>
      </c>
      <c r="AB44" s="12">
        <v>1</v>
      </c>
      <c r="AC44" s="12">
        <v>2</v>
      </c>
      <c r="AD44" s="12">
        <v>1</v>
      </c>
      <c r="AE44" s="12">
        <v>8</v>
      </c>
      <c r="AF44" s="12">
        <v>0</v>
      </c>
    </row>
    <row r="45" spans="1:32">
      <c r="A45" s="19"/>
      <c r="B45" s="13" t="s">
        <v>399</v>
      </c>
      <c r="C45" s="14">
        <v>0.01</v>
      </c>
      <c r="D45" s="15" t="s">
        <v>375</v>
      </c>
      <c r="E45" s="15" t="s">
        <v>375</v>
      </c>
      <c r="F45" s="15" t="s">
        <v>375</v>
      </c>
      <c r="G45" s="14">
        <v>0.01</v>
      </c>
      <c r="H45" s="15" t="s">
        <v>375</v>
      </c>
      <c r="I45" s="15" t="s">
        <v>375</v>
      </c>
      <c r="J45" s="15" t="s">
        <v>375</v>
      </c>
      <c r="K45" s="14">
        <v>0.01</v>
      </c>
      <c r="L45" s="15" t="s">
        <v>375</v>
      </c>
      <c r="M45" s="15" t="s">
        <v>375</v>
      </c>
      <c r="N45" s="14">
        <v>0.02</v>
      </c>
      <c r="O45" s="14">
        <v>0.01</v>
      </c>
      <c r="P45" s="15" t="s">
        <v>375</v>
      </c>
      <c r="Q45" s="14">
        <v>0.01</v>
      </c>
      <c r="R45" s="14">
        <v>0.02</v>
      </c>
      <c r="S45" s="14">
        <v>0.02</v>
      </c>
      <c r="T45" s="14">
        <v>0.01</v>
      </c>
      <c r="U45" s="15" t="s">
        <v>375</v>
      </c>
      <c r="V45" s="15" t="s">
        <v>375</v>
      </c>
      <c r="W45" s="15" t="s">
        <v>375</v>
      </c>
      <c r="X45" s="15" t="s">
        <v>375</v>
      </c>
      <c r="Y45" s="15" t="s">
        <v>375</v>
      </c>
      <c r="Z45" s="15" t="s">
        <v>375</v>
      </c>
      <c r="AA45" s="14">
        <v>0.01</v>
      </c>
      <c r="AB45" s="15" t="s">
        <v>375</v>
      </c>
      <c r="AC45" s="15" t="s">
        <v>375</v>
      </c>
      <c r="AD45" s="15" t="s">
        <v>375</v>
      </c>
      <c r="AE45" s="14">
        <v>0.01</v>
      </c>
      <c r="AF45" s="15" t="s">
        <v>375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43</v>
      </c>
      <c r="C3" s="17"/>
      <c r="D3" s="17"/>
      <c r="E3" s="17"/>
      <c r="F3" s="17"/>
      <c r="H3" s="17" t="s">
        <v>44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HYPERLINK("#Content!A23","&lt;&lt;Back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508</v>
      </c>
      <c r="C12" s="12">
        <v>7586</v>
      </c>
      <c r="D12" s="12">
        <v>260</v>
      </c>
      <c r="E12" s="12">
        <v>348</v>
      </c>
      <c r="F12" s="12">
        <v>425</v>
      </c>
      <c r="G12" s="12">
        <v>320</v>
      </c>
      <c r="H12" s="12">
        <v>338</v>
      </c>
      <c r="I12" s="12">
        <v>444</v>
      </c>
      <c r="J12" s="12">
        <v>105</v>
      </c>
      <c r="K12" s="12">
        <v>300</v>
      </c>
      <c r="L12" s="12">
        <v>277</v>
      </c>
      <c r="M12" s="12">
        <v>321</v>
      </c>
      <c r="N12" s="12">
        <v>226</v>
      </c>
      <c r="O12" s="12">
        <v>248</v>
      </c>
      <c r="P12" s="12">
        <v>351</v>
      </c>
      <c r="Q12" s="12">
        <v>321</v>
      </c>
      <c r="R12" s="12">
        <v>125</v>
      </c>
      <c r="S12" s="12">
        <v>258</v>
      </c>
      <c r="T12" s="12">
        <v>236</v>
      </c>
      <c r="U12" s="12">
        <v>137</v>
      </c>
      <c r="V12" s="12">
        <v>326</v>
      </c>
      <c r="W12" s="12">
        <v>90</v>
      </c>
      <c r="X12" s="12">
        <v>321</v>
      </c>
      <c r="Y12" s="12">
        <v>288</v>
      </c>
      <c r="Z12" s="12">
        <v>309</v>
      </c>
      <c r="AA12" s="12">
        <v>321</v>
      </c>
      <c r="AB12" s="12">
        <v>273</v>
      </c>
      <c r="AC12" s="12">
        <v>360</v>
      </c>
      <c r="AD12" s="12">
        <v>402</v>
      </c>
      <c r="AE12" s="12">
        <v>301</v>
      </c>
      <c r="AF12" s="12">
        <v>325</v>
      </c>
    </row>
    <row r="13" spans="1:32">
      <c r="A13" s="19"/>
      <c r="B13" s="13" t="s">
        <v>509</v>
      </c>
      <c r="C13" s="14">
        <v>0.28999999999999998</v>
      </c>
      <c r="D13" s="14">
        <v>0.26</v>
      </c>
      <c r="E13" s="14">
        <v>0.33</v>
      </c>
      <c r="F13" s="14">
        <v>0.4</v>
      </c>
      <c r="G13" s="14">
        <v>0.31</v>
      </c>
      <c r="H13" s="14">
        <v>0.28000000000000003</v>
      </c>
      <c r="I13" s="14">
        <v>0.28999999999999998</v>
      </c>
      <c r="J13" s="14">
        <v>0.35</v>
      </c>
      <c r="K13" s="14">
        <v>0.3</v>
      </c>
      <c r="L13" s="14">
        <v>0.27</v>
      </c>
      <c r="M13" s="14">
        <v>0.32</v>
      </c>
      <c r="N13" s="14">
        <v>0.22</v>
      </c>
      <c r="O13" s="14">
        <v>0.25</v>
      </c>
      <c r="P13" s="14">
        <v>0.35</v>
      </c>
      <c r="Q13" s="14">
        <v>0.31</v>
      </c>
      <c r="R13" s="14">
        <v>0.25</v>
      </c>
      <c r="S13" s="14">
        <v>0.26</v>
      </c>
      <c r="T13" s="14">
        <v>0.23</v>
      </c>
      <c r="U13" s="14">
        <v>0.27</v>
      </c>
      <c r="V13" s="14">
        <v>0.32</v>
      </c>
      <c r="W13" s="14">
        <v>0.18</v>
      </c>
      <c r="X13" s="14">
        <v>0.32</v>
      </c>
      <c r="Y13" s="14">
        <v>0.28999999999999998</v>
      </c>
      <c r="Z13" s="14">
        <v>0.3</v>
      </c>
      <c r="AA13" s="14">
        <v>0.31</v>
      </c>
      <c r="AB13" s="14">
        <v>0.26</v>
      </c>
      <c r="AC13" s="14">
        <v>0.36</v>
      </c>
      <c r="AD13" s="14">
        <v>0.4</v>
      </c>
      <c r="AE13" s="14">
        <v>0.3</v>
      </c>
      <c r="AF13" s="14">
        <v>0.31</v>
      </c>
    </row>
    <row r="14" spans="1:32">
      <c r="A14" s="19"/>
      <c r="B14" s="11" t="s">
        <v>510</v>
      </c>
      <c r="C14" s="12">
        <v>10602</v>
      </c>
      <c r="D14" s="12">
        <v>444</v>
      </c>
      <c r="E14" s="12">
        <v>245</v>
      </c>
      <c r="F14" s="12">
        <v>437</v>
      </c>
      <c r="G14" s="12">
        <v>494</v>
      </c>
      <c r="H14" s="12">
        <v>545</v>
      </c>
      <c r="I14" s="12">
        <v>661</v>
      </c>
      <c r="J14" s="12">
        <v>117</v>
      </c>
      <c r="K14" s="12">
        <v>350</v>
      </c>
      <c r="L14" s="12">
        <v>319</v>
      </c>
      <c r="M14" s="12">
        <v>319</v>
      </c>
      <c r="N14" s="12">
        <v>276</v>
      </c>
      <c r="O14" s="12">
        <v>447</v>
      </c>
      <c r="P14" s="12">
        <v>282</v>
      </c>
      <c r="Q14" s="12">
        <v>440</v>
      </c>
      <c r="R14" s="12">
        <v>253</v>
      </c>
      <c r="S14" s="12">
        <v>458</v>
      </c>
      <c r="T14" s="12">
        <v>563</v>
      </c>
      <c r="U14" s="12">
        <v>229</v>
      </c>
      <c r="V14" s="12">
        <v>319</v>
      </c>
      <c r="W14" s="12">
        <v>163</v>
      </c>
      <c r="X14" s="12">
        <v>490</v>
      </c>
      <c r="Y14" s="12">
        <v>346</v>
      </c>
      <c r="Z14" s="12">
        <v>490</v>
      </c>
      <c r="AA14" s="12">
        <v>343</v>
      </c>
      <c r="AB14" s="12">
        <v>351</v>
      </c>
      <c r="AC14" s="12">
        <v>281</v>
      </c>
      <c r="AD14" s="12">
        <v>308</v>
      </c>
      <c r="AE14" s="12">
        <v>467</v>
      </c>
      <c r="AF14" s="12">
        <v>365</v>
      </c>
    </row>
    <row r="15" spans="1:32">
      <c r="A15" s="19"/>
      <c r="B15" s="13" t="s">
        <v>511</v>
      </c>
      <c r="C15" s="14">
        <v>0.4</v>
      </c>
      <c r="D15" s="14">
        <v>0.44</v>
      </c>
      <c r="E15" s="14">
        <v>0.23</v>
      </c>
      <c r="F15" s="14">
        <v>0.41</v>
      </c>
      <c r="G15" s="14">
        <v>0.49</v>
      </c>
      <c r="H15" s="14">
        <v>0.44</v>
      </c>
      <c r="I15" s="14">
        <v>0.43</v>
      </c>
      <c r="J15" s="14">
        <v>0.39</v>
      </c>
      <c r="K15" s="14">
        <v>0.35</v>
      </c>
      <c r="L15" s="14">
        <v>0.32</v>
      </c>
      <c r="M15" s="14">
        <v>0.32</v>
      </c>
      <c r="N15" s="14">
        <v>0.27</v>
      </c>
      <c r="O15" s="14">
        <v>0.45</v>
      </c>
      <c r="P15" s="14">
        <v>0.28000000000000003</v>
      </c>
      <c r="Q15" s="14">
        <v>0.43</v>
      </c>
      <c r="R15" s="14">
        <v>0.5</v>
      </c>
      <c r="S15" s="14">
        <v>0.46</v>
      </c>
      <c r="T15" s="14">
        <v>0.55000000000000004</v>
      </c>
      <c r="U15" s="14">
        <v>0.45</v>
      </c>
      <c r="V15" s="14">
        <v>0.31</v>
      </c>
      <c r="W15" s="14">
        <v>0.32</v>
      </c>
      <c r="X15" s="14">
        <v>0.48</v>
      </c>
      <c r="Y15" s="14">
        <v>0.35</v>
      </c>
      <c r="Z15" s="14">
        <v>0.48</v>
      </c>
      <c r="AA15" s="14">
        <v>0.33</v>
      </c>
      <c r="AB15" s="14">
        <v>0.34</v>
      </c>
      <c r="AC15" s="14">
        <v>0.28000000000000003</v>
      </c>
      <c r="AD15" s="14">
        <v>0.31</v>
      </c>
      <c r="AE15" s="14">
        <v>0.47</v>
      </c>
      <c r="AF15" s="14">
        <v>0.35</v>
      </c>
    </row>
    <row r="16" spans="1:32">
      <c r="A16" s="19"/>
      <c r="B16" s="11" t="s">
        <v>512</v>
      </c>
      <c r="C16" s="12">
        <v>4479</v>
      </c>
      <c r="D16" s="12">
        <v>153</v>
      </c>
      <c r="E16" s="12">
        <v>248</v>
      </c>
      <c r="F16" s="12">
        <v>212</v>
      </c>
      <c r="G16" s="12">
        <v>185</v>
      </c>
      <c r="H16" s="12">
        <v>225</v>
      </c>
      <c r="I16" s="12">
        <v>266</v>
      </c>
      <c r="J16" s="12">
        <v>41</v>
      </c>
      <c r="K16" s="12">
        <v>218</v>
      </c>
      <c r="L16" s="12">
        <v>128</v>
      </c>
      <c r="M16" s="12">
        <v>191</v>
      </c>
      <c r="N16" s="12">
        <v>119</v>
      </c>
      <c r="O16" s="12">
        <v>182</v>
      </c>
      <c r="P16" s="12">
        <v>168</v>
      </c>
      <c r="Q16" s="12">
        <v>184</v>
      </c>
      <c r="R16" s="12">
        <v>93</v>
      </c>
      <c r="S16" s="12">
        <v>246</v>
      </c>
      <c r="T16" s="12">
        <v>294</v>
      </c>
      <c r="U16" s="12">
        <v>140</v>
      </c>
      <c r="V16" s="12">
        <v>189</v>
      </c>
      <c r="W16" s="12">
        <v>64</v>
      </c>
      <c r="X16" s="12">
        <v>136</v>
      </c>
      <c r="Y16" s="12">
        <v>172</v>
      </c>
      <c r="Z16" s="12">
        <v>181</v>
      </c>
      <c r="AA16" s="12">
        <v>63</v>
      </c>
      <c r="AB16" s="12">
        <v>196</v>
      </c>
      <c r="AC16" s="12">
        <v>194</v>
      </c>
      <c r="AD16" s="12">
        <v>208</v>
      </c>
      <c r="AE16" s="12">
        <v>219</v>
      </c>
      <c r="AF16" s="12">
        <v>181</v>
      </c>
    </row>
    <row r="17" spans="1:32">
      <c r="A17" s="19"/>
      <c r="B17" s="13" t="s">
        <v>513</v>
      </c>
      <c r="C17" s="14">
        <v>0.17</v>
      </c>
      <c r="D17" s="14">
        <v>0.15</v>
      </c>
      <c r="E17" s="14">
        <v>0.24</v>
      </c>
      <c r="F17" s="14">
        <v>0.2</v>
      </c>
      <c r="G17" s="14">
        <v>0.18</v>
      </c>
      <c r="H17" s="14">
        <v>0.18</v>
      </c>
      <c r="I17" s="14">
        <v>0.17</v>
      </c>
      <c r="J17" s="14">
        <v>0.14000000000000001</v>
      </c>
      <c r="K17" s="14">
        <v>0.22</v>
      </c>
      <c r="L17" s="14">
        <v>0.13</v>
      </c>
      <c r="M17" s="14">
        <v>0.19</v>
      </c>
      <c r="N17" s="14">
        <v>0.12</v>
      </c>
      <c r="O17" s="14">
        <v>0.18</v>
      </c>
      <c r="P17" s="14">
        <v>0.17</v>
      </c>
      <c r="Q17" s="14">
        <v>0.18</v>
      </c>
      <c r="R17" s="14">
        <v>0.19</v>
      </c>
      <c r="S17" s="14">
        <v>0.24</v>
      </c>
      <c r="T17" s="14">
        <v>0.28999999999999998</v>
      </c>
      <c r="U17" s="14">
        <v>0.28000000000000003</v>
      </c>
      <c r="V17" s="14">
        <v>0.18</v>
      </c>
      <c r="W17" s="14">
        <v>0.13</v>
      </c>
      <c r="X17" s="14">
        <v>0.13</v>
      </c>
      <c r="Y17" s="14">
        <v>0.17</v>
      </c>
      <c r="Z17" s="14">
        <v>0.18</v>
      </c>
      <c r="AA17" s="14">
        <v>0.06</v>
      </c>
      <c r="AB17" s="14">
        <v>0.19</v>
      </c>
      <c r="AC17" s="14">
        <v>0.19</v>
      </c>
      <c r="AD17" s="14">
        <v>0.21</v>
      </c>
      <c r="AE17" s="14">
        <v>0.22</v>
      </c>
      <c r="AF17" s="14">
        <v>0.18</v>
      </c>
    </row>
    <row r="18" spans="1:32">
      <c r="A18" s="19"/>
      <c r="B18" s="11" t="s">
        <v>514</v>
      </c>
      <c r="C18" s="12">
        <v>1879</v>
      </c>
      <c r="D18" s="12">
        <v>68</v>
      </c>
      <c r="E18" s="12">
        <v>93</v>
      </c>
      <c r="F18" s="12">
        <v>87</v>
      </c>
      <c r="G18" s="12">
        <v>79</v>
      </c>
      <c r="H18" s="12">
        <v>90</v>
      </c>
      <c r="I18" s="12">
        <v>104</v>
      </c>
      <c r="J18" s="12">
        <v>13</v>
      </c>
      <c r="K18" s="12">
        <v>100</v>
      </c>
      <c r="L18" s="12">
        <v>54</v>
      </c>
      <c r="M18" s="12">
        <v>71</v>
      </c>
      <c r="N18" s="12">
        <v>54</v>
      </c>
      <c r="O18" s="12">
        <v>48</v>
      </c>
      <c r="P18" s="12">
        <v>100</v>
      </c>
      <c r="Q18" s="12">
        <v>84</v>
      </c>
      <c r="R18" s="12">
        <v>26</v>
      </c>
      <c r="S18" s="12">
        <v>111</v>
      </c>
      <c r="T18" s="12">
        <v>214</v>
      </c>
      <c r="U18" s="12">
        <v>56</v>
      </c>
      <c r="V18" s="12">
        <v>110</v>
      </c>
      <c r="W18" s="12">
        <v>40</v>
      </c>
      <c r="X18" s="12">
        <v>34</v>
      </c>
      <c r="Y18" s="12">
        <v>74</v>
      </c>
      <c r="Z18" s="12">
        <v>104</v>
      </c>
      <c r="AA18" s="12">
        <v>59</v>
      </c>
      <c r="AB18" s="12">
        <v>128</v>
      </c>
      <c r="AC18" s="12">
        <v>90</v>
      </c>
      <c r="AD18" s="12">
        <v>76</v>
      </c>
      <c r="AE18" s="12">
        <v>42</v>
      </c>
      <c r="AF18" s="12">
        <v>39</v>
      </c>
    </row>
    <row r="19" spans="1:32">
      <c r="A19" s="19"/>
      <c r="B19" s="13" t="s">
        <v>515</v>
      </c>
      <c r="C19" s="14">
        <v>7.0000000000000007E-2</v>
      </c>
      <c r="D19" s="14">
        <v>7.0000000000000007E-2</v>
      </c>
      <c r="E19" s="14">
        <v>0.09</v>
      </c>
      <c r="F19" s="14">
        <v>0.08</v>
      </c>
      <c r="G19" s="14">
        <v>0.08</v>
      </c>
      <c r="H19" s="14">
        <v>7.0000000000000007E-2</v>
      </c>
      <c r="I19" s="14">
        <v>7.0000000000000007E-2</v>
      </c>
      <c r="J19" s="14">
        <v>0.04</v>
      </c>
      <c r="K19" s="14">
        <v>0.1</v>
      </c>
      <c r="L19" s="14">
        <v>0.05</v>
      </c>
      <c r="M19" s="14">
        <v>7.0000000000000007E-2</v>
      </c>
      <c r="N19" s="14">
        <v>0.05</v>
      </c>
      <c r="O19" s="14">
        <v>0.05</v>
      </c>
      <c r="P19" s="14">
        <v>0.1</v>
      </c>
      <c r="Q19" s="14">
        <v>0.08</v>
      </c>
      <c r="R19" s="14">
        <v>0.05</v>
      </c>
      <c r="S19" s="14">
        <v>0.11</v>
      </c>
      <c r="T19" s="14">
        <v>0.21</v>
      </c>
      <c r="U19" s="14">
        <v>0.11</v>
      </c>
      <c r="V19" s="14">
        <v>0.11</v>
      </c>
      <c r="W19" s="14">
        <v>0.08</v>
      </c>
      <c r="X19" s="14">
        <v>0.03</v>
      </c>
      <c r="Y19" s="14">
        <v>7.0000000000000007E-2</v>
      </c>
      <c r="Z19" s="14">
        <v>0.1</v>
      </c>
      <c r="AA19" s="14">
        <v>0.06</v>
      </c>
      <c r="AB19" s="14">
        <v>0.12</v>
      </c>
      <c r="AC19" s="14">
        <v>0.09</v>
      </c>
      <c r="AD19" s="14">
        <v>0.08</v>
      </c>
      <c r="AE19" s="14">
        <v>0.04</v>
      </c>
      <c r="AF19" s="14">
        <v>0.04</v>
      </c>
    </row>
    <row r="20" spans="1:32">
      <c r="A20" s="19"/>
      <c r="B20" s="11" t="s">
        <v>516</v>
      </c>
      <c r="C20" s="12">
        <v>3278</v>
      </c>
      <c r="D20" s="12">
        <v>159</v>
      </c>
      <c r="E20" s="12">
        <v>140</v>
      </c>
      <c r="F20" s="12">
        <v>136</v>
      </c>
      <c r="G20" s="12">
        <v>174</v>
      </c>
      <c r="H20" s="12">
        <v>172</v>
      </c>
      <c r="I20" s="12">
        <v>202</v>
      </c>
      <c r="J20" s="12">
        <v>30</v>
      </c>
      <c r="K20" s="12">
        <v>166</v>
      </c>
      <c r="L20" s="12">
        <v>116</v>
      </c>
      <c r="M20" s="12">
        <v>96</v>
      </c>
      <c r="N20" s="12">
        <v>134</v>
      </c>
      <c r="O20" s="12">
        <v>97</v>
      </c>
      <c r="P20" s="12">
        <v>130</v>
      </c>
      <c r="Q20" s="12">
        <v>137</v>
      </c>
      <c r="R20" s="12">
        <v>66</v>
      </c>
      <c r="S20" s="12">
        <v>98</v>
      </c>
      <c r="T20" s="12">
        <v>123</v>
      </c>
      <c r="U20" s="12">
        <v>67</v>
      </c>
      <c r="V20" s="12">
        <v>119</v>
      </c>
      <c r="W20" s="12">
        <v>100</v>
      </c>
      <c r="X20" s="12">
        <v>219</v>
      </c>
      <c r="Y20" s="12">
        <v>134</v>
      </c>
      <c r="Z20" s="12">
        <v>83</v>
      </c>
      <c r="AA20" s="12">
        <v>69</v>
      </c>
      <c r="AB20" s="12">
        <v>112</v>
      </c>
      <c r="AC20" s="12">
        <v>129</v>
      </c>
      <c r="AD20" s="12">
        <v>98</v>
      </c>
      <c r="AE20" s="12">
        <v>157</v>
      </c>
      <c r="AF20" s="12">
        <v>173</v>
      </c>
    </row>
    <row r="21" spans="1:32">
      <c r="A21" s="19"/>
      <c r="B21" s="13" t="s">
        <v>517</v>
      </c>
      <c r="C21" s="14">
        <v>0.12</v>
      </c>
      <c r="D21" s="14">
        <v>0.16</v>
      </c>
      <c r="E21" s="14">
        <v>0.13</v>
      </c>
      <c r="F21" s="14">
        <v>0.13</v>
      </c>
      <c r="G21" s="14">
        <v>0.17</v>
      </c>
      <c r="H21" s="14">
        <v>0.14000000000000001</v>
      </c>
      <c r="I21" s="14">
        <v>0.13</v>
      </c>
      <c r="J21" s="14">
        <v>0.1</v>
      </c>
      <c r="K21" s="14">
        <v>0.16</v>
      </c>
      <c r="L21" s="14">
        <v>0.12</v>
      </c>
      <c r="M21" s="14">
        <v>0.09</v>
      </c>
      <c r="N21" s="14">
        <v>0.13</v>
      </c>
      <c r="O21" s="14">
        <v>0.1</v>
      </c>
      <c r="P21" s="14">
        <v>0.13</v>
      </c>
      <c r="Q21" s="14">
        <v>0.13</v>
      </c>
      <c r="R21" s="14">
        <v>0.13</v>
      </c>
      <c r="S21" s="14">
        <v>0.1</v>
      </c>
      <c r="T21" s="14">
        <v>0.12</v>
      </c>
      <c r="U21" s="14">
        <v>0.13</v>
      </c>
      <c r="V21" s="14">
        <v>0.12</v>
      </c>
      <c r="W21" s="14">
        <v>0.2</v>
      </c>
      <c r="X21" s="14">
        <v>0.22</v>
      </c>
      <c r="Y21" s="14">
        <v>0.13</v>
      </c>
      <c r="Z21" s="14">
        <v>0.08</v>
      </c>
      <c r="AA21" s="14">
        <v>7.0000000000000007E-2</v>
      </c>
      <c r="AB21" s="14">
        <v>0.11</v>
      </c>
      <c r="AC21" s="14">
        <v>0.13</v>
      </c>
      <c r="AD21" s="14">
        <v>0.1</v>
      </c>
      <c r="AE21" s="14">
        <v>0.16</v>
      </c>
      <c r="AF21" s="14">
        <v>0.17</v>
      </c>
    </row>
    <row r="22" spans="1:32">
      <c r="A22" s="19"/>
      <c r="B22" s="11" t="s">
        <v>518</v>
      </c>
      <c r="C22" s="12">
        <v>5465</v>
      </c>
      <c r="D22" s="12">
        <v>232</v>
      </c>
      <c r="E22" s="12">
        <v>231</v>
      </c>
      <c r="F22" s="12">
        <v>204</v>
      </c>
      <c r="G22" s="12">
        <v>303</v>
      </c>
      <c r="H22" s="12">
        <v>260</v>
      </c>
      <c r="I22" s="12">
        <v>330</v>
      </c>
      <c r="J22" s="12">
        <v>70</v>
      </c>
      <c r="K22" s="12">
        <v>180</v>
      </c>
      <c r="L22" s="12">
        <v>204</v>
      </c>
      <c r="M22" s="12">
        <v>184</v>
      </c>
      <c r="N22" s="12">
        <v>226</v>
      </c>
      <c r="O22" s="12">
        <v>207</v>
      </c>
      <c r="P22" s="12">
        <v>165</v>
      </c>
      <c r="Q22" s="12">
        <v>122</v>
      </c>
      <c r="R22" s="12">
        <v>84</v>
      </c>
      <c r="S22" s="12">
        <v>150</v>
      </c>
      <c r="T22" s="12">
        <v>144</v>
      </c>
      <c r="U22" s="12">
        <v>114</v>
      </c>
      <c r="V22" s="12">
        <v>222</v>
      </c>
      <c r="W22" s="12">
        <v>102</v>
      </c>
      <c r="X22" s="12">
        <v>276</v>
      </c>
      <c r="Y22" s="12">
        <v>304</v>
      </c>
      <c r="Z22" s="12">
        <v>180</v>
      </c>
      <c r="AA22" s="12">
        <v>235</v>
      </c>
      <c r="AB22" s="12">
        <v>212</v>
      </c>
      <c r="AC22" s="12">
        <v>171</v>
      </c>
      <c r="AD22" s="12">
        <v>221</v>
      </c>
      <c r="AE22" s="12">
        <v>260</v>
      </c>
      <c r="AF22" s="12">
        <v>441</v>
      </c>
    </row>
    <row r="23" spans="1:32">
      <c r="A23" s="19"/>
      <c r="B23" s="13" t="s">
        <v>519</v>
      </c>
      <c r="C23" s="14">
        <v>0.21</v>
      </c>
      <c r="D23" s="14">
        <v>0.23</v>
      </c>
      <c r="E23" s="14">
        <v>0.22</v>
      </c>
      <c r="F23" s="14">
        <v>0.19</v>
      </c>
      <c r="G23" s="14">
        <v>0.3</v>
      </c>
      <c r="H23" s="14">
        <v>0.21</v>
      </c>
      <c r="I23" s="14">
        <v>0.22</v>
      </c>
      <c r="J23" s="14">
        <v>0.24</v>
      </c>
      <c r="K23" s="14">
        <v>0.18</v>
      </c>
      <c r="L23" s="14">
        <v>0.2</v>
      </c>
      <c r="M23" s="14">
        <v>0.18</v>
      </c>
      <c r="N23" s="14">
        <v>0.22</v>
      </c>
      <c r="O23" s="14">
        <v>0.21</v>
      </c>
      <c r="P23" s="14">
        <v>0.16</v>
      </c>
      <c r="Q23" s="14">
        <v>0.12</v>
      </c>
      <c r="R23" s="14">
        <v>0.17</v>
      </c>
      <c r="S23" s="14">
        <v>0.15</v>
      </c>
      <c r="T23" s="14">
        <v>0.14000000000000001</v>
      </c>
      <c r="U23" s="14">
        <v>0.22</v>
      </c>
      <c r="V23" s="14">
        <v>0.22</v>
      </c>
      <c r="W23" s="14">
        <v>0.2</v>
      </c>
      <c r="X23" s="14">
        <v>0.27</v>
      </c>
      <c r="Y23" s="14">
        <v>0.3</v>
      </c>
      <c r="Z23" s="14">
        <v>0.18</v>
      </c>
      <c r="AA23" s="14">
        <v>0.23</v>
      </c>
      <c r="AB23" s="14">
        <v>0.2</v>
      </c>
      <c r="AC23" s="14">
        <v>0.17</v>
      </c>
      <c r="AD23" s="14">
        <v>0.22</v>
      </c>
      <c r="AE23" s="14">
        <v>0.26</v>
      </c>
      <c r="AF23" s="14">
        <v>0.43</v>
      </c>
    </row>
    <row r="24" spans="1:32">
      <c r="A24" s="19"/>
      <c r="B24" s="11" t="s">
        <v>520</v>
      </c>
      <c r="C24" s="12">
        <v>8560</v>
      </c>
      <c r="D24" s="12">
        <v>272</v>
      </c>
      <c r="E24" s="12">
        <v>398</v>
      </c>
      <c r="F24" s="12">
        <v>408</v>
      </c>
      <c r="G24" s="12">
        <v>292</v>
      </c>
      <c r="H24" s="12">
        <v>458</v>
      </c>
      <c r="I24" s="12">
        <v>581</v>
      </c>
      <c r="J24" s="12">
        <v>123</v>
      </c>
      <c r="K24" s="12">
        <v>350</v>
      </c>
      <c r="L24" s="12">
        <v>264</v>
      </c>
      <c r="M24" s="12">
        <v>459</v>
      </c>
      <c r="N24" s="12">
        <v>293</v>
      </c>
      <c r="O24" s="12">
        <v>279</v>
      </c>
      <c r="P24" s="12">
        <v>343</v>
      </c>
      <c r="Q24" s="12">
        <v>386</v>
      </c>
      <c r="R24" s="12">
        <v>81</v>
      </c>
      <c r="S24" s="12">
        <v>352</v>
      </c>
      <c r="T24" s="12">
        <v>262</v>
      </c>
      <c r="U24" s="12">
        <v>158</v>
      </c>
      <c r="V24" s="12">
        <v>341</v>
      </c>
      <c r="W24" s="12">
        <v>110</v>
      </c>
      <c r="X24" s="12">
        <v>211</v>
      </c>
      <c r="Y24" s="12">
        <v>295</v>
      </c>
      <c r="Z24" s="12">
        <v>246</v>
      </c>
      <c r="AA24" s="12">
        <v>474</v>
      </c>
      <c r="AB24" s="12">
        <v>307</v>
      </c>
      <c r="AC24" s="12">
        <v>354</v>
      </c>
      <c r="AD24" s="12">
        <v>367</v>
      </c>
      <c r="AE24" s="12">
        <v>403</v>
      </c>
      <c r="AF24" s="12">
        <v>277</v>
      </c>
    </row>
    <row r="25" spans="1:32">
      <c r="A25" s="19"/>
      <c r="B25" s="13" t="s">
        <v>521</v>
      </c>
      <c r="C25" s="14">
        <v>0.32</v>
      </c>
      <c r="D25" s="14">
        <v>0.27</v>
      </c>
      <c r="E25" s="14">
        <v>0.38</v>
      </c>
      <c r="F25" s="14">
        <v>0.38</v>
      </c>
      <c r="G25" s="14">
        <v>0.28999999999999998</v>
      </c>
      <c r="H25" s="14">
        <v>0.37</v>
      </c>
      <c r="I25" s="14">
        <v>0.38</v>
      </c>
      <c r="J25" s="14">
        <v>0.41</v>
      </c>
      <c r="K25" s="14">
        <v>0.35</v>
      </c>
      <c r="L25" s="14">
        <v>0.26</v>
      </c>
      <c r="M25" s="14">
        <v>0.46</v>
      </c>
      <c r="N25" s="14">
        <v>0.28999999999999998</v>
      </c>
      <c r="O25" s="14">
        <v>0.28000000000000003</v>
      </c>
      <c r="P25" s="14">
        <v>0.34</v>
      </c>
      <c r="Q25" s="14">
        <v>0.37</v>
      </c>
      <c r="R25" s="14">
        <v>0.16</v>
      </c>
      <c r="S25" s="14">
        <v>0.35</v>
      </c>
      <c r="T25" s="14">
        <v>0.26</v>
      </c>
      <c r="U25" s="14">
        <v>0.31</v>
      </c>
      <c r="V25" s="14">
        <v>0.33</v>
      </c>
      <c r="W25" s="14">
        <v>0.22</v>
      </c>
      <c r="X25" s="14">
        <v>0.21</v>
      </c>
      <c r="Y25" s="14">
        <v>0.28999999999999998</v>
      </c>
      <c r="Z25" s="14">
        <v>0.24</v>
      </c>
      <c r="AA25" s="14">
        <v>0.46</v>
      </c>
      <c r="AB25" s="14">
        <v>0.28999999999999998</v>
      </c>
      <c r="AC25" s="14">
        <v>0.35</v>
      </c>
      <c r="AD25" s="14">
        <v>0.37</v>
      </c>
      <c r="AE25" s="14">
        <v>0.4</v>
      </c>
      <c r="AF25" s="14">
        <v>0.27</v>
      </c>
    </row>
    <row r="26" spans="1:32">
      <c r="A26" s="19"/>
      <c r="B26" s="11" t="s">
        <v>522</v>
      </c>
      <c r="C26" s="12">
        <v>4154</v>
      </c>
      <c r="D26" s="12">
        <v>192</v>
      </c>
      <c r="E26" s="12">
        <v>156</v>
      </c>
      <c r="F26" s="12">
        <v>183</v>
      </c>
      <c r="G26" s="12">
        <v>209</v>
      </c>
      <c r="H26" s="12">
        <v>272</v>
      </c>
      <c r="I26" s="12">
        <v>316</v>
      </c>
      <c r="J26" s="12">
        <v>44</v>
      </c>
      <c r="K26" s="12">
        <v>147</v>
      </c>
      <c r="L26" s="12">
        <v>214</v>
      </c>
      <c r="M26" s="12">
        <v>118</v>
      </c>
      <c r="N26" s="12">
        <v>129</v>
      </c>
      <c r="O26" s="12">
        <v>117</v>
      </c>
      <c r="P26" s="12">
        <v>142</v>
      </c>
      <c r="Q26" s="12">
        <v>177</v>
      </c>
      <c r="R26" s="12">
        <v>51</v>
      </c>
      <c r="S26" s="12">
        <v>160</v>
      </c>
      <c r="T26" s="12">
        <v>115</v>
      </c>
      <c r="U26" s="12">
        <v>77</v>
      </c>
      <c r="V26" s="12">
        <v>165</v>
      </c>
      <c r="W26" s="12">
        <v>74</v>
      </c>
      <c r="X26" s="12">
        <v>182</v>
      </c>
      <c r="Y26" s="12">
        <v>181</v>
      </c>
      <c r="Z26" s="12">
        <v>146</v>
      </c>
      <c r="AA26" s="12">
        <v>120</v>
      </c>
      <c r="AB26" s="12">
        <v>132</v>
      </c>
      <c r="AC26" s="12">
        <v>179</v>
      </c>
      <c r="AD26" s="12">
        <v>162</v>
      </c>
      <c r="AE26" s="12">
        <v>122</v>
      </c>
      <c r="AF26" s="12">
        <v>132</v>
      </c>
    </row>
    <row r="27" spans="1:32">
      <c r="A27" s="19"/>
      <c r="B27" s="13" t="s">
        <v>523</v>
      </c>
      <c r="C27" s="14">
        <v>0.16</v>
      </c>
      <c r="D27" s="14">
        <v>0.19</v>
      </c>
      <c r="E27" s="14">
        <v>0.15</v>
      </c>
      <c r="F27" s="14">
        <v>0.17</v>
      </c>
      <c r="G27" s="14">
        <v>0.21</v>
      </c>
      <c r="H27" s="14">
        <v>0.22</v>
      </c>
      <c r="I27" s="14">
        <v>0.21</v>
      </c>
      <c r="J27" s="14">
        <v>0.15</v>
      </c>
      <c r="K27" s="14">
        <v>0.15</v>
      </c>
      <c r="L27" s="14">
        <v>0.21</v>
      </c>
      <c r="M27" s="14">
        <v>0.12</v>
      </c>
      <c r="N27" s="14">
        <v>0.13</v>
      </c>
      <c r="O27" s="14">
        <v>0.12</v>
      </c>
      <c r="P27" s="14">
        <v>0.14000000000000001</v>
      </c>
      <c r="Q27" s="14">
        <v>0.17</v>
      </c>
      <c r="R27" s="14">
        <v>0.1</v>
      </c>
      <c r="S27" s="14">
        <v>0.16</v>
      </c>
      <c r="T27" s="14">
        <v>0.11</v>
      </c>
      <c r="U27" s="14">
        <v>0.15</v>
      </c>
      <c r="V27" s="14">
        <v>0.16</v>
      </c>
      <c r="W27" s="14">
        <v>0.15</v>
      </c>
      <c r="X27" s="14">
        <v>0.18</v>
      </c>
      <c r="Y27" s="14">
        <v>0.18</v>
      </c>
      <c r="Z27" s="14">
        <v>0.14000000000000001</v>
      </c>
      <c r="AA27" s="14">
        <v>0.12</v>
      </c>
      <c r="AB27" s="14">
        <v>0.13</v>
      </c>
      <c r="AC27" s="14">
        <v>0.18</v>
      </c>
      <c r="AD27" s="14">
        <v>0.16</v>
      </c>
      <c r="AE27" s="14">
        <v>0.12</v>
      </c>
      <c r="AF27" s="14">
        <v>0.13</v>
      </c>
    </row>
    <row r="28" spans="1:32">
      <c r="A28" s="19"/>
      <c r="B28" s="11" t="s">
        <v>524</v>
      </c>
      <c r="C28" s="12">
        <v>2109</v>
      </c>
      <c r="D28" s="12">
        <v>161</v>
      </c>
      <c r="E28" s="12">
        <v>88</v>
      </c>
      <c r="F28" s="12">
        <v>43</v>
      </c>
      <c r="G28" s="12">
        <v>20</v>
      </c>
      <c r="H28" s="12">
        <v>100</v>
      </c>
      <c r="I28" s="12">
        <v>117</v>
      </c>
      <c r="J28" s="12">
        <v>17</v>
      </c>
      <c r="K28" s="12">
        <v>86</v>
      </c>
      <c r="L28" s="12">
        <v>120</v>
      </c>
      <c r="M28" s="12">
        <v>39</v>
      </c>
      <c r="N28" s="12">
        <v>74</v>
      </c>
      <c r="O28" s="12">
        <v>76</v>
      </c>
      <c r="P28" s="12">
        <v>71</v>
      </c>
      <c r="Q28" s="12">
        <v>139</v>
      </c>
      <c r="R28" s="12">
        <v>34</v>
      </c>
      <c r="S28" s="12">
        <v>33</v>
      </c>
      <c r="T28" s="12">
        <v>56</v>
      </c>
      <c r="U28" s="12">
        <v>26</v>
      </c>
      <c r="V28" s="12">
        <v>115</v>
      </c>
      <c r="W28" s="12">
        <v>45</v>
      </c>
      <c r="X28" s="12">
        <v>75</v>
      </c>
      <c r="Y28" s="12">
        <v>99</v>
      </c>
      <c r="Z28" s="12">
        <v>24</v>
      </c>
      <c r="AA28" s="12">
        <v>89</v>
      </c>
      <c r="AB28" s="12">
        <v>85</v>
      </c>
      <c r="AC28" s="12">
        <v>125</v>
      </c>
      <c r="AD28" s="12">
        <v>97</v>
      </c>
      <c r="AE28" s="12">
        <v>22</v>
      </c>
      <c r="AF28" s="12">
        <v>28</v>
      </c>
    </row>
    <row r="29" spans="1:32">
      <c r="A29" s="19"/>
      <c r="B29" s="13" t="s">
        <v>525</v>
      </c>
      <c r="C29" s="14">
        <v>0.08</v>
      </c>
      <c r="D29" s="14">
        <v>0.16</v>
      </c>
      <c r="E29" s="14">
        <v>0.08</v>
      </c>
      <c r="F29" s="14">
        <v>0.04</v>
      </c>
      <c r="G29" s="14">
        <v>0.02</v>
      </c>
      <c r="H29" s="14">
        <v>0.08</v>
      </c>
      <c r="I29" s="14">
        <v>0.08</v>
      </c>
      <c r="J29" s="14">
        <v>0.06</v>
      </c>
      <c r="K29" s="14">
        <v>0.09</v>
      </c>
      <c r="L29" s="14">
        <v>0.12</v>
      </c>
      <c r="M29" s="14">
        <v>0.04</v>
      </c>
      <c r="N29" s="14">
        <v>7.0000000000000007E-2</v>
      </c>
      <c r="O29" s="14">
        <v>0.08</v>
      </c>
      <c r="P29" s="14">
        <v>7.0000000000000007E-2</v>
      </c>
      <c r="Q29" s="14">
        <v>0.14000000000000001</v>
      </c>
      <c r="R29" s="14">
        <v>7.0000000000000007E-2</v>
      </c>
      <c r="S29" s="14">
        <v>0.03</v>
      </c>
      <c r="T29" s="14">
        <v>0.05</v>
      </c>
      <c r="U29" s="14">
        <v>0.05</v>
      </c>
      <c r="V29" s="14">
        <v>0.11</v>
      </c>
      <c r="W29" s="14">
        <v>0.09</v>
      </c>
      <c r="X29" s="14">
        <v>7.0000000000000007E-2</v>
      </c>
      <c r="Y29" s="14">
        <v>0.1</v>
      </c>
      <c r="Z29" s="14">
        <v>0.02</v>
      </c>
      <c r="AA29" s="14">
        <v>0.09</v>
      </c>
      <c r="AB29" s="14">
        <v>0.08</v>
      </c>
      <c r="AC29" s="14">
        <v>0.12</v>
      </c>
      <c r="AD29" s="14">
        <v>0.1</v>
      </c>
      <c r="AE29" s="14">
        <v>0.02</v>
      </c>
      <c r="AF29" s="14">
        <v>0.03</v>
      </c>
    </row>
    <row r="30" spans="1:32">
      <c r="A30" s="19"/>
      <c r="B30" s="11" t="s">
        <v>526</v>
      </c>
      <c r="C30" s="12">
        <v>5033</v>
      </c>
      <c r="D30" s="12">
        <v>182</v>
      </c>
      <c r="E30" s="12">
        <v>131</v>
      </c>
      <c r="F30" s="12">
        <v>76</v>
      </c>
      <c r="G30" s="12">
        <v>295</v>
      </c>
      <c r="H30" s="12">
        <v>229</v>
      </c>
      <c r="I30" s="12">
        <v>277</v>
      </c>
      <c r="J30" s="12">
        <v>48</v>
      </c>
      <c r="K30" s="12">
        <v>66</v>
      </c>
      <c r="L30" s="12">
        <v>258</v>
      </c>
      <c r="M30" s="12">
        <v>188</v>
      </c>
      <c r="N30" s="12">
        <v>162</v>
      </c>
      <c r="O30" s="12">
        <v>223</v>
      </c>
      <c r="P30" s="12">
        <v>175</v>
      </c>
      <c r="Q30" s="12">
        <v>208</v>
      </c>
      <c r="R30" s="12">
        <v>57</v>
      </c>
      <c r="S30" s="12">
        <v>23</v>
      </c>
      <c r="T30" s="12">
        <v>65</v>
      </c>
      <c r="U30" s="12">
        <v>74</v>
      </c>
      <c r="V30" s="12">
        <v>220</v>
      </c>
      <c r="W30" s="12">
        <v>118</v>
      </c>
      <c r="X30" s="12">
        <v>297</v>
      </c>
      <c r="Y30" s="12">
        <v>210</v>
      </c>
      <c r="Z30" s="12">
        <v>146</v>
      </c>
      <c r="AA30" s="12">
        <v>230</v>
      </c>
      <c r="AB30" s="12">
        <v>127</v>
      </c>
      <c r="AC30" s="12">
        <v>105</v>
      </c>
      <c r="AD30" s="12">
        <v>104</v>
      </c>
      <c r="AE30" s="12">
        <v>227</v>
      </c>
      <c r="AF30" s="12">
        <v>417</v>
      </c>
    </row>
    <row r="31" spans="1:32">
      <c r="A31" s="19"/>
      <c r="B31" s="13" t="s">
        <v>527</v>
      </c>
      <c r="C31" s="14">
        <v>0.19</v>
      </c>
      <c r="D31" s="14">
        <v>0.18</v>
      </c>
      <c r="E31" s="14">
        <v>0.13</v>
      </c>
      <c r="F31" s="14">
        <v>7.0000000000000007E-2</v>
      </c>
      <c r="G31" s="14">
        <v>0.28999999999999998</v>
      </c>
      <c r="H31" s="14">
        <v>0.19</v>
      </c>
      <c r="I31" s="14">
        <v>0.18</v>
      </c>
      <c r="J31" s="14">
        <v>0.16</v>
      </c>
      <c r="K31" s="14">
        <v>7.0000000000000007E-2</v>
      </c>
      <c r="L31" s="14">
        <v>0.26</v>
      </c>
      <c r="M31" s="14">
        <v>0.19</v>
      </c>
      <c r="N31" s="14">
        <v>0.16</v>
      </c>
      <c r="O31" s="14">
        <v>0.22</v>
      </c>
      <c r="P31" s="14">
        <v>0.17</v>
      </c>
      <c r="Q31" s="14">
        <v>0.2</v>
      </c>
      <c r="R31" s="14">
        <v>0.11</v>
      </c>
      <c r="S31" s="14">
        <v>0.02</v>
      </c>
      <c r="T31" s="14">
        <v>0.06</v>
      </c>
      <c r="U31" s="14">
        <v>0.14000000000000001</v>
      </c>
      <c r="V31" s="14">
        <v>0.21</v>
      </c>
      <c r="W31" s="14">
        <v>0.24</v>
      </c>
      <c r="X31" s="14">
        <v>0.28999999999999998</v>
      </c>
      <c r="Y31" s="14">
        <v>0.21</v>
      </c>
      <c r="Z31" s="14">
        <v>0.14000000000000001</v>
      </c>
      <c r="AA31" s="14">
        <v>0.22</v>
      </c>
      <c r="AB31" s="14">
        <v>0.12</v>
      </c>
      <c r="AC31" s="14">
        <v>0.1</v>
      </c>
      <c r="AD31" s="14">
        <v>0.1</v>
      </c>
      <c r="AE31" s="14">
        <v>0.23</v>
      </c>
      <c r="AF31" s="14">
        <v>0.4</v>
      </c>
    </row>
    <row r="32" spans="1:32">
      <c r="A32" s="19"/>
      <c r="B32" s="11" t="s">
        <v>528</v>
      </c>
      <c r="C32" s="12">
        <v>5631</v>
      </c>
      <c r="D32" s="12">
        <v>196</v>
      </c>
      <c r="E32" s="12">
        <v>243</v>
      </c>
      <c r="F32" s="12">
        <v>241</v>
      </c>
      <c r="G32" s="12">
        <v>145</v>
      </c>
      <c r="H32" s="12">
        <v>176</v>
      </c>
      <c r="I32" s="12">
        <v>235</v>
      </c>
      <c r="J32" s="12">
        <v>59</v>
      </c>
      <c r="K32" s="12">
        <v>206</v>
      </c>
      <c r="L32" s="12">
        <v>253</v>
      </c>
      <c r="M32" s="12">
        <v>219</v>
      </c>
      <c r="N32" s="12">
        <v>162</v>
      </c>
      <c r="O32" s="12">
        <v>226</v>
      </c>
      <c r="P32" s="12">
        <v>316</v>
      </c>
      <c r="Q32" s="12">
        <v>200</v>
      </c>
      <c r="R32" s="12">
        <v>41</v>
      </c>
      <c r="S32" s="12">
        <v>134</v>
      </c>
      <c r="T32" s="12">
        <v>157</v>
      </c>
      <c r="U32" s="12">
        <v>105</v>
      </c>
      <c r="V32" s="12">
        <v>275</v>
      </c>
      <c r="W32" s="12">
        <v>113</v>
      </c>
      <c r="X32" s="12">
        <v>216</v>
      </c>
      <c r="Y32" s="12">
        <v>232</v>
      </c>
      <c r="Z32" s="12">
        <v>321</v>
      </c>
      <c r="AA32" s="12">
        <v>265</v>
      </c>
      <c r="AB32" s="12">
        <v>324</v>
      </c>
      <c r="AC32" s="12">
        <v>362</v>
      </c>
      <c r="AD32" s="12">
        <v>368</v>
      </c>
      <c r="AE32" s="12">
        <v>220</v>
      </c>
      <c r="AF32" s="12">
        <v>225</v>
      </c>
    </row>
    <row r="33" spans="1:32">
      <c r="A33" s="19"/>
      <c r="B33" s="13" t="s">
        <v>529</v>
      </c>
      <c r="C33" s="14">
        <v>0.21</v>
      </c>
      <c r="D33" s="14">
        <v>0.19</v>
      </c>
      <c r="E33" s="14">
        <v>0.23</v>
      </c>
      <c r="F33" s="14">
        <v>0.23</v>
      </c>
      <c r="G33" s="14">
        <v>0.14000000000000001</v>
      </c>
      <c r="H33" s="14">
        <v>0.14000000000000001</v>
      </c>
      <c r="I33" s="14">
        <v>0.15</v>
      </c>
      <c r="J33" s="14">
        <v>0.2</v>
      </c>
      <c r="K33" s="14">
        <v>0.2</v>
      </c>
      <c r="L33" s="14">
        <v>0.25</v>
      </c>
      <c r="M33" s="14">
        <v>0.22</v>
      </c>
      <c r="N33" s="14">
        <v>0.16</v>
      </c>
      <c r="O33" s="14">
        <v>0.23</v>
      </c>
      <c r="P33" s="14">
        <v>0.32</v>
      </c>
      <c r="Q33" s="14">
        <v>0.19</v>
      </c>
      <c r="R33" s="14">
        <v>0.08</v>
      </c>
      <c r="S33" s="14">
        <v>0.13</v>
      </c>
      <c r="T33" s="14">
        <v>0.15</v>
      </c>
      <c r="U33" s="14">
        <v>0.21</v>
      </c>
      <c r="V33" s="14">
        <v>0.27</v>
      </c>
      <c r="W33" s="14">
        <v>0.23</v>
      </c>
      <c r="X33" s="14">
        <v>0.21</v>
      </c>
      <c r="Y33" s="14">
        <v>0.23</v>
      </c>
      <c r="Z33" s="14">
        <v>0.32</v>
      </c>
      <c r="AA33" s="14">
        <v>0.26</v>
      </c>
      <c r="AB33" s="14">
        <v>0.31</v>
      </c>
      <c r="AC33" s="14">
        <v>0.36</v>
      </c>
      <c r="AD33" s="14">
        <v>0.37</v>
      </c>
      <c r="AE33" s="14">
        <v>0.22</v>
      </c>
      <c r="AF33" s="14">
        <v>0.22</v>
      </c>
    </row>
    <row r="34" spans="1:32">
      <c r="A34" s="19"/>
      <c r="B34" s="11" t="s">
        <v>530</v>
      </c>
      <c r="C34" s="12">
        <v>6640</v>
      </c>
      <c r="D34" s="12">
        <v>283</v>
      </c>
      <c r="E34" s="12">
        <v>151</v>
      </c>
      <c r="F34" s="12">
        <v>179</v>
      </c>
      <c r="G34" s="12">
        <v>240</v>
      </c>
      <c r="H34" s="12">
        <v>331</v>
      </c>
      <c r="I34" s="12">
        <v>420</v>
      </c>
      <c r="J34" s="12">
        <v>89</v>
      </c>
      <c r="K34" s="12">
        <v>255</v>
      </c>
      <c r="L34" s="12">
        <v>232</v>
      </c>
      <c r="M34" s="12">
        <v>312</v>
      </c>
      <c r="N34" s="12">
        <v>435</v>
      </c>
      <c r="O34" s="12">
        <v>275</v>
      </c>
      <c r="P34" s="12">
        <v>179</v>
      </c>
      <c r="Q34" s="12">
        <v>212</v>
      </c>
      <c r="R34" s="12">
        <v>186</v>
      </c>
      <c r="S34" s="12">
        <v>223</v>
      </c>
      <c r="T34" s="12">
        <v>206</v>
      </c>
      <c r="U34" s="12">
        <v>123</v>
      </c>
      <c r="V34" s="12">
        <v>181</v>
      </c>
      <c r="W34" s="12">
        <v>151</v>
      </c>
      <c r="X34" s="12">
        <v>212</v>
      </c>
      <c r="Y34" s="12">
        <v>209</v>
      </c>
      <c r="Z34" s="12">
        <v>84</v>
      </c>
      <c r="AA34" s="12">
        <v>317</v>
      </c>
      <c r="AB34" s="12">
        <v>228</v>
      </c>
      <c r="AC34" s="12">
        <v>187</v>
      </c>
      <c r="AD34" s="12">
        <v>196</v>
      </c>
      <c r="AE34" s="12">
        <v>220</v>
      </c>
      <c r="AF34" s="12">
        <v>269</v>
      </c>
    </row>
    <row r="35" spans="1:32">
      <c r="A35" s="19"/>
      <c r="B35" s="13" t="s">
        <v>531</v>
      </c>
      <c r="C35" s="14">
        <v>0.25</v>
      </c>
      <c r="D35" s="14">
        <v>0.28000000000000003</v>
      </c>
      <c r="E35" s="14">
        <v>0.14000000000000001</v>
      </c>
      <c r="F35" s="14">
        <v>0.17</v>
      </c>
      <c r="G35" s="14">
        <v>0.24</v>
      </c>
      <c r="H35" s="14">
        <v>0.27</v>
      </c>
      <c r="I35" s="14">
        <v>0.27</v>
      </c>
      <c r="J35" s="14">
        <v>0.3</v>
      </c>
      <c r="K35" s="14">
        <v>0.25</v>
      </c>
      <c r="L35" s="14">
        <v>0.23</v>
      </c>
      <c r="M35" s="14">
        <v>0.31</v>
      </c>
      <c r="N35" s="14">
        <v>0.43</v>
      </c>
      <c r="O35" s="14">
        <v>0.27</v>
      </c>
      <c r="P35" s="14">
        <v>0.18</v>
      </c>
      <c r="Q35" s="14">
        <v>0.21</v>
      </c>
      <c r="R35" s="14">
        <v>0.37</v>
      </c>
      <c r="S35" s="14">
        <v>0.22</v>
      </c>
      <c r="T35" s="14">
        <v>0.2</v>
      </c>
      <c r="U35" s="14">
        <v>0.24</v>
      </c>
      <c r="V35" s="14">
        <v>0.18</v>
      </c>
      <c r="W35" s="14">
        <v>0.3</v>
      </c>
      <c r="X35" s="14">
        <v>0.21</v>
      </c>
      <c r="Y35" s="14">
        <v>0.21</v>
      </c>
      <c r="Z35" s="14">
        <v>0.08</v>
      </c>
      <c r="AA35" s="14">
        <v>0.31</v>
      </c>
      <c r="AB35" s="14">
        <v>0.22</v>
      </c>
      <c r="AC35" s="14">
        <v>0.19</v>
      </c>
      <c r="AD35" s="14">
        <v>0.2</v>
      </c>
      <c r="AE35" s="14">
        <v>0.22</v>
      </c>
      <c r="AF35" s="14">
        <v>0.26</v>
      </c>
    </row>
    <row r="36" spans="1:32">
      <c r="A36" s="19"/>
      <c r="B36" s="11" t="s">
        <v>532</v>
      </c>
      <c r="C36" s="12">
        <v>4365</v>
      </c>
      <c r="D36" s="12">
        <v>132</v>
      </c>
      <c r="E36" s="12">
        <v>316</v>
      </c>
      <c r="F36" s="12">
        <v>151</v>
      </c>
      <c r="G36" s="12">
        <v>80</v>
      </c>
      <c r="H36" s="12">
        <v>155</v>
      </c>
      <c r="I36" s="12">
        <v>206</v>
      </c>
      <c r="J36" s="12">
        <v>50</v>
      </c>
      <c r="K36" s="12">
        <v>174</v>
      </c>
      <c r="L36" s="12">
        <v>176</v>
      </c>
      <c r="M36" s="12">
        <v>302</v>
      </c>
      <c r="N36" s="12">
        <v>180</v>
      </c>
      <c r="O36" s="12">
        <v>148</v>
      </c>
      <c r="P36" s="12">
        <v>279</v>
      </c>
      <c r="Q36" s="12">
        <v>167</v>
      </c>
      <c r="R36" s="12">
        <v>140</v>
      </c>
      <c r="S36" s="12">
        <v>231</v>
      </c>
      <c r="T36" s="12">
        <v>199</v>
      </c>
      <c r="U36" s="12">
        <v>69</v>
      </c>
      <c r="V36" s="12">
        <v>183</v>
      </c>
      <c r="W36" s="12">
        <v>97</v>
      </c>
      <c r="X36" s="12">
        <v>114</v>
      </c>
      <c r="Y36" s="12">
        <v>224</v>
      </c>
      <c r="Z36" s="12">
        <v>221</v>
      </c>
      <c r="AA36" s="12">
        <v>199</v>
      </c>
      <c r="AB36" s="12">
        <v>225</v>
      </c>
      <c r="AC36" s="12">
        <v>110</v>
      </c>
      <c r="AD36" s="12">
        <v>141</v>
      </c>
      <c r="AE36" s="12">
        <v>92</v>
      </c>
      <c r="AF36" s="12">
        <v>79</v>
      </c>
    </row>
    <row r="37" spans="1:32">
      <c r="A37" s="19"/>
      <c r="B37" s="13" t="s">
        <v>533</v>
      </c>
      <c r="C37" s="14">
        <v>0.17</v>
      </c>
      <c r="D37" s="14">
        <v>0.13</v>
      </c>
      <c r="E37" s="14">
        <v>0.3</v>
      </c>
      <c r="F37" s="14">
        <v>0.14000000000000001</v>
      </c>
      <c r="G37" s="14">
        <v>0.08</v>
      </c>
      <c r="H37" s="14">
        <v>0.13</v>
      </c>
      <c r="I37" s="14">
        <v>0.13</v>
      </c>
      <c r="J37" s="14">
        <v>0.17</v>
      </c>
      <c r="K37" s="14">
        <v>0.17</v>
      </c>
      <c r="L37" s="14">
        <v>0.17</v>
      </c>
      <c r="M37" s="14">
        <v>0.3</v>
      </c>
      <c r="N37" s="14">
        <v>0.18</v>
      </c>
      <c r="O37" s="14">
        <v>0.15</v>
      </c>
      <c r="P37" s="14">
        <v>0.28000000000000003</v>
      </c>
      <c r="Q37" s="14">
        <v>0.16</v>
      </c>
      <c r="R37" s="14">
        <v>0.28000000000000003</v>
      </c>
      <c r="S37" s="14">
        <v>0.23</v>
      </c>
      <c r="T37" s="14">
        <v>0.19</v>
      </c>
      <c r="U37" s="14">
        <v>0.14000000000000001</v>
      </c>
      <c r="V37" s="14">
        <v>0.18</v>
      </c>
      <c r="W37" s="14">
        <v>0.19</v>
      </c>
      <c r="X37" s="14">
        <v>0.11</v>
      </c>
      <c r="Y37" s="14">
        <v>0.22</v>
      </c>
      <c r="Z37" s="14">
        <v>0.22</v>
      </c>
      <c r="AA37" s="14">
        <v>0.19</v>
      </c>
      <c r="AB37" s="14">
        <v>0.22</v>
      </c>
      <c r="AC37" s="14">
        <v>0.11</v>
      </c>
      <c r="AD37" s="14">
        <v>0.14000000000000001</v>
      </c>
      <c r="AE37" s="14">
        <v>0.09</v>
      </c>
      <c r="AF37" s="14">
        <v>0.08</v>
      </c>
    </row>
    <row r="38" spans="1:32">
      <c r="A38" s="19"/>
      <c r="B38" s="11" t="s">
        <v>534</v>
      </c>
      <c r="C38" s="12">
        <v>2340</v>
      </c>
      <c r="D38" s="12">
        <v>89</v>
      </c>
      <c r="E38" s="12">
        <v>77</v>
      </c>
      <c r="F38" s="12">
        <v>57</v>
      </c>
      <c r="G38" s="12">
        <v>54</v>
      </c>
      <c r="H38" s="12">
        <v>62</v>
      </c>
      <c r="I38" s="12">
        <v>88</v>
      </c>
      <c r="J38" s="12">
        <v>25</v>
      </c>
      <c r="K38" s="12">
        <v>124</v>
      </c>
      <c r="L38" s="12">
        <v>97</v>
      </c>
      <c r="M38" s="12">
        <v>116</v>
      </c>
      <c r="N38" s="12">
        <v>140</v>
      </c>
      <c r="O38" s="12">
        <v>110</v>
      </c>
      <c r="P38" s="12">
        <v>89</v>
      </c>
      <c r="Q38" s="12">
        <v>122</v>
      </c>
      <c r="R38" s="12">
        <v>119</v>
      </c>
      <c r="S38" s="12">
        <v>74</v>
      </c>
      <c r="T38" s="12">
        <v>86</v>
      </c>
      <c r="U38" s="12">
        <v>43</v>
      </c>
      <c r="V38" s="12">
        <v>86</v>
      </c>
      <c r="W38" s="12">
        <v>82</v>
      </c>
      <c r="X38" s="12">
        <v>51</v>
      </c>
      <c r="Y38" s="12">
        <v>75</v>
      </c>
      <c r="Z38" s="12">
        <v>68</v>
      </c>
      <c r="AA38" s="12">
        <v>90</v>
      </c>
      <c r="AB38" s="12">
        <v>84</v>
      </c>
      <c r="AC38" s="12">
        <v>62</v>
      </c>
      <c r="AD38" s="12">
        <v>51</v>
      </c>
      <c r="AE38" s="12">
        <v>32</v>
      </c>
      <c r="AF38" s="12">
        <v>40</v>
      </c>
    </row>
    <row r="39" spans="1:32">
      <c r="A39" s="19"/>
      <c r="B39" s="13" t="s">
        <v>535</v>
      </c>
      <c r="C39" s="14">
        <v>0.09</v>
      </c>
      <c r="D39" s="14">
        <v>0.09</v>
      </c>
      <c r="E39" s="14">
        <v>7.0000000000000007E-2</v>
      </c>
      <c r="F39" s="14">
        <v>0.05</v>
      </c>
      <c r="G39" s="14">
        <v>0.05</v>
      </c>
      <c r="H39" s="14">
        <v>0.05</v>
      </c>
      <c r="I39" s="14">
        <v>0.06</v>
      </c>
      <c r="J39" s="14">
        <v>0.09</v>
      </c>
      <c r="K39" s="14">
        <v>0.12</v>
      </c>
      <c r="L39" s="14">
        <v>0.1</v>
      </c>
      <c r="M39" s="14">
        <v>0.12</v>
      </c>
      <c r="N39" s="14">
        <v>0.14000000000000001</v>
      </c>
      <c r="O39" s="14">
        <v>0.11</v>
      </c>
      <c r="P39" s="14">
        <v>0.09</v>
      </c>
      <c r="Q39" s="14">
        <v>0.12</v>
      </c>
      <c r="R39" s="14">
        <v>0.24</v>
      </c>
      <c r="S39" s="14">
        <v>7.0000000000000007E-2</v>
      </c>
      <c r="T39" s="14">
        <v>0.08</v>
      </c>
      <c r="U39" s="14">
        <v>0.08</v>
      </c>
      <c r="V39" s="14">
        <v>0.08</v>
      </c>
      <c r="W39" s="14">
        <v>0.16</v>
      </c>
      <c r="X39" s="14">
        <v>0.05</v>
      </c>
      <c r="Y39" s="14">
        <v>0.08</v>
      </c>
      <c r="Z39" s="14">
        <v>7.0000000000000007E-2</v>
      </c>
      <c r="AA39" s="14">
        <v>0.09</v>
      </c>
      <c r="AB39" s="14">
        <v>0.08</v>
      </c>
      <c r="AC39" s="14">
        <v>0.06</v>
      </c>
      <c r="AD39" s="14">
        <v>0.05</v>
      </c>
      <c r="AE39" s="14">
        <v>0.03</v>
      </c>
      <c r="AF39" s="14">
        <v>0.04</v>
      </c>
    </row>
    <row r="40" spans="1:32">
      <c r="A40" s="19"/>
      <c r="B40" s="11" t="s">
        <v>436</v>
      </c>
      <c r="C40" s="12">
        <v>165</v>
      </c>
      <c r="D40" s="12">
        <v>2</v>
      </c>
      <c r="E40" s="12">
        <v>10</v>
      </c>
      <c r="F40" s="12">
        <v>4</v>
      </c>
      <c r="G40" s="12">
        <v>0</v>
      </c>
      <c r="H40" s="12">
        <v>19</v>
      </c>
      <c r="I40" s="12">
        <v>20</v>
      </c>
      <c r="J40" s="12">
        <v>1</v>
      </c>
      <c r="K40" s="12">
        <v>18</v>
      </c>
      <c r="L40" s="12">
        <v>3</v>
      </c>
      <c r="M40" s="12">
        <v>6</v>
      </c>
      <c r="N40" s="12">
        <v>7</v>
      </c>
      <c r="O40" s="12">
        <v>9</v>
      </c>
      <c r="P40" s="12">
        <v>3</v>
      </c>
      <c r="Q40" s="12">
        <v>2</v>
      </c>
      <c r="R40" s="12">
        <v>0</v>
      </c>
      <c r="S40" s="12">
        <v>12</v>
      </c>
      <c r="T40" s="12">
        <v>3</v>
      </c>
      <c r="U40" s="12">
        <v>0</v>
      </c>
      <c r="V40" s="12">
        <v>0</v>
      </c>
      <c r="W40" s="12">
        <v>3</v>
      </c>
      <c r="X40" s="12">
        <v>1</v>
      </c>
      <c r="Y40" s="12">
        <v>21</v>
      </c>
      <c r="Z40" s="12">
        <v>2</v>
      </c>
      <c r="AA40" s="12">
        <v>2</v>
      </c>
      <c r="AB40" s="12">
        <v>3</v>
      </c>
      <c r="AC40" s="12">
        <v>2</v>
      </c>
      <c r="AD40" s="12">
        <v>2</v>
      </c>
      <c r="AE40" s="12">
        <v>2</v>
      </c>
      <c r="AF40" s="12">
        <v>2</v>
      </c>
    </row>
    <row r="41" spans="1:32">
      <c r="A41" s="19"/>
      <c r="B41" s="13" t="s">
        <v>437</v>
      </c>
      <c r="C41" s="14">
        <v>0.01</v>
      </c>
      <c r="D41" s="15" t="s">
        <v>375</v>
      </c>
      <c r="E41" s="14">
        <v>0.01</v>
      </c>
      <c r="F41" s="15" t="s">
        <v>375</v>
      </c>
      <c r="G41" s="15" t="s">
        <v>375</v>
      </c>
      <c r="H41" s="14">
        <v>0.02</v>
      </c>
      <c r="I41" s="14">
        <v>0.01</v>
      </c>
      <c r="J41" s="15" t="s">
        <v>375</v>
      </c>
      <c r="K41" s="14">
        <v>0.02</v>
      </c>
      <c r="L41" s="15" t="s">
        <v>375</v>
      </c>
      <c r="M41" s="14">
        <v>0.01</v>
      </c>
      <c r="N41" s="14">
        <v>0.01</v>
      </c>
      <c r="O41" s="14">
        <v>0.01</v>
      </c>
      <c r="P41" s="15" t="s">
        <v>375</v>
      </c>
      <c r="Q41" s="15" t="s">
        <v>375</v>
      </c>
      <c r="R41" s="15" t="s">
        <v>375</v>
      </c>
      <c r="S41" s="14">
        <v>0.01</v>
      </c>
      <c r="T41" s="15" t="s">
        <v>375</v>
      </c>
      <c r="U41" s="15" t="s">
        <v>375</v>
      </c>
      <c r="V41" s="15" t="s">
        <v>375</v>
      </c>
      <c r="W41" s="14">
        <v>0.01</v>
      </c>
      <c r="X41" s="15" t="s">
        <v>375</v>
      </c>
      <c r="Y41" s="14">
        <v>0.02</v>
      </c>
      <c r="Z41" s="15" t="s">
        <v>375</v>
      </c>
      <c r="AA41" s="15" t="s">
        <v>375</v>
      </c>
      <c r="AB41" s="15" t="s">
        <v>375</v>
      </c>
      <c r="AC41" s="15" t="s">
        <v>375</v>
      </c>
      <c r="AD41" s="15" t="s">
        <v>375</v>
      </c>
      <c r="AE41" s="15" t="s">
        <v>375</v>
      </c>
      <c r="AF41" s="15" t="s">
        <v>375</v>
      </c>
    </row>
    <row r="42" spans="1:32">
      <c r="A42" s="19"/>
      <c r="B42" s="11" t="s">
        <v>438</v>
      </c>
      <c r="C42" s="12">
        <v>121</v>
      </c>
      <c r="D42" s="12">
        <v>2</v>
      </c>
      <c r="E42" s="12">
        <v>5</v>
      </c>
      <c r="F42" s="12">
        <v>14</v>
      </c>
      <c r="G42" s="12">
        <v>3</v>
      </c>
      <c r="H42" s="12">
        <v>8</v>
      </c>
      <c r="I42" s="12">
        <v>9</v>
      </c>
      <c r="J42" s="12">
        <v>1</v>
      </c>
      <c r="K42" s="12">
        <v>4</v>
      </c>
      <c r="L42" s="12">
        <v>4</v>
      </c>
      <c r="M42" s="12">
        <v>1</v>
      </c>
      <c r="N42" s="12">
        <v>5</v>
      </c>
      <c r="O42" s="12">
        <v>6</v>
      </c>
      <c r="P42" s="12">
        <v>1</v>
      </c>
      <c r="Q42" s="12">
        <v>3</v>
      </c>
      <c r="R42" s="12">
        <v>0</v>
      </c>
      <c r="S42" s="12">
        <v>4</v>
      </c>
      <c r="T42" s="12">
        <v>2</v>
      </c>
      <c r="U42" s="12">
        <v>0</v>
      </c>
      <c r="V42" s="12">
        <v>0</v>
      </c>
      <c r="W42" s="12">
        <v>3</v>
      </c>
      <c r="X42" s="12">
        <v>8</v>
      </c>
      <c r="Y42" s="12">
        <v>12</v>
      </c>
      <c r="Z42" s="12">
        <v>4</v>
      </c>
      <c r="AA42" s="12">
        <v>0</v>
      </c>
      <c r="AB42" s="12">
        <v>1</v>
      </c>
      <c r="AC42" s="12">
        <v>3</v>
      </c>
      <c r="AD42" s="12">
        <v>1</v>
      </c>
      <c r="AE42" s="12">
        <v>1</v>
      </c>
      <c r="AF42" s="12">
        <v>3</v>
      </c>
    </row>
    <row r="43" spans="1:32">
      <c r="A43" s="19"/>
      <c r="B43" s="13" t="s">
        <v>439</v>
      </c>
      <c r="C43" s="15" t="s">
        <v>375</v>
      </c>
      <c r="D43" s="15" t="s">
        <v>375</v>
      </c>
      <c r="E43" s="14">
        <v>0.01</v>
      </c>
      <c r="F43" s="14">
        <v>0.01</v>
      </c>
      <c r="G43" s="15" t="s">
        <v>375</v>
      </c>
      <c r="H43" s="14">
        <v>0.01</v>
      </c>
      <c r="I43" s="14">
        <v>0.01</v>
      </c>
      <c r="J43" s="15" t="s">
        <v>375</v>
      </c>
      <c r="K43" s="15" t="s">
        <v>375</v>
      </c>
      <c r="L43" s="15" t="s">
        <v>375</v>
      </c>
      <c r="M43" s="15" t="s">
        <v>375</v>
      </c>
      <c r="N43" s="15" t="s">
        <v>375</v>
      </c>
      <c r="O43" s="14">
        <v>0.01</v>
      </c>
      <c r="P43" s="15" t="s">
        <v>375</v>
      </c>
      <c r="Q43" s="15" t="s">
        <v>375</v>
      </c>
      <c r="R43" s="15" t="s">
        <v>375</v>
      </c>
      <c r="S43" s="15" t="s">
        <v>375</v>
      </c>
      <c r="T43" s="15" t="s">
        <v>375</v>
      </c>
      <c r="U43" s="15" t="s">
        <v>375</v>
      </c>
      <c r="V43" s="15" t="s">
        <v>375</v>
      </c>
      <c r="W43" s="14">
        <v>0.01</v>
      </c>
      <c r="X43" s="14">
        <v>0.01</v>
      </c>
      <c r="Y43" s="14">
        <v>0.01</v>
      </c>
      <c r="Z43" s="15" t="s">
        <v>375</v>
      </c>
      <c r="AA43" s="15" t="s">
        <v>375</v>
      </c>
      <c r="AB43" s="15" t="s">
        <v>375</v>
      </c>
      <c r="AC43" s="15" t="s">
        <v>375</v>
      </c>
      <c r="AD43" s="15" t="s">
        <v>375</v>
      </c>
      <c r="AE43" s="15" t="s">
        <v>375</v>
      </c>
      <c r="AF43" s="15" t="s">
        <v>375</v>
      </c>
    </row>
    <row r="44" spans="1:32">
      <c r="A44" s="19"/>
      <c r="B44" s="11" t="s">
        <v>386</v>
      </c>
      <c r="C44" s="12">
        <v>264</v>
      </c>
      <c r="D44" s="12">
        <v>1</v>
      </c>
      <c r="E44" s="12">
        <v>19</v>
      </c>
      <c r="F44" s="12">
        <v>14</v>
      </c>
      <c r="G44" s="12">
        <v>7</v>
      </c>
      <c r="H44" s="12">
        <v>3</v>
      </c>
      <c r="I44" s="12">
        <v>3</v>
      </c>
      <c r="J44" s="12">
        <v>0</v>
      </c>
      <c r="K44" s="12">
        <v>10</v>
      </c>
      <c r="L44" s="12">
        <v>17</v>
      </c>
      <c r="M44" s="12">
        <v>7</v>
      </c>
      <c r="N44" s="12">
        <v>20</v>
      </c>
      <c r="O44" s="12">
        <v>19</v>
      </c>
      <c r="P44" s="12">
        <v>4</v>
      </c>
      <c r="Q44" s="12">
        <v>11</v>
      </c>
      <c r="R44" s="12">
        <v>4</v>
      </c>
      <c r="S44" s="12">
        <v>12</v>
      </c>
      <c r="T44" s="12">
        <v>15</v>
      </c>
      <c r="U44" s="12">
        <v>4</v>
      </c>
      <c r="V44" s="12">
        <v>0</v>
      </c>
      <c r="W44" s="12">
        <v>5</v>
      </c>
      <c r="X44" s="12">
        <v>4</v>
      </c>
      <c r="Y44" s="12">
        <v>9</v>
      </c>
      <c r="Z44" s="12">
        <v>3</v>
      </c>
      <c r="AA44" s="12">
        <v>22</v>
      </c>
      <c r="AB44" s="12">
        <v>12</v>
      </c>
      <c r="AC44" s="12">
        <v>1</v>
      </c>
      <c r="AD44" s="12">
        <v>7</v>
      </c>
      <c r="AE44" s="12">
        <v>6</v>
      </c>
      <c r="AF44" s="12">
        <v>0</v>
      </c>
    </row>
    <row r="45" spans="1:32">
      <c r="A45" s="19"/>
      <c r="B45" s="13" t="s">
        <v>399</v>
      </c>
      <c r="C45" s="14">
        <v>0.01</v>
      </c>
      <c r="D45" s="15" t="s">
        <v>375</v>
      </c>
      <c r="E45" s="14">
        <v>0.02</v>
      </c>
      <c r="F45" s="14">
        <v>0.01</v>
      </c>
      <c r="G45" s="14">
        <v>0.01</v>
      </c>
      <c r="H45" s="15" t="s">
        <v>375</v>
      </c>
      <c r="I45" s="15" t="s">
        <v>375</v>
      </c>
      <c r="J45" s="15" t="s">
        <v>375</v>
      </c>
      <c r="K45" s="14">
        <v>0.01</v>
      </c>
      <c r="L45" s="14">
        <v>0.02</v>
      </c>
      <c r="M45" s="14">
        <v>0.01</v>
      </c>
      <c r="N45" s="14">
        <v>0.02</v>
      </c>
      <c r="O45" s="14">
        <v>0.02</v>
      </c>
      <c r="P45" s="15" t="s">
        <v>375</v>
      </c>
      <c r="Q45" s="14">
        <v>0.01</v>
      </c>
      <c r="R45" s="14">
        <v>0.01</v>
      </c>
      <c r="S45" s="14">
        <v>0.01</v>
      </c>
      <c r="T45" s="14">
        <v>0.02</v>
      </c>
      <c r="U45" s="14">
        <v>0.01</v>
      </c>
      <c r="V45" s="15" t="s">
        <v>375</v>
      </c>
      <c r="W45" s="14">
        <v>0.01</v>
      </c>
      <c r="X45" s="15" t="s">
        <v>375</v>
      </c>
      <c r="Y45" s="14">
        <v>0.01</v>
      </c>
      <c r="Z45" s="15" t="s">
        <v>375</v>
      </c>
      <c r="AA45" s="14">
        <v>0.02</v>
      </c>
      <c r="AB45" s="14">
        <v>0.01</v>
      </c>
      <c r="AC45" s="15" t="s">
        <v>375</v>
      </c>
      <c r="AD45" s="14">
        <v>0.01</v>
      </c>
      <c r="AE45" s="14">
        <v>0.01</v>
      </c>
      <c r="AF45" s="15" t="s">
        <v>375</v>
      </c>
    </row>
  </sheetData>
  <mergeCells count="9">
    <mergeCell ref="B4:F4"/>
    <mergeCell ref="H3:L3"/>
    <mergeCell ref="C8:AF8"/>
    <mergeCell ref="A10:A45"/>
    <mergeCell ref="B3:F3"/>
    <mergeCell ref="B5:F5"/>
    <mergeCell ref="H5:L5"/>
    <mergeCell ref="B10:B11"/>
    <mergeCell ref="H4:L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538</v>
      </c>
      <c r="C3" s="17"/>
      <c r="D3" s="17"/>
      <c r="E3" s="17"/>
      <c r="F3" s="17"/>
      <c r="H3" s="17" t="s">
        <v>539</v>
      </c>
      <c r="I3" s="17"/>
      <c r="J3" s="17"/>
      <c r="K3" s="17"/>
      <c r="L3" s="17"/>
    </row>
    <row r="4" spans="1:32" ht="27" customHeight="1">
      <c r="B4" s="17" t="s">
        <v>540</v>
      </c>
      <c r="C4" s="17"/>
      <c r="D4" s="17"/>
      <c r="E4" s="17"/>
      <c r="F4" s="17"/>
      <c r="H4" s="17" t="s">
        <v>541</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HYPERLINK("#Content!A24","&lt;&lt;Back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542</v>
      </c>
      <c r="C12" s="12">
        <v>4427</v>
      </c>
      <c r="D12" s="12">
        <v>106</v>
      </c>
      <c r="E12" s="12">
        <v>218</v>
      </c>
      <c r="F12" s="12">
        <v>191</v>
      </c>
      <c r="G12" s="12">
        <v>366</v>
      </c>
      <c r="H12" s="12">
        <v>151</v>
      </c>
      <c r="I12" s="12">
        <v>201</v>
      </c>
      <c r="J12" s="12">
        <v>50</v>
      </c>
      <c r="K12" s="12">
        <v>122</v>
      </c>
      <c r="L12" s="12">
        <v>365</v>
      </c>
      <c r="M12" s="12">
        <v>90</v>
      </c>
      <c r="N12" s="12">
        <v>273</v>
      </c>
      <c r="O12" s="12">
        <v>76</v>
      </c>
      <c r="P12" s="12">
        <v>222</v>
      </c>
      <c r="Q12" s="12">
        <v>156</v>
      </c>
      <c r="R12" s="12">
        <v>82</v>
      </c>
      <c r="S12" s="12">
        <v>160</v>
      </c>
      <c r="T12" s="12">
        <v>206</v>
      </c>
      <c r="U12" s="12">
        <v>86</v>
      </c>
      <c r="V12" s="12">
        <v>104</v>
      </c>
      <c r="W12" s="12">
        <v>119</v>
      </c>
      <c r="X12" s="12">
        <v>239</v>
      </c>
      <c r="Y12" s="12">
        <v>314</v>
      </c>
      <c r="Z12" s="12">
        <v>175</v>
      </c>
      <c r="AA12" s="12">
        <v>117</v>
      </c>
      <c r="AB12" s="12">
        <v>192</v>
      </c>
      <c r="AC12" s="12">
        <v>332</v>
      </c>
      <c r="AD12" s="12">
        <v>231</v>
      </c>
      <c r="AE12" s="12">
        <v>320</v>
      </c>
      <c r="AF12" s="12">
        <v>212</v>
      </c>
    </row>
    <row r="13" spans="1:32">
      <c r="A13" s="19"/>
      <c r="B13" s="13" t="s">
        <v>543</v>
      </c>
      <c r="C13" s="14">
        <v>0.17</v>
      </c>
      <c r="D13" s="14">
        <v>0.11</v>
      </c>
      <c r="E13" s="14">
        <v>0.21</v>
      </c>
      <c r="F13" s="14">
        <v>0.18</v>
      </c>
      <c r="G13" s="14">
        <v>0.36</v>
      </c>
      <c r="H13" s="14">
        <v>0.12</v>
      </c>
      <c r="I13" s="14">
        <v>0.13</v>
      </c>
      <c r="J13" s="14">
        <v>0.17</v>
      </c>
      <c r="K13" s="14">
        <v>0.12</v>
      </c>
      <c r="L13" s="14">
        <v>0.36</v>
      </c>
      <c r="M13" s="14">
        <v>0.09</v>
      </c>
      <c r="N13" s="14">
        <v>0.27</v>
      </c>
      <c r="O13" s="14">
        <v>7.0000000000000007E-2</v>
      </c>
      <c r="P13" s="14">
        <v>0.22</v>
      </c>
      <c r="Q13" s="14">
        <v>0.15</v>
      </c>
      <c r="R13" s="14">
        <v>0.16</v>
      </c>
      <c r="S13" s="14">
        <v>0.16</v>
      </c>
      <c r="T13" s="14">
        <v>0.2</v>
      </c>
      <c r="U13" s="14">
        <v>0.17</v>
      </c>
      <c r="V13" s="14">
        <v>0.1</v>
      </c>
      <c r="W13" s="14">
        <v>0.24</v>
      </c>
      <c r="X13" s="14">
        <v>0.24</v>
      </c>
      <c r="Y13" s="14">
        <v>0.31</v>
      </c>
      <c r="Z13" s="14">
        <v>0.17</v>
      </c>
      <c r="AA13" s="14">
        <v>0.11</v>
      </c>
      <c r="AB13" s="14">
        <v>0.19</v>
      </c>
      <c r="AC13" s="14">
        <v>0.33</v>
      </c>
      <c r="AD13" s="14">
        <v>0.23</v>
      </c>
      <c r="AE13" s="14">
        <v>0.32</v>
      </c>
      <c r="AF13" s="14">
        <v>0.21</v>
      </c>
    </row>
    <row r="14" spans="1:32">
      <c r="A14" s="19"/>
      <c r="B14" s="11" t="s">
        <v>544</v>
      </c>
      <c r="C14" s="12">
        <v>15608</v>
      </c>
      <c r="D14" s="12">
        <v>606</v>
      </c>
      <c r="E14" s="12">
        <v>552</v>
      </c>
      <c r="F14" s="12">
        <v>662</v>
      </c>
      <c r="G14" s="12">
        <v>547</v>
      </c>
      <c r="H14" s="12">
        <v>793</v>
      </c>
      <c r="I14" s="12">
        <v>957</v>
      </c>
      <c r="J14" s="12">
        <v>164</v>
      </c>
      <c r="K14" s="12">
        <v>656</v>
      </c>
      <c r="L14" s="12">
        <v>521</v>
      </c>
      <c r="M14" s="12">
        <v>608</v>
      </c>
      <c r="N14" s="12">
        <v>542</v>
      </c>
      <c r="O14" s="12">
        <v>478</v>
      </c>
      <c r="P14" s="12">
        <v>547</v>
      </c>
      <c r="Q14" s="12">
        <v>682</v>
      </c>
      <c r="R14" s="12">
        <v>296</v>
      </c>
      <c r="S14" s="12">
        <v>592</v>
      </c>
      <c r="T14" s="12">
        <v>635</v>
      </c>
      <c r="U14" s="12">
        <v>309</v>
      </c>
      <c r="V14" s="12">
        <v>701</v>
      </c>
      <c r="W14" s="12">
        <v>304</v>
      </c>
      <c r="X14" s="12">
        <v>604</v>
      </c>
      <c r="Y14" s="12">
        <v>545</v>
      </c>
      <c r="Z14" s="12">
        <v>696</v>
      </c>
      <c r="AA14" s="12">
        <v>631</v>
      </c>
      <c r="AB14" s="12">
        <v>556</v>
      </c>
      <c r="AC14" s="12">
        <v>544</v>
      </c>
      <c r="AD14" s="12">
        <v>590</v>
      </c>
      <c r="AE14" s="12">
        <v>590</v>
      </c>
      <c r="AF14" s="12">
        <v>633</v>
      </c>
    </row>
    <row r="15" spans="1:32">
      <c r="A15" s="19"/>
      <c r="B15" s="13" t="s">
        <v>545</v>
      </c>
      <c r="C15" s="14">
        <v>0.59</v>
      </c>
      <c r="D15" s="14">
        <v>0.59</v>
      </c>
      <c r="E15" s="14">
        <v>0.53</v>
      </c>
      <c r="F15" s="14">
        <v>0.62</v>
      </c>
      <c r="G15" s="14">
        <v>0.54</v>
      </c>
      <c r="H15" s="14">
        <v>0.64</v>
      </c>
      <c r="I15" s="14">
        <v>0.63</v>
      </c>
      <c r="J15" s="14">
        <v>0.55000000000000004</v>
      </c>
      <c r="K15" s="14">
        <v>0.65</v>
      </c>
      <c r="L15" s="14">
        <v>0.52</v>
      </c>
      <c r="M15" s="14">
        <v>0.6</v>
      </c>
      <c r="N15" s="14">
        <v>0.54</v>
      </c>
      <c r="O15" s="14">
        <v>0.48</v>
      </c>
      <c r="P15" s="14">
        <v>0.55000000000000004</v>
      </c>
      <c r="Q15" s="14">
        <v>0.66</v>
      </c>
      <c r="R15" s="14">
        <v>0.59</v>
      </c>
      <c r="S15" s="14">
        <v>0.59</v>
      </c>
      <c r="T15" s="14">
        <v>0.62</v>
      </c>
      <c r="U15" s="14">
        <v>0.61</v>
      </c>
      <c r="V15" s="14">
        <v>0.68</v>
      </c>
      <c r="W15" s="14">
        <v>0.61</v>
      </c>
      <c r="X15" s="14">
        <v>0.6</v>
      </c>
      <c r="Y15" s="14">
        <v>0.54</v>
      </c>
      <c r="Z15" s="14">
        <v>0.69000000000000006</v>
      </c>
      <c r="AA15" s="14">
        <v>0.61</v>
      </c>
      <c r="AB15" s="14">
        <v>0.53</v>
      </c>
      <c r="AC15" s="14">
        <v>0.54</v>
      </c>
      <c r="AD15" s="14">
        <v>0.59</v>
      </c>
      <c r="AE15" s="14">
        <v>0.59</v>
      </c>
      <c r="AF15" s="14">
        <v>0.61</v>
      </c>
    </row>
    <row r="16" spans="1:32">
      <c r="A16" s="19"/>
      <c r="B16" s="11" t="s">
        <v>546</v>
      </c>
      <c r="C16" s="12">
        <v>5305</v>
      </c>
      <c r="D16" s="12">
        <v>267</v>
      </c>
      <c r="E16" s="12">
        <v>197</v>
      </c>
      <c r="F16" s="12">
        <v>179</v>
      </c>
      <c r="G16" s="12">
        <v>82</v>
      </c>
      <c r="H16" s="12">
        <v>236</v>
      </c>
      <c r="I16" s="12">
        <v>306</v>
      </c>
      <c r="J16" s="12">
        <v>71</v>
      </c>
      <c r="K16" s="12">
        <v>160</v>
      </c>
      <c r="L16" s="12">
        <v>87</v>
      </c>
      <c r="M16" s="12">
        <v>241</v>
      </c>
      <c r="N16" s="12">
        <v>155</v>
      </c>
      <c r="O16" s="12">
        <v>370</v>
      </c>
      <c r="P16" s="12">
        <v>192</v>
      </c>
      <c r="Q16" s="12">
        <v>168</v>
      </c>
      <c r="R16" s="12">
        <v>92</v>
      </c>
      <c r="S16" s="12">
        <v>200</v>
      </c>
      <c r="T16" s="12">
        <v>140</v>
      </c>
      <c r="U16" s="12">
        <v>85</v>
      </c>
      <c r="V16" s="12">
        <v>193</v>
      </c>
      <c r="W16" s="12">
        <v>63</v>
      </c>
      <c r="X16" s="12">
        <v>150</v>
      </c>
      <c r="Y16" s="12">
        <v>117</v>
      </c>
      <c r="Z16" s="12">
        <v>112</v>
      </c>
      <c r="AA16" s="12">
        <v>266</v>
      </c>
      <c r="AB16" s="12">
        <v>231</v>
      </c>
      <c r="AC16" s="12">
        <v>110</v>
      </c>
      <c r="AD16" s="12">
        <v>152</v>
      </c>
      <c r="AE16" s="12">
        <v>78</v>
      </c>
      <c r="AF16" s="12">
        <v>173</v>
      </c>
    </row>
    <row r="17" spans="1:32">
      <c r="A17" s="19"/>
      <c r="B17" s="13" t="s">
        <v>547</v>
      </c>
      <c r="C17" s="14">
        <v>0.2</v>
      </c>
      <c r="D17" s="14">
        <v>0.26</v>
      </c>
      <c r="E17" s="14">
        <v>0.19</v>
      </c>
      <c r="F17" s="14">
        <v>0.17</v>
      </c>
      <c r="G17" s="14">
        <v>0.08</v>
      </c>
      <c r="H17" s="14">
        <v>0.19</v>
      </c>
      <c r="I17" s="14">
        <v>0.2</v>
      </c>
      <c r="J17" s="14">
        <v>0.24</v>
      </c>
      <c r="K17" s="14">
        <v>0.16</v>
      </c>
      <c r="L17" s="14">
        <v>0.09</v>
      </c>
      <c r="M17" s="14">
        <v>0.24</v>
      </c>
      <c r="N17" s="14">
        <v>0.15</v>
      </c>
      <c r="O17" s="14">
        <v>0.37</v>
      </c>
      <c r="P17" s="14">
        <v>0.19</v>
      </c>
      <c r="Q17" s="14">
        <v>0.16</v>
      </c>
      <c r="R17" s="14">
        <v>0.18</v>
      </c>
      <c r="S17" s="14">
        <v>0.2</v>
      </c>
      <c r="T17" s="14">
        <v>0.14000000000000001</v>
      </c>
      <c r="U17" s="14">
        <v>0.17</v>
      </c>
      <c r="V17" s="14">
        <v>0.19</v>
      </c>
      <c r="W17" s="14">
        <v>0.12</v>
      </c>
      <c r="X17" s="14">
        <v>0.15</v>
      </c>
      <c r="Y17" s="14">
        <v>0.12</v>
      </c>
      <c r="Z17" s="14">
        <v>0.11</v>
      </c>
      <c r="AA17" s="14">
        <v>0.26</v>
      </c>
      <c r="AB17" s="14">
        <v>0.22</v>
      </c>
      <c r="AC17" s="14">
        <v>0.11</v>
      </c>
      <c r="AD17" s="14">
        <v>0.15</v>
      </c>
      <c r="AE17" s="14">
        <v>0.08</v>
      </c>
      <c r="AF17" s="14">
        <v>0.17</v>
      </c>
    </row>
    <row r="18" spans="1:32">
      <c r="A18" s="19"/>
      <c r="B18" s="11" t="s">
        <v>548</v>
      </c>
      <c r="C18" s="12">
        <v>666</v>
      </c>
      <c r="D18" s="12">
        <v>39</v>
      </c>
      <c r="E18" s="12">
        <v>47</v>
      </c>
      <c r="F18" s="12">
        <v>14</v>
      </c>
      <c r="G18" s="12">
        <v>11</v>
      </c>
      <c r="H18" s="12">
        <v>31</v>
      </c>
      <c r="I18" s="12">
        <v>41</v>
      </c>
      <c r="J18" s="12">
        <v>10</v>
      </c>
      <c r="K18" s="12">
        <v>22</v>
      </c>
      <c r="L18" s="12">
        <v>13</v>
      </c>
      <c r="M18" s="12">
        <v>56</v>
      </c>
      <c r="N18" s="12">
        <v>20</v>
      </c>
      <c r="O18" s="12">
        <v>61</v>
      </c>
      <c r="P18" s="12">
        <v>22</v>
      </c>
      <c r="Q18" s="12">
        <v>8</v>
      </c>
      <c r="R18" s="12">
        <v>23</v>
      </c>
      <c r="S18" s="12">
        <v>25</v>
      </c>
      <c r="T18" s="12">
        <v>15</v>
      </c>
      <c r="U18" s="12">
        <v>15</v>
      </c>
      <c r="V18" s="12">
        <v>9</v>
      </c>
      <c r="W18" s="12">
        <v>9</v>
      </c>
      <c r="X18" s="12">
        <v>12</v>
      </c>
      <c r="Y18" s="12">
        <v>9</v>
      </c>
      <c r="Z18" s="12">
        <v>5</v>
      </c>
      <c r="AA18" s="12">
        <v>9</v>
      </c>
      <c r="AB18" s="12">
        <v>40</v>
      </c>
      <c r="AC18" s="12">
        <v>19</v>
      </c>
      <c r="AD18" s="12">
        <v>29</v>
      </c>
      <c r="AE18" s="12">
        <v>5</v>
      </c>
      <c r="AF18" s="12">
        <v>11</v>
      </c>
    </row>
    <row r="19" spans="1:32">
      <c r="A19" s="19"/>
      <c r="B19" s="13" t="s">
        <v>549</v>
      </c>
      <c r="C19" s="14">
        <v>0.02</v>
      </c>
      <c r="D19" s="14">
        <v>0.04</v>
      </c>
      <c r="E19" s="14">
        <v>0.04</v>
      </c>
      <c r="F19" s="14">
        <v>0.01</v>
      </c>
      <c r="G19" s="14">
        <v>0.01</v>
      </c>
      <c r="H19" s="14">
        <v>0.03</v>
      </c>
      <c r="I19" s="14">
        <v>0.03</v>
      </c>
      <c r="J19" s="14">
        <v>0.03</v>
      </c>
      <c r="K19" s="14">
        <v>0.02</v>
      </c>
      <c r="L19" s="14">
        <v>0.01</v>
      </c>
      <c r="M19" s="14">
        <v>0.06</v>
      </c>
      <c r="N19" s="14">
        <v>0.02</v>
      </c>
      <c r="O19" s="14">
        <v>0.06</v>
      </c>
      <c r="P19" s="14">
        <v>0.02</v>
      </c>
      <c r="Q19" s="14">
        <v>0.01</v>
      </c>
      <c r="R19" s="14">
        <v>0.05</v>
      </c>
      <c r="S19" s="14">
        <v>0.02</v>
      </c>
      <c r="T19" s="14">
        <v>0.01</v>
      </c>
      <c r="U19" s="14">
        <v>0.03</v>
      </c>
      <c r="V19" s="14">
        <v>0.01</v>
      </c>
      <c r="W19" s="14">
        <v>0.02</v>
      </c>
      <c r="X19" s="14">
        <v>0.01</v>
      </c>
      <c r="Y19" s="14">
        <v>0.01</v>
      </c>
      <c r="Z19" s="15" t="s">
        <v>375</v>
      </c>
      <c r="AA19" s="14">
        <v>0.01</v>
      </c>
      <c r="AB19" s="14">
        <v>0.04</v>
      </c>
      <c r="AC19" s="14">
        <v>0.02</v>
      </c>
      <c r="AD19" s="14">
        <v>0.03</v>
      </c>
      <c r="AE19" s="15" t="s">
        <v>375</v>
      </c>
      <c r="AF19" s="14">
        <v>0.01</v>
      </c>
    </row>
    <row r="20" spans="1:32">
      <c r="A20" s="19"/>
      <c r="B20" s="11" t="s">
        <v>386</v>
      </c>
      <c r="C20" s="12">
        <v>447</v>
      </c>
      <c r="D20" s="12">
        <v>3</v>
      </c>
      <c r="E20" s="12">
        <v>32</v>
      </c>
      <c r="F20" s="12">
        <v>18</v>
      </c>
      <c r="G20" s="12">
        <v>11</v>
      </c>
      <c r="H20" s="12">
        <v>19</v>
      </c>
      <c r="I20" s="12">
        <v>22</v>
      </c>
      <c r="J20" s="12">
        <v>3</v>
      </c>
      <c r="K20" s="12">
        <v>46</v>
      </c>
      <c r="L20" s="12">
        <v>18</v>
      </c>
      <c r="M20" s="12">
        <v>11</v>
      </c>
      <c r="N20" s="12">
        <v>21</v>
      </c>
      <c r="O20" s="12">
        <v>20</v>
      </c>
      <c r="P20" s="12">
        <v>19</v>
      </c>
      <c r="Q20" s="12">
        <v>17</v>
      </c>
      <c r="R20" s="12">
        <v>7</v>
      </c>
      <c r="S20" s="12">
        <v>27</v>
      </c>
      <c r="T20" s="12">
        <v>27</v>
      </c>
      <c r="U20" s="12">
        <v>12</v>
      </c>
      <c r="V20" s="12">
        <v>18</v>
      </c>
      <c r="W20" s="12">
        <v>8</v>
      </c>
      <c r="X20" s="12">
        <v>5</v>
      </c>
      <c r="Y20" s="12">
        <v>18</v>
      </c>
      <c r="Z20" s="12">
        <v>28</v>
      </c>
      <c r="AA20" s="12">
        <v>15</v>
      </c>
      <c r="AB20" s="12">
        <v>22</v>
      </c>
      <c r="AC20" s="12">
        <v>1</v>
      </c>
      <c r="AD20" s="12">
        <v>2</v>
      </c>
      <c r="AE20" s="12">
        <v>8</v>
      </c>
      <c r="AF20" s="12">
        <v>2</v>
      </c>
    </row>
    <row r="21" spans="1:32">
      <c r="A21" s="19"/>
      <c r="B21" s="13" t="s">
        <v>399</v>
      </c>
      <c r="C21" s="14">
        <v>0.02</v>
      </c>
      <c r="D21" s="15" t="s">
        <v>375</v>
      </c>
      <c r="E21" s="14">
        <v>0.03</v>
      </c>
      <c r="F21" s="14">
        <v>0.02</v>
      </c>
      <c r="G21" s="14">
        <v>0.01</v>
      </c>
      <c r="H21" s="14">
        <v>0.02</v>
      </c>
      <c r="I21" s="14">
        <v>0.01</v>
      </c>
      <c r="J21" s="14">
        <v>0.01</v>
      </c>
      <c r="K21" s="14">
        <v>0.05</v>
      </c>
      <c r="L21" s="14">
        <v>0.02</v>
      </c>
      <c r="M21" s="14">
        <v>0.01</v>
      </c>
      <c r="N21" s="14">
        <v>0.02</v>
      </c>
      <c r="O21" s="14">
        <v>0.02</v>
      </c>
      <c r="P21" s="14">
        <v>0.02</v>
      </c>
      <c r="Q21" s="14">
        <v>0.02</v>
      </c>
      <c r="R21" s="14">
        <v>0.02</v>
      </c>
      <c r="S21" s="14">
        <v>0.03</v>
      </c>
      <c r="T21" s="14">
        <v>0.03</v>
      </c>
      <c r="U21" s="14">
        <v>0.02</v>
      </c>
      <c r="V21" s="14">
        <v>0.02</v>
      </c>
      <c r="W21" s="14">
        <v>0.01</v>
      </c>
      <c r="X21" s="15" t="s">
        <v>375</v>
      </c>
      <c r="Y21" s="14">
        <v>0.02</v>
      </c>
      <c r="Z21" s="14">
        <v>0.03</v>
      </c>
      <c r="AA21" s="14">
        <v>0.01</v>
      </c>
      <c r="AB21" s="14">
        <v>0.02</v>
      </c>
      <c r="AC21" s="15" t="s">
        <v>375</v>
      </c>
      <c r="AD21" s="15" t="s">
        <v>375</v>
      </c>
      <c r="AE21" s="14">
        <v>0.01</v>
      </c>
      <c r="AF21" s="15" t="s">
        <v>375</v>
      </c>
    </row>
    <row r="22" spans="1:32">
      <c r="A22" s="19"/>
      <c r="B22" s="11" t="s">
        <v>550</v>
      </c>
      <c r="C22" s="12">
        <v>20035</v>
      </c>
      <c r="D22" s="12">
        <v>712</v>
      </c>
      <c r="E22" s="12">
        <v>770</v>
      </c>
      <c r="F22" s="12">
        <v>853</v>
      </c>
      <c r="G22" s="12">
        <v>913</v>
      </c>
      <c r="H22" s="12">
        <v>944</v>
      </c>
      <c r="I22" s="12">
        <v>1158</v>
      </c>
      <c r="J22" s="12">
        <v>214</v>
      </c>
      <c r="K22" s="12">
        <v>778</v>
      </c>
      <c r="L22" s="12">
        <v>886</v>
      </c>
      <c r="M22" s="12">
        <v>698</v>
      </c>
      <c r="N22" s="12">
        <v>815</v>
      </c>
      <c r="O22" s="12">
        <v>554</v>
      </c>
      <c r="P22" s="12">
        <v>769</v>
      </c>
      <c r="Q22" s="12">
        <v>838</v>
      </c>
      <c r="R22" s="12">
        <v>378</v>
      </c>
      <c r="S22" s="12">
        <v>752</v>
      </c>
      <c r="T22" s="12">
        <v>841</v>
      </c>
      <c r="U22" s="12">
        <v>395</v>
      </c>
      <c r="V22" s="12">
        <v>805</v>
      </c>
      <c r="W22" s="12">
        <v>423</v>
      </c>
      <c r="X22" s="12">
        <v>843</v>
      </c>
      <c r="Y22" s="12">
        <v>859</v>
      </c>
      <c r="Z22" s="12">
        <v>871</v>
      </c>
      <c r="AA22" s="12">
        <v>748</v>
      </c>
      <c r="AB22" s="12">
        <v>748</v>
      </c>
      <c r="AC22" s="12">
        <v>876</v>
      </c>
      <c r="AD22" s="12">
        <v>821</v>
      </c>
      <c r="AE22" s="12">
        <v>910</v>
      </c>
      <c r="AF22" s="12">
        <v>845</v>
      </c>
    </row>
    <row r="23" spans="1:32">
      <c r="A23" s="19"/>
      <c r="B23" s="13" t="s">
        <v>551</v>
      </c>
      <c r="C23" s="14">
        <v>0.76</v>
      </c>
      <c r="D23" s="14">
        <v>0.70000000000000007</v>
      </c>
      <c r="E23" s="14">
        <v>0.74</v>
      </c>
      <c r="F23" s="14">
        <v>0.8</v>
      </c>
      <c r="G23" s="14">
        <v>0.9</v>
      </c>
      <c r="H23" s="14">
        <v>0.76</v>
      </c>
      <c r="I23" s="14">
        <v>0.76</v>
      </c>
      <c r="J23" s="14">
        <v>0.72</v>
      </c>
      <c r="K23" s="14">
        <v>0.77</v>
      </c>
      <c r="L23" s="14">
        <v>0.88</v>
      </c>
      <c r="M23" s="14">
        <v>0.69000000000000006</v>
      </c>
      <c r="N23" s="14">
        <v>0.81</v>
      </c>
      <c r="O23" s="14">
        <v>0.55000000000000004</v>
      </c>
      <c r="P23" s="14">
        <v>0.77</v>
      </c>
      <c r="Q23" s="14">
        <v>0.81</v>
      </c>
      <c r="R23" s="14">
        <v>0.75</v>
      </c>
      <c r="S23" s="14">
        <v>0.75</v>
      </c>
      <c r="T23" s="14">
        <v>0.82000000000000006</v>
      </c>
      <c r="U23" s="14">
        <v>0.78</v>
      </c>
      <c r="V23" s="14">
        <v>0.78</v>
      </c>
      <c r="W23" s="14">
        <v>0.85</v>
      </c>
      <c r="X23" s="14">
        <v>0.84</v>
      </c>
      <c r="Y23" s="14">
        <v>0.85</v>
      </c>
      <c r="Z23" s="14">
        <v>0.86</v>
      </c>
      <c r="AA23" s="14">
        <v>0.72</v>
      </c>
      <c r="AB23" s="14">
        <v>0.72</v>
      </c>
      <c r="AC23" s="14">
        <v>0.87</v>
      </c>
      <c r="AD23" s="14">
        <v>0.82000000000000006</v>
      </c>
      <c r="AE23" s="14">
        <v>0.91</v>
      </c>
      <c r="AF23" s="14">
        <v>0.82000000000000006</v>
      </c>
    </row>
    <row r="24" spans="1:32">
      <c r="A24" s="19"/>
      <c r="B24" s="11" t="s">
        <v>552</v>
      </c>
      <c r="C24" s="12">
        <v>5971</v>
      </c>
      <c r="D24" s="12">
        <v>306</v>
      </c>
      <c r="E24" s="12">
        <v>244</v>
      </c>
      <c r="F24" s="12">
        <v>193</v>
      </c>
      <c r="G24" s="12">
        <v>93</v>
      </c>
      <c r="H24" s="12">
        <v>267</v>
      </c>
      <c r="I24" s="12">
        <v>347</v>
      </c>
      <c r="J24" s="12">
        <v>81</v>
      </c>
      <c r="K24" s="12">
        <v>182</v>
      </c>
      <c r="L24" s="12">
        <v>100</v>
      </c>
      <c r="M24" s="12">
        <v>297</v>
      </c>
      <c r="N24" s="12">
        <v>175</v>
      </c>
      <c r="O24" s="12">
        <v>431</v>
      </c>
      <c r="P24" s="12">
        <v>214</v>
      </c>
      <c r="Q24" s="12">
        <v>176</v>
      </c>
      <c r="R24" s="12">
        <v>115</v>
      </c>
      <c r="S24" s="12">
        <v>225</v>
      </c>
      <c r="T24" s="12">
        <v>155</v>
      </c>
      <c r="U24" s="12">
        <v>100</v>
      </c>
      <c r="V24" s="12">
        <v>202</v>
      </c>
      <c r="W24" s="12">
        <v>72</v>
      </c>
      <c r="X24" s="12">
        <v>162</v>
      </c>
      <c r="Y24" s="12">
        <v>126</v>
      </c>
      <c r="Z24" s="12">
        <v>117</v>
      </c>
      <c r="AA24" s="12">
        <v>275</v>
      </c>
      <c r="AB24" s="12">
        <v>271</v>
      </c>
      <c r="AC24" s="12">
        <v>129</v>
      </c>
      <c r="AD24" s="12">
        <v>181</v>
      </c>
      <c r="AE24" s="12">
        <v>83</v>
      </c>
      <c r="AF24" s="12">
        <v>184</v>
      </c>
    </row>
    <row r="25" spans="1:32">
      <c r="A25" s="19"/>
      <c r="B25" s="13" t="s">
        <v>553</v>
      </c>
      <c r="C25" s="14">
        <v>0.22</v>
      </c>
      <c r="D25" s="14">
        <v>0.3</v>
      </c>
      <c r="E25" s="14">
        <v>0.23</v>
      </c>
      <c r="F25" s="14">
        <v>0.18</v>
      </c>
      <c r="G25" s="14">
        <v>0.09</v>
      </c>
      <c r="H25" s="14">
        <v>0.22</v>
      </c>
      <c r="I25" s="14">
        <v>0.23</v>
      </c>
      <c r="J25" s="14">
        <v>0.27</v>
      </c>
      <c r="K25" s="14">
        <v>0.18</v>
      </c>
      <c r="L25" s="14">
        <v>0.1</v>
      </c>
      <c r="M25" s="14">
        <v>0.3</v>
      </c>
      <c r="N25" s="14">
        <v>0.17</v>
      </c>
      <c r="O25" s="14">
        <v>0.43</v>
      </c>
      <c r="P25" s="14">
        <v>0.21</v>
      </c>
      <c r="Q25" s="14">
        <v>0.17</v>
      </c>
      <c r="R25" s="14">
        <v>0.23</v>
      </c>
      <c r="S25" s="14">
        <v>0.22</v>
      </c>
      <c r="T25" s="14">
        <v>0.15</v>
      </c>
      <c r="U25" s="14">
        <v>0.2</v>
      </c>
      <c r="V25" s="14">
        <v>0.2</v>
      </c>
      <c r="W25" s="14">
        <v>0.14000000000000001</v>
      </c>
      <c r="X25" s="14">
        <v>0.16</v>
      </c>
      <c r="Y25" s="14">
        <v>0.13</v>
      </c>
      <c r="Z25" s="14">
        <v>0.11</v>
      </c>
      <c r="AA25" s="14">
        <v>0.27</v>
      </c>
      <c r="AB25" s="14">
        <v>0.26</v>
      </c>
      <c r="AC25" s="14">
        <v>0.13</v>
      </c>
      <c r="AD25" s="14">
        <v>0.18</v>
      </c>
      <c r="AE25" s="14">
        <v>0.08</v>
      </c>
      <c r="AF25" s="14">
        <v>0.18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554</v>
      </c>
      <c r="C3" s="17"/>
      <c r="D3" s="17"/>
      <c r="E3" s="17"/>
      <c r="F3" s="17"/>
      <c r="H3" s="17" t="s">
        <v>555</v>
      </c>
      <c r="I3" s="17"/>
      <c r="J3" s="17"/>
      <c r="K3" s="17"/>
      <c r="L3" s="17"/>
    </row>
    <row r="4" spans="1:32" ht="27" customHeight="1">
      <c r="B4" s="17" t="s">
        <v>556</v>
      </c>
      <c r="C4" s="17"/>
      <c r="D4" s="17"/>
      <c r="E4" s="17"/>
      <c r="F4" s="17"/>
      <c r="H4" s="17" t="s">
        <v>557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HYPERLINK("#Content!A25","&lt;&lt;Back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542</v>
      </c>
      <c r="C12" s="12">
        <v>2301</v>
      </c>
      <c r="D12" s="12">
        <v>54</v>
      </c>
      <c r="E12" s="12">
        <v>136</v>
      </c>
      <c r="F12" s="12">
        <v>102</v>
      </c>
      <c r="G12" s="12">
        <v>289</v>
      </c>
      <c r="H12" s="12">
        <v>53</v>
      </c>
      <c r="I12" s="12">
        <v>67</v>
      </c>
      <c r="J12" s="12">
        <v>14</v>
      </c>
      <c r="K12" s="12">
        <v>65</v>
      </c>
      <c r="L12" s="12">
        <v>297</v>
      </c>
      <c r="M12" s="12">
        <v>45</v>
      </c>
      <c r="N12" s="12">
        <v>111</v>
      </c>
      <c r="O12" s="12">
        <v>32</v>
      </c>
      <c r="P12" s="12">
        <v>185</v>
      </c>
      <c r="Q12" s="12">
        <v>104</v>
      </c>
      <c r="R12" s="12">
        <v>20</v>
      </c>
      <c r="S12" s="12">
        <v>88</v>
      </c>
      <c r="T12" s="12">
        <v>145</v>
      </c>
      <c r="U12" s="12">
        <v>92</v>
      </c>
      <c r="V12" s="12">
        <v>100</v>
      </c>
      <c r="W12" s="12">
        <v>67</v>
      </c>
      <c r="X12" s="12">
        <v>70</v>
      </c>
      <c r="Y12" s="12">
        <v>220</v>
      </c>
      <c r="Z12" s="12">
        <v>135</v>
      </c>
      <c r="AA12" s="12">
        <v>71</v>
      </c>
      <c r="AB12" s="12">
        <v>123</v>
      </c>
      <c r="AC12" s="12">
        <v>148</v>
      </c>
      <c r="AD12" s="12">
        <v>111</v>
      </c>
      <c r="AE12" s="12">
        <v>93</v>
      </c>
      <c r="AF12" s="12">
        <v>64</v>
      </c>
    </row>
    <row r="13" spans="1:32">
      <c r="A13" s="19"/>
      <c r="B13" s="13" t="s">
        <v>543</v>
      </c>
      <c r="C13" s="14">
        <v>0.09</v>
      </c>
      <c r="D13" s="14">
        <v>0.05</v>
      </c>
      <c r="E13" s="14">
        <v>0.13</v>
      </c>
      <c r="F13" s="14">
        <v>0.1</v>
      </c>
      <c r="G13" s="14">
        <v>0.28000000000000003</v>
      </c>
      <c r="H13" s="14">
        <v>0.04</v>
      </c>
      <c r="I13" s="14">
        <v>0.04</v>
      </c>
      <c r="J13" s="14">
        <v>0.05</v>
      </c>
      <c r="K13" s="14">
        <v>0.06</v>
      </c>
      <c r="L13" s="14">
        <v>0.3</v>
      </c>
      <c r="M13" s="14">
        <v>0.05</v>
      </c>
      <c r="N13" s="14">
        <v>0.11</v>
      </c>
      <c r="O13" s="14">
        <v>0.03</v>
      </c>
      <c r="P13" s="14">
        <v>0.18</v>
      </c>
      <c r="Q13" s="14">
        <v>0.1</v>
      </c>
      <c r="R13" s="14">
        <v>0.04</v>
      </c>
      <c r="S13" s="14">
        <v>0.09</v>
      </c>
      <c r="T13" s="14">
        <v>0.14000000000000001</v>
      </c>
      <c r="U13" s="14">
        <v>0.18</v>
      </c>
      <c r="V13" s="14">
        <v>0.1</v>
      </c>
      <c r="W13" s="14">
        <v>0.14000000000000001</v>
      </c>
      <c r="X13" s="14">
        <v>7.0000000000000007E-2</v>
      </c>
      <c r="Y13" s="14">
        <v>0.22</v>
      </c>
      <c r="Z13" s="14">
        <v>0.13</v>
      </c>
      <c r="AA13" s="14">
        <v>7.0000000000000007E-2</v>
      </c>
      <c r="AB13" s="14">
        <v>0.12</v>
      </c>
      <c r="AC13" s="14">
        <v>0.15</v>
      </c>
      <c r="AD13" s="14">
        <v>0.11</v>
      </c>
      <c r="AE13" s="14">
        <v>0.09</v>
      </c>
      <c r="AF13" s="14">
        <v>0.06</v>
      </c>
    </row>
    <row r="14" spans="1:32">
      <c r="A14" s="19"/>
      <c r="B14" s="11" t="s">
        <v>544</v>
      </c>
      <c r="C14" s="12">
        <v>12685</v>
      </c>
      <c r="D14" s="12">
        <v>478</v>
      </c>
      <c r="E14" s="12">
        <v>443</v>
      </c>
      <c r="F14" s="12">
        <v>634</v>
      </c>
      <c r="G14" s="12">
        <v>600</v>
      </c>
      <c r="H14" s="12">
        <v>608</v>
      </c>
      <c r="I14" s="12">
        <v>710</v>
      </c>
      <c r="J14" s="12">
        <v>102</v>
      </c>
      <c r="K14" s="12">
        <v>553</v>
      </c>
      <c r="L14" s="12">
        <v>527</v>
      </c>
      <c r="M14" s="12">
        <v>392</v>
      </c>
      <c r="N14" s="12">
        <v>398</v>
      </c>
      <c r="O14" s="12">
        <v>330</v>
      </c>
      <c r="P14" s="12">
        <v>493</v>
      </c>
      <c r="Q14" s="12">
        <v>561</v>
      </c>
      <c r="R14" s="12">
        <v>222</v>
      </c>
      <c r="S14" s="12">
        <v>496</v>
      </c>
      <c r="T14" s="12">
        <v>585</v>
      </c>
      <c r="U14" s="12">
        <v>319</v>
      </c>
      <c r="V14" s="12">
        <v>488</v>
      </c>
      <c r="W14" s="12">
        <v>258</v>
      </c>
      <c r="X14" s="12">
        <v>581</v>
      </c>
      <c r="Y14" s="12">
        <v>477</v>
      </c>
      <c r="Z14" s="12">
        <v>665</v>
      </c>
      <c r="AA14" s="12">
        <v>531</v>
      </c>
      <c r="AB14" s="12">
        <v>492</v>
      </c>
      <c r="AC14" s="12">
        <v>512</v>
      </c>
      <c r="AD14" s="12">
        <v>471</v>
      </c>
      <c r="AE14" s="12">
        <v>595</v>
      </c>
      <c r="AF14" s="12">
        <v>652</v>
      </c>
    </row>
    <row r="15" spans="1:32">
      <c r="A15" s="19"/>
      <c r="B15" s="13" t="s">
        <v>545</v>
      </c>
      <c r="C15" s="14">
        <v>0.48</v>
      </c>
      <c r="D15" s="14">
        <v>0.47</v>
      </c>
      <c r="E15" s="14">
        <v>0.42</v>
      </c>
      <c r="F15" s="14">
        <v>0.59</v>
      </c>
      <c r="G15" s="14">
        <v>0.59</v>
      </c>
      <c r="H15" s="14">
        <v>0.49</v>
      </c>
      <c r="I15" s="14">
        <v>0.47</v>
      </c>
      <c r="J15" s="14">
        <v>0.34</v>
      </c>
      <c r="K15" s="14">
        <v>0.55000000000000004</v>
      </c>
      <c r="L15" s="14">
        <v>0.52</v>
      </c>
      <c r="M15" s="14">
        <v>0.39</v>
      </c>
      <c r="N15" s="14">
        <v>0.39</v>
      </c>
      <c r="O15" s="14">
        <v>0.33</v>
      </c>
      <c r="P15" s="14">
        <v>0.49</v>
      </c>
      <c r="Q15" s="14">
        <v>0.54</v>
      </c>
      <c r="R15" s="14">
        <v>0.44</v>
      </c>
      <c r="S15" s="14">
        <v>0.5</v>
      </c>
      <c r="T15" s="14">
        <v>0.57000000000000006</v>
      </c>
      <c r="U15" s="14">
        <v>0.63</v>
      </c>
      <c r="V15" s="14">
        <v>0.47</v>
      </c>
      <c r="W15" s="14">
        <v>0.51</v>
      </c>
      <c r="X15" s="14">
        <v>0.57999999999999996</v>
      </c>
      <c r="Y15" s="14">
        <v>0.47</v>
      </c>
      <c r="Z15" s="14">
        <v>0.65</v>
      </c>
      <c r="AA15" s="14">
        <v>0.51</v>
      </c>
      <c r="AB15" s="14">
        <v>0.47</v>
      </c>
      <c r="AC15" s="14">
        <v>0.51</v>
      </c>
      <c r="AD15" s="14">
        <v>0.47</v>
      </c>
      <c r="AE15" s="14">
        <v>0.59</v>
      </c>
      <c r="AF15" s="14">
        <v>0.63</v>
      </c>
    </row>
    <row r="16" spans="1:32">
      <c r="A16" s="19"/>
      <c r="B16" s="11" t="s">
        <v>546</v>
      </c>
      <c r="C16" s="12">
        <v>8981</v>
      </c>
      <c r="D16" s="12">
        <v>370</v>
      </c>
      <c r="E16" s="12">
        <v>314</v>
      </c>
      <c r="F16" s="12">
        <v>274</v>
      </c>
      <c r="G16" s="12">
        <v>99</v>
      </c>
      <c r="H16" s="12">
        <v>461</v>
      </c>
      <c r="I16" s="12">
        <v>601</v>
      </c>
      <c r="J16" s="12">
        <v>140</v>
      </c>
      <c r="K16" s="12">
        <v>251</v>
      </c>
      <c r="L16" s="12">
        <v>136</v>
      </c>
      <c r="M16" s="12">
        <v>422</v>
      </c>
      <c r="N16" s="12">
        <v>377</v>
      </c>
      <c r="O16" s="12">
        <v>467</v>
      </c>
      <c r="P16" s="12">
        <v>227</v>
      </c>
      <c r="Q16" s="12">
        <v>319</v>
      </c>
      <c r="R16" s="12">
        <v>199</v>
      </c>
      <c r="S16" s="12">
        <v>321</v>
      </c>
      <c r="T16" s="12">
        <v>234</v>
      </c>
      <c r="U16" s="12">
        <v>76</v>
      </c>
      <c r="V16" s="12">
        <v>356</v>
      </c>
      <c r="W16" s="12">
        <v>148</v>
      </c>
      <c r="X16" s="12">
        <v>302</v>
      </c>
      <c r="Y16" s="12">
        <v>237</v>
      </c>
      <c r="Z16" s="12">
        <v>168</v>
      </c>
      <c r="AA16" s="12">
        <v>400</v>
      </c>
      <c r="AB16" s="12">
        <v>333</v>
      </c>
      <c r="AC16" s="12">
        <v>264</v>
      </c>
      <c r="AD16" s="12">
        <v>316</v>
      </c>
      <c r="AE16" s="12">
        <v>277</v>
      </c>
      <c r="AF16" s="12">
        <v>272</v>
      </c>
    </row>
    <row r="17" spans="1:32">
      <c r="A17" s="19"/>
      <c r="B17" s="13" t="s">
        <v>547</v>
      </c>
      <c r="C17" s="14">
        <v>0.34</v>
      </c>
      <c r="D17" s="14">
        <v>0.36</v>
      </c>
      <c r="E17" s="14">
        <v>0.3</v>
      </c>
      <c r="F17" s="14">
        <v>0.26</v>
      </c>
      <c r="G17" s="14">
        <v>0.1</v>
      </c>
      <c r="H17" s="14">
        <v>0.38</v>
      </c>
      <c r="I17" s="14">
        <v>0.39</v>
      </c>
      <c r="J17" s="14">
        <v>0.47</v>
      </c>
      <c r="K17" s="14">
        <v>0.25</v>
      </c>
      <c r="L17" s="14">
        <v>0.13</v>
      </c>
      <c r="M17" s="14">
        <v>0.42</v>
      </c>
      <c r="N17" s="14">
        <v>0.37</v>
      </c>
      <c r="O17" s="14">
        <v>0.46</v>
      </c>
      <c r="P17" s="14">
        <v>0.23</v>
      </c>
      <c r="Q17" s="14">
        <v>0.31</v>
      </c>
      <c r="R17" s="14">
        <v>0.4</v>
      </c>
      <c r="S17" s="14">
        <v>0.32</v>
      </c>
      <c r="T17" s="14">
        <v>0.23</v>
      </c>
      <c r="U17" s="14">
        <v>0.15</v>
      </c>
      <c r="V17" s="14">
        <v>0.35</v>
      </c>
      <c r="W17" s="14">
        <v>0.3</v>
      </c>
      <c r="X17" s="14">
        <v>0.3</v>
      </c>
      <c r="Y17" s="14">
        <v>0.24</v>
      </c>
      <c r="Z17" s="14">
        <v>0.17</v>
      </c>
      <c r="AA17" s="14">
        <v>0.38</v>
      </c>
      <c r="AB17" s="14">
        <v>0.32</v>
      </c>
      <c r="AC17" s="14">
        <v>0.26</v>
      </c>
      <c r="AD17" s="14">
        <v>0.32</v>
      </c>
      <c r="AE17" s="14">
        <v>0.28000000000000003</v>
      </c>
      <c r="AF17" s="14">
        <v>0.27</v>
      </c>
    </row>
    <row r="18" spans="1:32">
      <c r="A18" s="19"/>
      <c r="B18" s="11" t="s">
        <v>548</v>
      </c>
      <c r="C18" s="12">
        <v>1961</v>
      </c>
      <c r="D18" s="12">
        <v>113</v>
      </c>
      <c r="E18" s="12">
        <v>111</v>
      </c>
      <c r="F18" s="12">
        <v>37</v>
      </c>
      <c r="G18" s="12">
        <v>20</v>
      </c>
      <c r="H18" s="12">
        <v>87</v>
      </c>
      <c r="I18" s="12">
        <v>122</v>
      </c>
      <c r="J18" s="12">
        <v>36</v>
      </c>
      <c r="K18" s="12">
        <v>82</v>
      </c>
      <c r="L18" s="12">
        <v>28</v>
      </c>
      <c r="M18" s="12">
        <v>143</v>
      </c>
      <c r="N18" s="12">
        <v>90</v>
      </c>
      <c r="O18" s="12">
        <v>156</v>
      </c>
      <c r="P18" s="12">
        <v>78</v>
      </c>
      <c r="Q18" s="12">
        <v>33</v>
      </c>
      <c r="R18" s="12">
        <v>51</v>
      </c>
      <c r="S18" s="12">
        <v>64</v>
      </c>
      <c r="T18" s="12">
        <v>31</v>
      </c>
      <c r="U18" s="12">
        <v>11</v>
      </c>
      <c r="V18" s="12">
        <v>63</v>
      </c>
      <c r="W18" s="12">
        <v>22</v>
      </c>
      <c r="X18" s="12">
        <v>51</v>
      </c>
      <c r="Y18" s="12">
        <v>43</v>
      </c>
      <c r="Z18" s="12">
        <v>18</v>
      </c>
      <c r="AA18" s="12">
        <v>17</v>
      </c>
      <c r="AB18" s="12">
        <v>61</v>
      </c>
      <c r="AC18" s="12">
        <v>62</v>
      </c>
      <c r="AD18" s="12">
        <v>102</v>
      </c>
      <c r="AE18" s="12">
        <v>26</v>
      </c>
      <c r="AF18" s="12">
        <v>39</v>
      </c>
    </row>
    <row r="19" spans="1:32">
      <c r="A19" s="19"/>
      <c r="B19" s="13" t="s">
        <v>549</v>
      </c>
      <c r="C19" s="14">
        <v>7.0000000000000007E-2</v>
      </c>
      <c r="D19" s="14">
        <v>0.11</v>
      </c>
      <c r="E19" s="14">
        <v>0.11</v>
      </c>
      <c r="F19" s="14">
        <v>0.03</v>
      </c>
      <c r="G19" s="14">
        <v>0.02</v>
      </c>
      <c r="H19" s="14">
        <v>7.0000000000000007E-2</v>
      </c>
      <c r="I19" s="14">
        <v>0.08</v>
      </c>
      <c r="J19" s="14">
        <v>0.12</v>
      </c>
      <c r="K19" s="14">
        <v>0.08</v>
      </c>
      <c r="L19" s="14">
        <v>0.03</v>
      </c>
      <c r="M19" s="14">
        <v>0.14000000000000001</v>
      </c>
      <c r="N19" s="14">
        <v>0.09</v>
      </c>
      <c r="O19" s="14">
        <v>0.16</v>
      </c>
      <c r="P19" s="14">
        <v>0.08</v>
      </c>
      <c r="Q19" s="14">
        <v>0.03</v>
      </c>
      <c r="R19" s="14">
        <v>0.1</v>
      </c>
      <c r="S19" s="14">
        <v>0.06</v>
      </c>
      <c r="T19" s="14">
        <v>0.03</v>
      </c>
      <c r="U19" s="14">
        <v>0.02</v>
      </c>
      <c r="V19" s="14">
        <v>0.06</v>
      </c>
      <c r="W19" s="14">
        <v>0.04</v>
      </c>
      <c r="X19" s="14">
        <v>0.05</v>
      </c>
      <c r="Y19" s="14">
        <v>0.04</v>
      </c>
      <c r="Z19" s="14">
        <v>0.02</v>
      </c>
      <c r="AA19" s="14">
        <v>0.02</v>
      </c>
      <c r="AB19" s="14">
        <v>0.06</v>
      </c>
      <c r="AC19" s="14">
        <v>0.06</v>
      </c>
      <c r="AD19" s="14">
        <v>0.1</v>
      </c>
      <c r="AE19" s="14">
        <v>0.03</v>
      </c>
      <c r="AF19" s="14">
        <v>0.04</v>
      </c>
    </row>
    <row r="20" spans="1:32">
      <c r="A20" s="19"/>
      <c r="B20" s="11" t="s">
        <v>386</v>
      </c>
      <c r="C20" s="12">
        <v>525</v>
      </c>
      <c r="D20" s="12">
        <v>6</v>
      </c>
      <c r="E20" s="12">
        <v>41</v>
      </c>
      <c r="F20" s="12">
        <v>18</v>
      </c>
      <c r="G20" s="12">
        <v>7</v>
      </c>
      <c r="H20" s="12">
        <v>20</v>
      </c>
      <c r="I20" s="12">
        <v>27</v>
      </c>
      <c r="J20" s="12">
        <v>6</v>
      </c>
      <c r="K20" s="12">
        <v>55</v>
      </c>
      <c r="L20" s="12">
        <v>18</v>
      </c>
      <c r="M20" s="12">
        <v>5</v>
      </c>
      <c r="N20" s="12">
        <v>35</v>
      </c>
      <c r="O20" s="12">
        <v>19</v>
      </c>
      <c r="P20" s="12">
        <v>19</v>
      </c>
      <c r="Q20" s="12">
        <v>15</v>
      </c>
      <c r="R20" s="12">
        <v>8</v>
      </c>
      <c r="S20" s="12">
        <v>34</v>
      </c>
      <c r="T20" s="12">
        <v>28</v>
      </c>
      <c r="U20" s="12">
        <v>10</v>
      </c>
      <c r="V20" s="12">
        <v>19</v>
      </c>
      <c r="W20" s="12">
        <v>7</v>
      </c>
      <c r="X20" s="12">
        <v>6</v>
      </c>
      <c r="Y20" s="12">
        <v>26</v>
      </c>
      <c r="Z20" s="12">
        <v>31</v>
      </c>
      <c r="AA20" s="12">
        <v>19</v>
      </c>
      <c r="AB20" s="12">
        <v>32</v>
      </c>
      <c r="AC20" s="12">
        <v>19</v>
      </c>
      <c r="AD20" s="12">
        <v>3</v>
      </c>
      <c r="AE20" s="12">
        <v>9</v>
      </c>
      <c r="AF20" s="12">
        <v>3</v>
      </c>
    </row>
    <row r="21" spans="1:32">
      <c r="A21" s="19"/>
      <c r="B21" s="13" t="s">
        <v>399</v>
      </c>
      <c r="C21" s="14">
        <v>0.02</v>
      </c>
      <c r="D21" s="14">
        <v>0.01</v>
      </c>
      <c r="E21" s="14">
        <v>0.04</v>
      </c>
      <c r="F21" s="14">
        <v>0.02</v>
      </c>
      <c r="G21" s="14">
        <v>0.01</v>
      </c>
      <c r="H21" s="14">
        <v>0.02</v>
      </c>
      <c r="I21" s="14">
        <v>0.02</v>
      </c>
      <c r="J21" s="14">
        <v>0.02</v>
      </c>
      <c r="K21" s="14">
        <v>0.06</v>
      </c>
      <c r="L21" s="14">
        <v>0.02</v>
      </c>
      <c r="M21" s="15" t="s">
        <v>375</v>
      </c>
      <c r="N21" s="14">
        <v>0.04</v>
      </c>
      <c r="O21" s="14">
        <v>0.02</v>
      </c>
      <c r="P21" s="14">
        <v>0.02</v>
      </c>
      <c r="Q21" s="14">
        <v>0.02</v>
      </c>
      <c r="R21" s="14">
        <v>0.02</v>
      </c>
      <c r="S21" s="14">
        <v>0.03</v>
      </c>
      <c r="T21" s="14">
        <v>0.03</v>
      </c>
      <c r="U21" s="14">
        <v>0.02</v>
      </c>
      <c r="V21" s="14">
        <v>0.02</v>
      </c>
      <c r="W21" s="14">
        <v>0.01</v>
      </c>
      <c r="X21" s="15" t="s">
        <v>375</v>
      </c>
      <c r="Y21" s="14">
        <v>0.03</v>
      </c>
      <c r="Z21" s="14">
        <v>0.03</v>
      </c>
      <c r="AA21" s="14">
        <v>0.02</v>
      </c>
      <c r="AB21" s="14">
        <v>0.03</v>
      </c>
      <c r="AC21" s="14">
        <v>0.02</v>
      </c>
      <c r="AD21" s="15" t="s">
        <v>375</v>
      </c>
      <c r="AE21" s="14">
        <v>0.01</v>
      </c>
      <c r="AF21" s="15" t="s">
        <v>375</v>
      </c>
    </row>
    <row r="22" spans="1:32">
      <c r="A22" s="19"/>
      <c r="B22" s="11" t="s">
        <v>550</v>
      </c>
      <c r="C22" s="12">
        <v>14986</v>
      </c>
      <c r="D22" s="12">
        <v>532</v>
      </c>
      <c r="E22" s="12">
        <v>579</v>
      </c>
      <c r="F22" s="12">
        <v>736</v>
      </c>
      <c r="G22" s="12">
        <v>889</v>
      </c>
      <c r="H22" s="12">
        <v>661</v>
      </c>
      <c r="I22" s="12">
        <v>777</v>
      </c>
      <c r="J22" s="12">
        <v>116</v>
      </c>
      <c r="K22" s="12">
        <v>618</v>
      </c>
      <c r="L22" s="12">
        <v>824</v>
      </c>
      <c r="M22" s="12">
        <v>437</v>
      </c>
      <c r="N22" s="12">
        <v>509</v>
      </c>
      <c r="O22" s="12">
        <v>362</v>
      </c>
      <c r="P22" s="12">
        <v>678</v>
      </c>
      <c r="Q22" s="12">
        <v>665</v>
      </c>
      <c r="R22" s="12">
        <v>242</v>
      </c>
      <c r="S22" s="12">
        <v>584</v>
      </c>
      <c r="T22" s="12">
        <v>730</v>
      </c>
      <c r="U22" s="12">
        <v>411</v>
      </c>
      <c r="V22" s="12">
        <v>588</v>
      </c>
      <c r="W22" s="12">
        <v>325</v>
      </c>
      <c r="X22" s="12">
        <v>651</v>
      </c>
      <c r="Y22" s="12">
        <v>697</v>
      </c>
      <c r="Z22" s="12">
        <v>800</v>
      </c>
      <c r="AA22" s="12">
        <v>602</v>
      </c>
      <c r="AB22" s="12">
        <v>615</v>
      </c>
      <c r="AC22" s="12">
        <v>660</v>
      </c>
      <c r="AD22" s="12">
        <v>582</v>
      </c>
      <c r="AE22" s="12">
        <v>688</v>
      </c>
      <c r="AF22" s="12">
        <v>716</v>
      </c>
    </row>
    <row r="23" spans="1:32">
      <c r="A23" s="19"/>
      <c r="B23" s="13" t="s">
        <v>551</v>
      </c>
      <c r="C23" s="14">
        <v>0.57000000000000006</v>
      </c>
      <c r="D23" s="14">
        <v>0.52</v>
      </c>
      <c r="E23" s="14">
        <v>0.55000000000000004</v>
      </c>
      <c r="F23" s="14">
        <v>0.69000000000000006</v>
      </c>
      <c r="G23" s="14">
        <v>0.87</v>
      </c>
      <c r="H23" s="14">
        <v>0.53</v>
      </c>
      <c r="I23" s="14">
        <v>0.51</v>
      </c>
      <c r="J23" s="14">
        <v>0.39</v>
      </c>
      <c r="K23" s="14">
        <v>0.61</v>
      </c>
      <c r="L23" s="14">
        <v>0.82000000000000006</v>
      </c>
      <c r="M23" s="14">
        <v>0.44</v>
      </c>
      <c r="N23" s="14">
        <v>0.5</v>
      </c>
      <c r="O23" s="14">
        <v>0.36</v>
      </c>
      <c r="P23" s="14">
        <v>0.67</v>
      </c>
      <c r="Q23" s="14">
        <v>0.64</v>
      </c>
      <c r="R23" s="14">
        <v>0.48</v>
      </c>
      <c r="S23" s="14">
        <v>0.59</v>
      </c>
      <c r="T23" s="14">
        <v>0.71</v>
      </c>
      <c r="U23" s="14">
        <v>0.81</v>
      </c>
      <c r="V23" s="14">
        <v>0.57000000000000006</v>
      </c>
      <c r="W23" s="14">
        <v>0.65</v>
      </c>
      <c r="X23" s="14">
        <v>0.65</v>
      </c>
      <c r="Y23" s="14">
        <v>0.69000000000000006</v>
      </c>
      <c r="Z23" s="14">
        <v>0.78</v>
      </c>
      <c r="AA23" s="14">
        <v>0.57999999999999996</v>
      </c>
      <c r="AB23" s="14">
        <v>0.59</v>
      </c>
      <c r="AC23" s="14">
        <v>0.66</v>
      </c>
      <c r="AD23" s="14">
        <v>0.57999999999999996</v>
      </c>
      <c r="AE23" s="14">
        <v>0.68</v>
      </c>
      <c r="AF23" s="14">
        <v>0.69000000000000006</v>
      </c>
    </row>
    <row r="24" spans="1:32">
      <c r="A24" s="19"/>
      <c r="B24" s="11" t="s">
        <v>552</v>
      </c>
      <c r="C24" s="12">
        <v>10942</v>
      </c>
      <c r="D24" s="12">
        <v>483</v>
      </c>
      <c r="E24" s="12">
        <v>425</v>
      </c>
      <c r="F24" s="12">
        <v>311</v>
      </c>
      <c r="G24" s="12">
        <v>119</v>
      </c>
      <c r="H24" s="12">
        <v>548</v>
      </c>
      <c r="I24" s="12">
        <v>723</v>
      </c>
      <c r="J24" s="12">
        <v>176</v>
      </c>
      <c r="K24" s="12">
        <v>333</v>
      </c>
      <c r="L24" s="12">
        <v>164</v>
      </c>
      <c r="M24" s="12">
        <v>565</v>
      </c>
      <c r="N24" s="12">
        <v>467</v>
      </c>
      <c r="O24" s="12">
        <v>623</v>
      </c>
      <c r="P24" s="12">
        <v>305</v>
      </c>
      <c r="Q24" s="12">
        <v>352</v>
      </c>
      <c r="R24" s="12">
        <v>250</v>
      </c>
      <c r="S24" s="12">
        <v>385</v>
      </c>
      <c r="T24" s="12">
        <v>265</v>
      </c>
      <c r="U24" s="12">
        <v>87</v>
      </c>
      <c r="V24" s="12">
        <v>419</v>
      </c>
      <c r="W24" s="12">
        <v>170</v>
      </c>
      <c r="X24" s="12">
        <v>353</v>
      </c>
      <c r="Y24" s="12">
        <v>280</v>
      </c>
      <c r="Z24" s="12">
        <v>186</v>
      </c>
      <c r="AA24" s="12">
        <v>417</v>
      </c>
      <c r="AB24" s="12">
        <v>394</v>
      </c>
      <c r="AC24" s="12">
        <v>326</v>
      </c>
      <c r="AD24" s="12">
        <v>418</v>
      </c>
      <c r="AE24" s="12">
        <v>303</v>
      </c>
      <c r="AF24" s="12">
        <v>311</v>
      </c>
    </row>
    <row r="25" spans="1:32">
      <c r="A25" s="19"/>
      <c r="B25" s="13" t="s">
        <v>553</v>
      </c>
      <c r="C25" s="14">
        <v>0.41</v>
      </c>
      <c r="D25" s="14">
        <v>0.47</v>
      </c>
      <c r="E25" s="14">
        <v>0.41</v>
      </c>
      <c r="F25" s="14">
        <v>0.28999999999999998</v>
      </c>
      <c r="G25" s="14">
        <v>0.12</v>
      </c>
      <c r="H25" s="14">
        <v>0.45</v>
      </c>
      <c r="I25" s="14">
        <v>0.47</v>
      </c>
      <c r="J25" s="14">
        <v>0.59</v>
      </c>
      <c r="K25" s="14">
        <v>0.33</v>
      </c>
      <c r="L25" s="14">
        <v>0.16</v>
      </c>
      <c r="M25" s="14">
        <v>0.56000000000000005</v>
      </c>
      <c r="N25" s="14">
        <v>0.46</v>
      </c>
      <c r="O25" s="14">
        <v>0.62</v>
      </c>
      <c r="P25" s="14">
        <v>0.31</v>
      </c>
      <c r="Q25" s="14">
        <v>0.34</v>
      </c>
      <c r="R25" s="14">
        <v>0.5</v>
      </c>
      <c r="S25" s="14">
        <v>0.38</v>
      </c>
      <c r="T25" s="14">
        <v>0.26</v>
      </c>
      <c r="U25" s="14">
        <v>0.17</v>
      </c>
      <c r="V25" s="14">
        <v>0.41</v>
      </c>
      <c r="W25" s="14">
        <v>0.34</v>
      </c>
      <c r="X25" s="14">
        <v>0.35</v>
      </c>
      <c r="Y25" s="14">
        <v>0.28000000000000003</v>
      </c>
      <c r="Z25" s="14">
        <v>0.19</v>
      </c>
      <c r="AA25" s="14">
        <v>0.4</v>
      </c>
      <c r="AB25" s="14">
        <v>0.38</v>
      </c>
      <c r="AC25" s="14">
        <v>0.32</v>
      </c>
      <c r="AD25" s="14">
        <v>0.42</v>
      </c>
      <c r="AE25" s="14">
        <v>0.31</v>
      </c>
      <c r="AF25" s="14">
        <v>0.31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558</v>
      </c>
      <c r="C3" s="17"/>
      <c r="D3" s="17"/>
      <c r="E3" s="17"/>
      <c r="F3" s="17"/>
      <c r="H3" s="17" t="s">
        <v>559</v>
      </c>
      <c r="I3" s="17"/>
      <c r="J3" s="17"/>
      <c r="K3" s="17"/>
      <c r="L3" s="17"/>
    </row>
    <row r="4" spans="1:32" ht="27" customHeight="1">
      <c r="B4" s="17" t="s">
        <v>560</v>
      </c>
      <c r="C4" s="17"/>
      <c r="D4" s="17"/>
      <c r="E4" s="17"/>
      <c r="F4" s="17"/>
      <c r="H4" s="17" t="s">
        <v>561</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HYPERLINK("#Content!A26","&lt;&lt;Back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542</v>
      </c>
      <c r="C12" s="12">
        <v>2077</v>
      </c>
      <c r="D12" s="12">
        <v>50</v>
      </c>
      <c r="E12" s="12">
        <v>133</v>
      </c>
      <c r="F12" s="12">
        <v>75</v>
      </c>
      <c r="G12" s="12">
        <v>147</v>
      </c>
      <c r="H12" s="12">
        <v>49</v>
      </c>
      <c r="I12" s="12">
        <v>58</v>
      </c>
      <c r="J12" s="12">
        <v>9</v>
      </c>
      <c r="K12" s="12">
        <v>59</v>
      </c>
      <c r="L12" s="12">
        <v>248</v>
      </c>
      <c r="M12" s="12">
        <v>40</v>
      </c>
      <c r="N12" s="12">
        <v>110</v>
      </c>
      <c r="O12" s="12">
        <v>32</v>
      </c>
      <c r="P12" s="12">
        <v>144</v>
      </c>
      <c r="Q12" s="12">
        <v>126</v>
      </c>
      <c r="R12" s="12">
        <v>10</v>
      </c>
      <c r="S12" s="12">
        <v>92</v>
      </c>
      <c r="T12" s="12">
        <v>139</v>
      </c>
      <c r="U12" s="12">
        <v>42</v>
      </c>
      <c r="V12" s="12">
        <v>82</v>
      </c>
      <c r="W12" s="12">
        <v>73</v>
      </c>
      <c r="X12" s="12">
        <v>57</v>
      </c>
      <c r="Y12" s="12">
        <v>155</v>
      </c>
      <c r="Z12" s="12">
        <v>108</v>
      </c>
      <c r="AA12" s="12">
        <v>73</v>
      </c>
      <c r="AB12" s="12">
        <v>109</v>
      </c>
      <c r="AC12" s="12">
        <v>111</v>
      </c>
      <c r="AD12" s="12">
        <v>96</v>
      </c>
      <c r="AE12" s="12">
        <v>37</v>
      </c>
      <c r="AF12" s="12">
        <v>38</v>
      </c>
    </row>
    <row r="13" spans="1:32">
      <c r="A13" s="19"/>
      <c r="B13" s="13" t="s">
        <v>543</v>
      </c>
      <c r="C13" s="14">
        <v>0.08</v>
      </c>
      <c r="D13" s="14">
        <v>0.05</v>
      </c>
      <c r="E13" s="14">
        <v>0.13</v>
      </c>
      <c r="F13" s="14">
        <v>7.0000000000000007E-2</v>
      </c>
      <c r="G13" s="14">
        <v>0.14000000000000001</v>
      </c>
      <c r="H13" s="14">
        <v>0.04</v>
      </c>
      <c r="I13" s="14">
        <v>0.04</v>
      </c>
      <c r="J13" s="14">
        <v>0.03</v>
      </c>
      <c r="K13" s="14">
        <v>0.06</v>
      </c>
      <c r="L13" s="14">
        <v>0.25</v>
      </c>
      <c r="M13" s="14">
        <v>0.04</v>
      </c>
      <c r="N13" s="14">
        <v>0.11</v>
      </c>
      <c r="O13" s="14">
        <v>0.03</v>
      </c>
      <c r="P13" s="14">
        <v>0.14000000000000001</v>
      </c>
      <c r="Q13" s="14">
        <v>0.12</v>
      </c>
      <c r="R13" s="14">
        <v>0.02</v>
      </c>
      <c r="S13" s="14">
        <v>0.09</v>
      </c>
      <c r="T13" s="14">
        <v>0.14000000000000001</v>
      </c>
      <c r="U13" s="14">
        <v>0.08</v>
      </c>
      <c r="V13" s="14">
        <v>0.08</v>
      </c>
      <c r="W13" s="14">
        <v>0.15</v>
      </c>
      <c r="X13" s="14">
        <v>0.06</v>
      </c>
      <c r="Y13" s="14">
        <v>0.16</v>
      </c>
      <c r="Z13" s="14">
        <v>0.1</v>
      </c>
      <c r="AA13" s="14">
        <v>7.0000000000000007E-2</v>
      </c>
      <c r="AB13" s="14">
        <v>0.11</v>
      </c>
      <c r="AC13" s="14">
        <v>0.11</v>
      </c>
      <c r="AD13" s="14">
        <v>0.1</v>
      </c>
      <c r="AE13" s="14">
        <v>0.04</v>
      </c>
      <c r="AF13" s="14">
        <v>0.04</v>
      </c>
    </row>
    <row r="14" spans="1:32">
      <c r="A14" s="19"/>
      <c r="B14" s="11" t="s">
        <v>544</v>
      </c>
      <c r="C14" s="12">
        <v>13091</v>
      </c>
      <c r="D14" s="12">
        <v>474</v>
      </c>
      <c r="E14" s="12">
        <v>419</v>
      </c>
      <c r="F14" s="12">
        <v>485</v>
      </c>
      <c r="G14" s="12">
        <v>663</v>
      </c>
      <c r="H14" s="12">
        <v>637</v>
      </c>
      <c r="I14" s="12">
        <v>751</v>
      </c>
      <c r="J14" s="12">
        <v>114</v>
      </c>
      <c r="K14" s="12">
        <v>546</v>
      </c>
      <c r="L14" s="12">
        <v>530</v>
      </c>
      <c r="M14" s="12">
        <v>408</v>
      </c>
      <c r="N14" s="12">
        <v>459</v>
      </c>
      <c r="O14" s="12">
        <v>376</v>
      </c>
      <c r="P14" s="12">
        <v>468</v>
      </c>
      <c r="Q14" s="12">
        <v>566</v>
      </c>
      <c r="R14" s="12">
        <v>232</v>
      </c>
      <c r="S14" s="12">
        <v>554</v>
      </c>
      <c r="T14" s="12">
        <v>584</v>
      </c>
      <c r="U14" s="12">
        <v>237</v>
      </c>
      <c r="V14" s="12">
        <v>570</v>
      </c>
      <c r="W14" s="12">
        <v>277</v>
      </c>
      <c r="X14" s="12">
        <v>636</v>
      </c>
      <c r="Y14" s="12">
        <v>410</v>
      </c>
      <c r="Z14" s="12">
        <v>609</v>
      </c>
      <c r="AA14" s="12">
        <v>585</v>
      </c>
      <c r="AB14" s="12">
        <v>496</v>
      </c>
      <c r="AC14" s="12">
        <v>523</v>
      </c>
      <c r="AD14" s="12">
        <v>527</v>
      </c>
      <c r="AE14" s="12">
        <v>549</v>
      </c>
      <c r="AF14" s="12">
        <v>616</v>
      </c>
    </row>
    <row r="15" spans="1:32">
      <c r="A15" s="19"/>
      <c r="B15" s="13" t="s">
        <v>545</v>
      </c>
      <c r="C15" s="14">
        <v>0.49</v>
      </c>
      <c r="D15" s="14">
        <v>0.46</v>
      </c>
      <c r="E15" s="14">
        <v>0.4</v>
      </c>
      <c r="F15" s="14">
        <v>0.46</v>
      </c>
      <c r="G15" s="14">
        <v>0.65</v>
      </c>
      <c r="H15" s="14">
        <v>0.52</v>
      </c>
      <c r="I15" s="14">
        <v>0.49</v>
      </c>
      <c r="J15" s="14">
        <v>0.38</v>
      </c>
      <c r="K15" s="14">
        <v>0.54</v>
      </c>
      <c r="L15" s="14">
        <v>0.52</v>
      </c>
      <c r="M15" s="14">
        <v>0.41</v>
      </c>
      <c r="N15" s="14">
        <v>0.45</v>
      </c>
      <c r="O15" s="14">
        <v>0.38</v>
      </c>
      <c r="P15" s="14">
        <v>0.47</v>
      </c>
      <c r="Q15" s="14">
        <v>0.55000000000000004</v>
      </c>
      <c r="R15" s="14">
        <v>0.46</v>
      </c>
      <c r="S15" s="14">
        <v>0.55000000000000004</v>
      </c>
      <c r="T15" s="14">
        <v>0.57000000000000006</v>
      </c>
      <c r="U15" s="14">
        <v>0.47</v>
      </c>
      <c r="V15" s="14">
        <v>0.56000000000000005</v>
      </c>
      <c r="W15" s="14">
        <v>0.55000000000000004</v>
      </c>
      <c r="X15" s="14">
        <v>0.63</v>
      </c>
      <c r="Y15" s="14">
        <v>0.41</v>
      </c>
      <c r="Z15" s="14">
        <v>0.6</v>
      </c>
      <c r="AA15" s="14">
        <v>0.57000000000000006</v>
      </c>
      <c r="AB15" s="14">
        <v>0.48</v>
      </c>
      <c r="AC15" s="14">
        <v>0.52</v>
      </c>
      <c r="AD15" s="14">
        <v>0.52</v>
      </c>
      <c r="AE15" s="14">
        <v>0.55000000000000004</v>
      </c>
      <c r="AF15" s="14">
        <v>0.6</v>
      </c>
    </row>
    <row r="16" spans="1:32">
      <c r="A16" s="19"/>
      <c r="B16" s="11" t="s">
        <v>546</v>
      </c>
      <c r="C16" s="12">
        <v>8359</v>
      </c>
      <c r="D16" s="12">
        <v>363</v>
      </c>
      <c r="E16" s="12">
        <v>278</v>
      </c>
      <c r="F16" s="12">
        <v>364</v>
      </c>
      <c r="G16" s="12">
        <v>151</v>
      </c>
      <c r="H16" s="12">
        <v>431</v>
      </c>
      <c r="I16" s="12">
        <v>562</v>
      </c>
      <c r="J16" s="12">
        <v>130</v>
      </c>
      <c r="K16" s="12">
        <v>254</v>
      </c>
      <c r="L16" s="12">
        <v>142</v>
      </c>
      <c r="M16" s="12">
        <v>396</v>
      </c>
      <c r="N16" s="12">
        <v>312</v>
      </c>
      <c r="O16" s="12">
        <v>440</v>
      </c>
      <c r="P16" s="12">
        <v>260</v>
      </c>
      <c r="Q16" s="12">
        <v>267</v>
      </c>
      <c r="R16" s="12">
        <v>190</v>
      </c>
      <c r="S16" s="12">
        <v>236</v>
      </c>
      <c r="T16" s="12">
        <v>210</v>
      </c>
      <c r="U16" s="12">
        <v>181</v>
      </c>
      <c r="V16" s="12">
        <v>282</v>
      </c>
      <c r="W16" s="12">
        <v>112</v>
      </c>
      <c r="X16" s="12">
        <v>244</v>
      </c>
      <c r="Y16" s="12">
        <v>272</v>
      </c>
      <c r="Z16" s="12">
        <v>201</v>
      </c>
      <c r="AA16" s="12">
        <v>305</v>
      </c>
      <c r="AB16" s="12">
        <v>313</v>
      </c>
      <c r="AC16" s="12">
        <v>284</v>
      </c>
      <c r="AD16" s="12">
        <v>280</v>
      </c>
      <c r="AE16" s="12">
        <v>305</v>
      </c>
      <c r="AF16" s="12">
        <v>328</v>
      </c>
    </row>
    <row r="17" spans="1:32">
      <c r="A17" s="19"/>
      <c r="B17" s="13" t="s">
        <v>547</v>
      </c>
      <c r="C17" s="14">
        <v>0.32</v>
      </c>
      <c r="D17" s="14">
        <v>0.36</v>
      </c>
      <c r="E17" s="14">
        <v>0.27</v>
      </c>
      <c r="F17" s="14">
        <v>0.34</v>
      </c>
      <c r="G17" s="14">
        <v>0.15</v>
      </c>
      <c r="H17" s="14">
        <v>0.35</v>
      </c>
      <c r="I17" s="14">
        <v>0.37</v>
      </c>
      <c r="J17" s="14">
        <v>0.44</v>
      </c>
      <c r="K17" s="14">
        <v>0.25</v>
      </c>
      <c r="L17" s="14">
        <v>0.14000000000000001</v>
      </c>
      <c r="M17" s="14">
        <v>0.39</v>
      </c>
      <c r="N17" s="14">
        <v>0.31</v>
      </c>
      <c r="O17" s="14">
        <v>0.44</v>
      </c>
      <c r="P17" s="14">
        <v>0.26</v>
      </c>
      <c r="Q17" s="14">
        <v>0.26</v>
      </c>
      <c r="R17" s="14">
        <v>0.38</v>
      </c>
      <c r="S17" s="14">
        <v>0.24</v>
      </c>
      <c r="T17" s="14">
        <v>0.2</v>
      </c>
      <c r="U17" s="14">
        <v>0.36</v>
      </c>
      <c r="V17" s="14">
        <v>0.27</v>
      </c>
      <c r="W17" s="14">
        <v>0.22</v>
      </c>
      <c r="X17" s="14">
        <v>0.24</v>
      </c>
      <c r="Y17" s="14">
        <v>0.27</v>
      </c>
      <c r="Z17" s="14">
        <v>0.2</v>
      </c>
      <c r="AA17" s="14">
        <v>0.28999999999999998</v>
      </c>
      <c r="AB17" s="14">
        <v>0.3</v>
      </c>
      <c r="AC17" s="14">
        <v>0.28000000000000003</v>
      </c>
      <c r="AD17" s="14">
        <v>0.28000000000000003</v>
      </c>
      <c r="AE17" s="14">
        <v>0.3</v>
      </c>
      <c r="AF17" s="14">
        <v>0.32</v>
      </c>
    </row>
    <row r="18" spans="1:32">
      <c r="A18" s="19"/>
      <c r="B18" s="11" t="s">
        <v>548</v>
      </c>
      <c r="C18" s="12">
        <v>1951</v>
      </c>
      <c r="D18" s="12">
        <v>122</v>
      </c>
      <c r="E18" s="12">
        <v>138</v>
      </c>
      <c r="F18" s="12">
        <v>96</v>
      </c>
      <c r="G18" s="12">
        <v>36</v>
      </c>
      <c r="H18" s="12">
        <v>76</v>
      </c>
      <c r="I18" s="12">
        <v>118</v>
      </c>
      <c r="J18" s="12">
        <v>41</v>
      </c>
      <c r="K18" s="12">
        <v>68</v>
      </c>
      <c r="L18" s="12">
        <v>38</v>
      </c>
      <c r="M18" s="12">
        <v>140</v>
      </c>
      <c r="N18" s="12">
        <v>80</v>
      </c>
      <c r="O18" s="12">
        <v>115</v>
      </c>
      <c r="P18" s="12">
        <v>85</v>
      </c>
      <c r="Q18" s="12">
        <v>27</v>
      </c>
      <c r="R18" s="12">
        <v>50</v>
      </c>
      <c r="S18" s="12">
        <v>47</v>
      </c>
      <c r="T18" s="12">
        <v>31</v>
      </c>
      <c r="U18" s="12">
        <v>36</v>
      </c>
      <c r="V18" s="12">
        <v>67</v>
      </c>
      <c r="W18" s="12">
        <v>25</v>
      </c>
      <c r="X18" s="12">
        <v>60</v>
      </c>
      <c r="Y18" s="12">
        <v>123</v>
      </c>
      <c r="Z18" s="12">
        <v>52</v>
      </c>
      <c r="AA18" s="12">
        <v>15</v>
      </c>
      <c r="AB18" s="12">
        <v>88</v>
      </c>
      <c r="AC18" s="12">
        <v>62</v>
      </c>
      <c r="AD18" s="12">
        <v>81</v>
      </c>
      <c r="AE18" s="12">
        <v>63</v>
      </c>
      <c r="AF18" s="12">
        <v>36</v>
      </c>
    </row>
    <row r="19" spans="1:32">
      <c r="A19" s="19"/>
      <c r="B19" s="13" t="s">
        <v>549</v>
      </c>
      <c r="C19" s="14">
        <v>7.0000000000000007E-2</v>
      </c>
      <c r="D19" s="14">
        <v>0.12</v>
      </c>
      <c r="E19" s="14">
        <v>0.13</v>
      </c>
      <c r="F19" s="14">
        <v>0.09</v>
      </c>
      <c r="G19" s="14">
        <v>0.04</v>
      </c>
      <c r="H19" s="14">
        <v>0.06</v>
      </c>
      <c r="I19" s="14">
        <v>0.08</v>
      </c>
      <c r="J19" s="14">
        <v>0.14000000000000001</v>
      </c>
      <c r="K19" s="14">
        <v>7.0000000000000007E-2</v>
      </c>
      <c r="L19" s="14">
        <v>0.04</v>
      </c>
      <c r="M19" s="14">
        <v>0.14000000000000001</v>
      </c>
      <c r="N19" s="14">
        <v>0.08</v>
      </c>
      <c r="O19" s="14">
        <v>0.11</v>
      </c>
      <c r="P19" s="14">
        <v>0.08</v>
      </c>
      <c r="Q19" s="14">
        <v>0.03</v>
      </c>
      <c r="R19" s="14">
        <v>0.1</v>
      </c>
      <c r="S19" s="14">
        <v>0.05</v>
      </c>
      <c r="T19" s="14">
        <v>0.03</v>
      </c>
      <c r="U19" s="14">
        <v>7.0000000000000007E-2</v>
      </c>
      <c r="V19" s="14">
        <v>7.0000000000000007E-2</v>
      </c>
      <c r="W19" s="14">
        <v>0.05</v>
      </c>
      <c r="X19" s="14">
        <v>0.06</v>
      </c>
      <c r="Y19" s="14">
        <v>0.12</v>
      </c>
      <c r="Z19" s="14">
        <v>0.05</v>
      </c>
      <c r="AA19" s="14">
        <v>0.01</v>
      </c>
      <c r="AB19" s="14">
        <v>0.08</v>
      </c>
      <c r="AC19" s="14">
        <v>0.06</v>
      </c>
      <c r="AD19" s="14">
        <v>0.08</v>
      </c>
      <c r="AE19" s="14">
        <v>0.06</v>
      </c>
      <c r="AF19" s="14">
        <v>0.03</v>
      </c>
    </row>
    <row r="20" spans="1:32">
      <c r="A20" s="19"/>
      <c r="B20" s="11" t="s">
        <v>386</v>
      </c>
      <c r="C20" s="12">
        <v>976</v>
      </c>
      <c r="D20" s="12">
        <v>12</v>
      </c>
      <c r="E20" s="12">
        <v>78</v>
      </c>
      <c r="F20" s="12">
        <v>45</v>
      </c>
      <c r="G20" s="12">
        <v>19</v>
      </c>
      <c r="H20" s="12">
        <v>36</v>
      </c>
      <c r="I20" s="12">
        <v>38</v>
      </c>
      <c r="J20" s="12">
        <v>2</v>
      </c>
      <c r="K20" s="12">
        <v>80</v>
      </c>
      <c r="L20" s="12">
        <v>48</v>
      </c>
      <c r="M20" s="12">
        <v>22</v>
      </c>
      <c r="N20" s="12">
        <v>50</v>
      </c>
      <c r="O20" s="12">
        <v>41</v>
      </c>
      <c r="P20" s="12">
        <v>46</v>
      </c>
      <c r="Q20" s="12">
        <v>44</v>
      </c>
      <c r="R20" s="12">
        <v>20</v>
      </c>
      <c r="S20" s="12">
        <v>75</v>
      </c>
      <c r="T20" s="12">
        <v>59</v>
      </c>
      <c r="U20" s="12">
        <v>12</v>
      </c>
      <c r="V20" s="12">
        <v>26</v>
      </c>
      <c r="W20" s="12">
        <v>15</v>
      </c>
      <c r="X20" s="12">
        <v>13</v>
      </c>
      <c r="Y20" s="12">
        <v>44</v>
      </c>
      <c r="Z20" s="12">
        <v>47</v>
      </c>
      <c r="AA20" s="12">
        <v>58</v>
      </c>
      <c r="AB20" s="12">
        <v>35</v>
      </c>
      <c r="AC20" s="12">
        <v>25</v>
      </c>
      <c r="AD20" s="12">
        <v>19</v>
      </c>
      <c r="AE20" s="12">
        <v>47</v>
      </c>
      <c r="AF20" s="12">
        <v>13</v>
      </c>
    </row>
    <row r="21" spans="1:32">
      <c r="A21" s="19"/>
      <c r="B21" s="13" t="s">
        <v>399</v>
      </c>
      <c r="C21" s="14">
        <v>0.04</v>
      </c>
      <c r="D21" s="14">
        <v>0.01</v>
      </c>
      <c r="E21" s="14">
        <v>7.0000000000000007E-2</v>
      </c>
      <c r="F21" s="14">
        <v>0.04</v>
      </c>
      <c r="G21" s="14">
        <v>0.02</v>
      </c>
      <c r="H21" s="14">
        <v>0.03</v>
      </c>
      <c r="I21" s="14">
        <v>0.02</v>
      </c>
      <c r="J21" s="14">
        <v>0.01</v>
      </c>
      <c r="K21" s="14">
        <v>0.08</v>
      </c>
      <c r="L21" s="14">
        <v>0.05</v>
      </c>
      <c r="M21" s="14">
        <v>0.02</v>
      </c>
      <c r="N21" s="14">
        <v>0.05</v>
      </c>
      <c r="O21" s="14">
        <v>0.04</v>
      </c>
      <c r="P21" s="14">
        <v>0.05</v>
      </c>
      <c r="Q21" s="14">
        <v>0.04</v>
      </c>
      <c r="R21" s="14">
        <v>0.04</v>
      </c>
      <c r="S21" s="14">
        <v>7.0000000000000007E-2</v>
      </c>
      <c r="T21" s="14">
        <v>0.06</v>
      </c>
      <c r="U21" s="14">
        <v>0.02</v>
      </c>
      <c r="V21" s="14">
        <v>0.02</v>
      </c>
      <c r="W21" s="14">
        <v>0.03</v>
      </c>
      <c r="X21" s="14">
        <v>0.01</v>
      </c>
      <c r="Y21" s="14">
        <v>0.04</v>
      </c>
      <c r="Z21" s="14">
        <v>0.05</v>
      </c>
      <c r="AA21" s="14">
        <v>0.06</v>
      </c>
      <c r="AB21" s="14">
        <v>0.03</v>
      </c>
      <c r="AC21" s="14">
        <v>0.03</v>
      </c>
      <c r="AD21" s="14">
        <v>0.02</v>
      </c>
      <c r="AE21" s="14">
        <v>0.05</v>
      </c>
      <c r="AF21" s="14">
        <v>0.01</v>
      </c>
    </row>
    <row r="22" spans="1:32">
      <c r="A22" s="19"/>
      <c r="B22" s="11" t="s">
        <v>550</v>
      </c>
      <c r="C22" s="12">
        <v>15168</v>
      </c>
      <c r="D22" s="12">
        <v>524</v>
      </c>
      <c r="E22" s="12">
        <v>552</v>
      </c>
      <c r="F22" s="12">
        <v>560</v>
      </c>
      <c r="G22" s="12">
        <v>810</v>
      </c>
      <c r="H22" s="12">
        <v>686</v>
      </c>
      <c r="I22" s="12">
        <v>809</v>
      </c>
      <c r="J22" s="12">
        <v>123</v>
      </c>
      <c r="K22" s="12">
        <v>605</v>
      </c>
      <c r="L22" s="12">
        <v>778</v>
      </c>
      <c r="M22" s="12">
        <v>448</v>
      </c>
      <c r="N22" s="12">
        <v>569</v>
      </c>
      <c r="O22" s="12">
        <v>408</v>
      </c>
      <c r="P22" s="12">
        <v>612</v>
      </c>
      <c r="Q22" s="12">
        <v>692</v>
      </c>
      <c r="R22" s="12">
        <v>242</v>
      </c>
      <c r="S22" s="12">
        <v>646</v>
      </c>
      <c r="T22" s="12">
        <v>723</v>
      </c>
      <c r="U22" s="12">
        <v>279</v>
      </c>
      <c r="V22" s="12">
        <v>652</v>
      </c>
      <c r="W22" s="12">
        <v>350</v>
      </c>
      <c r="X22" s="12">
        <v>693</v>
      </c>
      <c r="Y22" s="12">
        <v>565</v>
      </c>
      <c r="Z22" s="12">
        <v>717</v>
      </c>
      <c r="AA22" s="12">
        <v>658</v>
      </c>
      <c r="AB22" s="12">
        <v>605</v>
      </c>
      <c r="AC22" s="12">
        <v>634</v>
      </c>
      <c r="AD22" s="12">
        <v>623</v>
      </c>
      <c r="AE22" s="12">
        <v>586</v>
      </c>
      <c r="AF22" s="12">
        <v>654</v>
      </c>
    </row>
    <row r="23" spans="1:32">
      <c r="A23" s="19"/>
      <c r="B23" s="13" t="s">
        <v>551</v>
      </c>
      <c r="C23" s="14">
        <v>0.57000000000000006</v>
      </c>
      <c r="D23" s="14">
        <v>0.51</v>
      </c>
      <c r="E23" s="14">
        <v>0.53</v>
      </c>
      <c r="F23" s="14">
        <v>0.53</v>
      </c>
      <c r="G23" s="14">
        <v>0.79</v>
      </c>
      <c r="H23" s="14">
        <v>0.56000000000000005</v>
      </c>
      <c r="I23" s="14">
        <v>0.53</v>
      </c>
      <c r="J23" s="14">
        <v>0.41</v>
      </c>
      <c r="K23" s="14">
        <v>0.6</v>
      </c>
      <c r="L23" s="14">
        <v>0.77</v>
      </c>
      <c r="M23" s="14">
        <v>0.45</v>
      </c>
      <c r="N23" s="14">
        <v>0.56000000000000005</v>
      </c>
      <c r="O23" s="14">
        <v>0.41</v>
      </c>
      <c r="P23" s="14">
        <v>0.61</v>
      </c>
      <c r="Q23" s="14">
        <v>0.67</v>
      </c>
      <c r="R23" s="14">
        <v>0.48</v>
      </c>
      <c r="S23" s="14">
        <v>0.64</v>
      </c>
      <c r="T23" s="14">
        <v>0.71</v>
      </c>
      <c r="U23" s="14">
        <v>0.55000000000000004</v>
      </c>
      <c r="V23" s="14">
        <v>0.64</v>
      </c>
      <c r="W23" s="14">
        <v>0.70000000000000007</v>
      </c>
      <c r="X23" s="14">
        <v>0.69000000000000006</v>
      </c>
      <c r="Y23" s="14">
        <v>0.57000000000000006</v>
      </c>
      <c r="Z23" s="14">
        <v>0.70000000000000007</v>
      </c>
      <c r="AA23" s="14">
        <v>0.64</v>
      </c>
      <c r="AB23" s="14">
        <v>0.59</v>
      </c>
      <c r="AC23" s="14">
        <v>0.63</v>
      </c>
      <c r="AD23" s="14">
        <v>0.62</v>
      </c>
      <c r="AE23" s="14">
        <v>0.59</v>
      </c>
      <c r="AF23" s="14">
        <v>0.64</v>
      </c>
    </row>
    <row r="24" spans="1:32">
      <c r="A24" s="19"/>
      <c r="B24" s="11" t="s">
        <v>552</v>
      </c>
      <c r="C24" s="12">
        <v>10310</v>
      </c>
      <c r="D24" s="12">
        <v>485</v>
      </c>
      <c r="E24" s="12">
        <v>416</v>
      </c>
      <c r="F24" s="12">
        <v>460</v>
      </c>
      <c r="G24" s="12">
        <v>187</v>
      </c>
      <c r="H24" s="12">
        <v>507</v>
      </c>
      <c r="I24" s="12">
        <v>680</v>
      </c>
      <c r="J24" s="12">
        <v>171</v>
      </c>
      <c r="K24" s="12">
        <v>322</v>
      </c>
      <c r="L24" s="12">
        <v>180</v>
      </c>
      <c r="M24" s="12">
        <v>536</v>
      </c>
      <c r="N24" s="12">
        <v>392</v>
      </c>
      <c r="O24" s="12">
        <v>555</v>
      </c>
      <c r="P24" s="12">
        <v>345</v>
      </c>
      <c r="Q24" s="12">
        <v>294</v>
      </c>
      <c r="R24" s="12">
        <v>240</v>
      </c>
      <c r="S24" s="12">
        <v>283</v>
      </c>
      <c r="T24" s="12">
        <v>241</v>
      </c>
      <c r="U24" s="12">
        <v>217</v>
      </c>
      <c r="V24" s="12">
        <v>349</v>
      </c>
      <c r="W24" s="12">
        <v>137</v>
      </c>
      <c r="X24" s="12">
        <v>304</v>
      </c>
      <c r="Y24" s="12">
        <v>395</v>
      </c>
      <c r="Z24" s="12">
        <v>253</v>
      </c>
      <c r="AA24" s="12">
        <v>320</v>
      </c>
      <c r="AB24" s="12">
        <v>401</v>
      </c>
      <c r="AC24" s="12">
        <v>346</v>
      </c>
      <c r="AD24" s="12">
        <v>361</v>
      </c>
      <c r="AE24" s="12">
        <v>368</v>
      </c>
      <c r="AF24" s="12">
        <v>364</v>
      </c>
    </row>
    <row r="25" spans="1:32">
      <c r="A25" s="19"/>
      <c r="B25" s="13" t="s">
        <v>553</v>
      </c>
      <c r="C25" s="14">
        <v>0.39</v>
      </c>
      <c r="D25" s="14">
        <v>0.48</v>
      </c>
      <c r="E25" s="14">
        <v>0.4</v>
      </c>
      <c r="F25" s="14">
        <v>0.43</v>
      </c>
      <c r="G25" s="14">
        <v>0.19</v>
      </c>
      <c r="H25" s="14">
        <v>0.41</v>
      </c>
      <c r="I25" s="14">
        <v>0.45</v>
      </c>
      <c r="J25" s="14">
        <v>0.57999999999999996</v>
      </c>
      <c r="K25" s="14">
        <v>0.32</v>
      </c>
      <c r="L25" s="14">
        <v>0.18</v>
      </c>
      <c r="M25" s="14">
        <v>0.53</v>
      </c>
      <c r="N25" s="14">
        <v>0.39</v>
      </c>
      <c r="O25" s="14">
        <v>0.55000000000000004</v>
      </c>
      <c r="P25" s="14">
        <v>0.34</v>
      </c>
      <c r="Q25" s="14">
        <v>0.28999999999999998</v>
      </c>
      <c r="R25" s="14">
        <v>0.48</v>
      </c>
      <c r="S25" s="14">
        <v>0.28999999999999998</v>
      </c>
      <c r="T25" s="14">
        <v>0.23</v>
      </c>
      <c r="U25" s="14">
        <v>0.43</v>
      </c>
      <c r="V25" s="14">
        <v>0.34</v>
      </c>
      <c r="W25" s="14">
        <v>0.27</v>
      </c>
      <c r="X25" s="14">
        <v>0.3</v>
      </c>
      <c r="Y25" s="14">
        <v>0.39</v>
      </c>
      <c r="Z25" s="14">
        <v>0.25</v>
      </c>
      <c r="AA25" s="14">
        <v>0.3</v>
      </c>
      <c r="AB25" s="14">
        <v>0.38</v>
      </c>
      <c r="AC25" s="14">
        <v>0.34</v>
      </c>
      <c r="AD25" s="14">
        <v>0.36</v>
      </c>
      <c r="AE25" s="14">
        <v>0.36</v>
      </c>
      <c r="AF25" s="14">
        <v>0.35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562</v>
      </c>
      <c r="C3" s="17"/>
      <c r="D3" s="17"/>
      <c r="E3" s="17"/>
      <c r="F3" s="17"/>
      <c r="H3" s="17" t="s">
        <v>563</v>
      </c>
      <c r="I3" s="17"/>
      <c r="J3" s="17"/>
      <c r="K3" s="17"/>
      <c r="L3" s="17"/>
    </row>
    <row r="4" spans="1:32" ht="27" customHeight="1">
      <c r="B4" s="17" t="s">
        <v>564</v>
      </c>
      <c r="C4" s="17"/>
      <c r="D4" s="17"/>
      <c r="E4" s="17"/>
      <c r="F4" s="17"/>
      <c r="H4" s="17" t="s">
        <v>565</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HYPERLINK("#Content!A27","&lt;&lt;Back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542</v>
      </c>
      <c r="C12" s="12">
        <v>1515</v>
      </c>
      <c r="D12" s="12">
        <v>36</v>
      </c>
      <c r="E12" s="12">
        <v>100</v>
      </c>
      <c r="F12" s="12">
        <v>60</v>
      </c>
      <c r="G12" s="12">
        <v>54</v>
      </c>
      <c r="H12" s="12">
        <v>46</v>
      </c>
      <c r="I12" s="12">
        <v>53</v>
      </c>
      <c r="J12" s="12">
        <v>7</v>
      </c>
      <c r="K12" s="12">
        <v>58</v>
      </c>
      <c r="L12" s="12">
        <v>155</v>
      </c>
      <c r="M12" s="12">
        <v>40</v>
      </c>
      <c r="N12" s="12">
        <v>78</v>
      </c>
      <c r="O12" s="12">
        <v>23</v>
      </c>
      <c r="P12" s="12">
        <v>126</v>
      </c>
      <c r="Q12" s="12">
        <v>83</v>
      </c>
      <c r="R12" s="12">
        <v>11</v>
      </c>
      <c r="S12" s="12">
        <v>64</v>
      </c>
      <c r="T12" s="12">
        <v>99</v>
      </c>
      <c r="U12" s="12">
        <v>27</v>
      </c>
      <c r="V12" s="12">
        <v>76</v>
      </c>
      <c r="W12" s="12">
        <v>50</v>
      </c>
      <c r="X12" s="12">
        <v>19</v>
      </c>
      <c r="Y12" s="12">
        <v>89</v>
      </c>
      <c r="Z12" s="12">
        <v>92</v>
      </c>
      <c r="AA12" s="12">
        <v>49</v>
      </c>
      <c r="AB12" s="12">
        <v>98</v>
      </c>
      <c r="AC12" s="12">
        <v>81</v>
      </c>
      <c r="AD12" s="12">
        <v>71</v>
      </c>
      <c r="AE12" s="12">
        <v>31</v>
      </c>
      <c r="AF12" s="12">
        <v>20</v>
      </c>
    </row>
    <row r="13" spans="1:32">
      <c r="A13" s="19"/>
      <c r="B13" s="13" t="s">
        <v>543</v>
      </c>
      <c r="C13" s="14">
        <v>0.06</v>
      </c>
      <c r="D13" s="14">
        <v>0.04</v>
      </c>
      <c r="E13" s="14">
        <v>0.1</v>
      </c>
      <c r="F13" s="14">
        <v>0.06</v>
      </c>
      <c r="G13" s="14">
        <v>0.05</v>
      </c>
      <c r="H13" s="14">
        <v>0.04</v>
      </c>
      <c r="I13" s="14">
        <v>0.04</v>
      </c>
      <c r="J13" s="14">
        <v>0.02</v>
      </c>
      <c r="K13" s="14">
        <v>0.06</v>
      </c>
      <c r="L13" s="14">
        <v>0.15</v>
      </c>
      <c r="M13" s="14">
        <v>0.04</v>
      </c>
      <c r="N13" s="14">
        <v>0.08</v>
      </c>
      <c r="O13" s="14">
        <v>0.02</v>
      </c>
      <c r="P13" s="14">
        <v>0.13</v>
      </c>
      <c r="Q13" s="14">
        <v>0.08</v>
      </c>
      <c r="R13" s="14">
        <v>0.02</v>
      </c>
      <c r="S13" s="14">
        <v>0.06</v>
      </c>
      <c r="T13" s="14">
        <v>0.1</v>
      </c>
      <c r="U13" s="14">
        <v>0.05</v>
      </c>
      <c r="V13" s="14">
        <v>0.08</v>
      </c>
      <c r="W13" s="14">
        <v>0.1</v>
      </c>
      <c r="X13" s="14">
        <v>0.02</v>
      </c>
      <c r="Y13" s="14">
        <v>0.09</v>
      </c>
      <c r="Z13" s="14">
        <v>0.09</v>
      </c>
      <c r="AA13" s="14">
        <v>0.05</v>
      </c>
      <c r="AB13" s="14">
        <v>0.09</v>
      </c>
      <c r="AC13" s="14">
        <v>0.08</v>
      </c>
      <c r="AD13" s="14">
        <v>7.0000000000000007E-2</v>
      </c>
      <c r="AE13" s="14">
        <v>0.03</v>
      </c>
      <c r="AF13" s="14">
        <v>0.02</v>
      </c>
    </row>
    <row r="14" spans="1:32">
      <c r="A14" s="19"/>
      <c r="B14" s="11" t="s">
        <v>544</v>
      </c>
      <c r="C14" s="12">
        <v>9894</v>
      </c>
      <c r="D14" s="12">
        <v>306</v>
      </c>
      <c r="E14" s="12">
        <v>435</v>
      </c>
      <c r="F14" s="12">
        <v>542</v>
      </c>
      <c r="G14" s="12">
        <v>445</v>
      </c>
      <c r="H14" s="12">
        <v>411</v>
      </c>
      <c r="I14" s="12">
        <v>503</v>
      </c>
      <c r="J14" s="12">
        <v>92</v>
      </c>
      <c r="K14" s="12">
        <v>537</v>
      </c>
      <c r="L14" s="12">
        <v>419</v>
      </c>
      <c r="M14" s="12">
        <v>367</v>
      </c>
      <c r="N14" s="12">
        <v>356</v>
      </c>
      <c r="O14" s="12">
        <v>256</v>
      </c>
      <c r="P14" s="12">
        <v>414</v>
      </c>
      <c r="Q14" s="12">
        <v>435</v>
      </c>
      <c r="R14" s="12">
        <v>162</v>
      </c>
      <c r="S14" s="12">
        <v>502</v>
      </c>
      <c r="T14" s="12">
        <v>512</v>
      </c>
      <c r="U14" s="12">
        <v>130</v>
      </c>
      <c r="V14" s="12">
        <v>495</v>
      </c>
      <c r="W14" s="12">
        <v>174</v>
      </c>
      <c r="X14" s="12">
        <v>252</v>
      </c>
      <c r="Y14" s="12">
        <v>362</v>
      </c>
      <c r="Z14" s="12">
        <v>584</v>
      </c>
      <c r="AA14" s="12">
        <v>424</v>
      </c>
      <c r="AB14" s="12">
        <v>485</v>
      </c>
      <c r="AC14" s="12">
        <v>457</v>
      </c>
      <c r="AD14" s="12">
        <v>488</v>
      </c>
      <c r="AE14" s="12">
        <v>315</v>
      </c>
      <c r="AF14" s="12">
        <v>297</v>
      </c>
    </row>
    <row r="15" spans="1:32">
      <c r="A15" s="19"/>
      <c r="B15" s="13" t="s">
        <v>545</v>
      </c>
      <c r="C15" s="14">
        <v>0.38</v>
      </c>
      <c r="D15" s="14">
        <v>0.3</v>
      </c>
      <c r="E15" s="14">
        <v>0.41</v>
      </c>
      <c r="F15" s="14">
        <v>0.51</v>
      </c>
      <c r="G15" s="14">
        <v>0.44</v>
      </c>
      <c r="H15" s="14">
        <v>0.33</v>
      </c>
      <c r="I15" s="14">
        <v>0.33</v>
      </c>
      <c r="J15" s="14">
        <v>0.31</v>
      </c>
      <c r="K15" s="14">
        <v>0.53</v>
      </c>
      <c r="L15" s="14">
        <v>0.42</v>
      </c>
      <c r="M15" s="14">
        <v>0.37</v>
      </c>
      <c r="N15" s="14">
        <v>0.35</v>
      </c>
      <c r="O15" s="14">
        <v>0.26</v>
      </c>
      <c r="P15" s="14">
        <v>0.41</v>
      </c>
      <c r="Q15" s="14">
        <v>0.42</v>
      </c>
      <c r="R15" s="14">
        <v>0.32</v>
      </c>
      <c r="S15" s="14">
        <v>0.5</v>
      </c>
      <c r="T15" s="14">
        <v>0.5</v>
      </c>
      <c r="U15" s="14">
        <v>0.26</v>
      </c>
      <c r="V15" s="14">
        <v>0.48</v>
      </c>
      <c r="W15" s="14">
        <v>0.35</v>
      </c>
      <c r="X15" s="14">
        <v>0.25</v>
      </c>
      <c r="Y15" s="14">
        <v>0.36</v>
      </c>
      <c r="Z15" s="14">
        <v>0.57999999999999996</v>
      </c>
      <c r="AA15" s="14">
        <v>0.41</v>
      </c>
      <c r="AB15" s="14">
        <v>0.47</v>
      </c>
      <c r="AC15" s="14">
        <v>0.46</v>
      </c>
      <c r="AD15" s="14">
        <v>0.49</v>
      </c>
      <c r="AE15" s="14">
        <v>0.32</v>
      </c>
      <c r="AF15" s="14">
        <v>0.28999999999999998</v>
      </c>
    </row>
    <row r="16" spans="1:32">
      <c r="A16" s="19"/>
      <c r="B16" s="11" t="s">
        <v>546</v>
      </c>
      <c r="C16" s="12">
        <v>10907</v>
      </c>
      <c r="D16" s="12">
        <v>484</v>
      </c>
      <c r="E16" s="12">
        <v>302</v>
      </c>
      <c r="F16" s="12">
        <v>360</v>
      </c>
      <c r="G16" s="12">
        <v>428</v>
      </c>
      <c r="H16" s="12">
        <v>577</v>
      </c>
      <c r="I16" s="12">
        <v>723</v>
      </c>
      <c r="J16" s="12">
        <v>145</v>
      </c>
      <c r="K16" s="12">
        <v>246</v>
      </c>
      <c r="L16" s="12">
        <v>308</v>
      </c>
      <c r="M16" s="12">
        <v>395</v>
      </c>
      <c r="N16" s="12">
        <v>401</v>
      </c>
      <c r="O16" s="12">
        <v>500</v>
      </c>
      <c r="P16" s="12">
        <v>305</v>
      </c>
      <c r="Q16" s="12">
        <v>383</v>
      </c>
      <c r="R16" s="12">
        <v>216</v>
      </c>
      <c r="S16" s="12">
        <v>298</v>
      </c>
      <c r="T16" s="12">
        <v>291</v>
      </c>
      <c r="U16" s="12">
        <v>233</v>
      </c>
      <c r="V16" s="12">
        <v>352</v>
      </c>
      <c r="W16" s="12">
        <v>211</v>
      </c>
      <c r="X16" s="12">
        <v>615</v>
      </c>
      <c r="Y16" s="12">
        <v>369</v>
      </c>
      <c r="Z16" s="12">
        <v>232</v>
      </c>
      <c r="AA16" s="12">
        <v>412</v>
      </c>
      <c r="AB16" s="12">
        <v>324</v>
      </c>
      <c r="AC16" s="12">
        <v>350</v>
      </c>
      <c r="AD16" s="12">
        <v>355</v>
      </c>
      <c r="AE16" s="12">
        <v>514</v>
      </c>
      <c r="AF16" s="12">
        <v>570</v>
      </c>
    </row>
    <row r="17" spans="1:32">
      <c r="A17" s="19"/>
      <c r="B17" s="13" t="s">
        <v>547</v>
      </c>
      <c r="C17" s="14">
        <v>0.41</v>
      </c>
      <c r="D17" s="14">
        <v>0.47</v>
      </c>
      <c r="E17" s="14">
        <v>0.28999999999999998</v>
      </c>
      <c r="F17" s="14">
        <v>0.34</v>
      </c>
      <c r="G17" s="14">
        <v>0.42</v>
      </c>
      <c r="H17" s="14">
        <v>0.47</v>
      </c>
      <c r="I17" s="14">
        <v>0.47</v>
      </c>
      <c r="J17" s="14">
        <v>0.49</v>
      </c>
      <c r="K17" s="14">
        <v>0.25</v>
      </c>
      <c r="L17" s="14">
        <v>0.3</v>
      </c>
      <c r="M17" s="14">
        <v>0.39</v>
      </c>
      <c r="N17" s="14">
        <v>0.39</v>
      </c>
      <c r="O17" s="14">
        <v>0.5</v>
      </c>
      <c r="P17" s="14">
        <v>0.3</v>
      </c>
      <c r="Q17" s="14">
        <v>0.37</v>
      </c>
      <c r="R17" s="14">
        <v>0.43</v>
      </c>
      <c r="S17" s="14">
        <v>0.3</v>
      </c>
      <c r="T17" s="14">
        <v>0.28000000000000003</v>
      </c>
      <c r="U17" s="14">
        <v>0.46</v>
      </c>
      <c r="V17" s="14">
        <v>0.34</v>
      </c>
      <c r="W17" s="14">
        <v>0.42</v>
      </c>
      <c r="X17" s="14">
        <v>0.61</v>
      </c>
      <c r="Y17" s="14">
        <v>0.37</v>
      </c>
      <c r="Z17" s="14">
        <v>0.23</v>
      </c>
      <c r="AA17" s="14">
        <v>0.4</v>
      </c>
      <c r="AB17" s="14">
        <v>0.31</v>
      </c>
      <c r="AC17" s="14">
        <v>0.35</v>
      </c>
      <c r="AD17" s="14">
        <v>0.35</v>
      </c>
      <c r="AE17" s="14">
        <v>0.51</v>
      </c>
      <c r="AF17" s="14">
        <v>0.55000000000000004</v>
      </c>
    </row>
    <row r="18" spans="1:32">
      <c r="A18" s="19"/>
      <c r="B18" s="11" t="s">
        <v>548</v>
      </c>
      <c r="C18" s="12">
        <v>3005</v>
      </c>
      <c r="D18" s="12">
        <v>184</v>
      </c>
      <c r="E18" s="12">
        <v>91</v>
      </c>
      <c r="F18" s="12">
        <v>60</v>
      </c>
      <c r="G18" s="12">
        <v>71</v>
      </c>
      <c r="H18" s="12">
        <v>143</v>
      </c>
      <c r="I18" s="12">
        <v>186</v>
      </c>
      <c r="J18" s="12">
        <v>44</v>
      </c>
      <c r="K18" s="12">
        <v>45</v>
      </c>
      <c r="L18" s="12">
        <v>68</v>
      </c>
      <c r="M18" s="12">
        <v>175</v>
      </c>
      <c r="N18" s="12">
        <v>129</v>
      </c>
      <c r="O18" s="12">
        <v>185</v>
      </c>
      <c r="P18" s="12">
        <v>110</v>
      </c>
      <c r="Q18" s="12">
        <v>87</v>
      </c>
      <c r="R18" s="12">
        <v>73</v>
      </c>
      <c r="S18" s="12">
        <v>49</v>
      </c>
      <c r="T18" s="12">
        <v>41</v>
      </c>
      <c r="U18" s="12">
        <v>110</v>
      </c>
      <c r="V18" s="12">
        <v>62</v>
      </c>
      <c r="W18" s="12">
        <v>52</v>
      </c>
      <c r="X18" s="12">
        <v>108</v>
      </c>
      <c r="Y18" s="12">
        <v>125</v>
      </c>
      <c r="Z18" s="12">
        <v>45</v>
      </c>
      <c r="AA18" s="12">
        <v>90</v>
      </c>
      <c r="AB18" s="12">
        <v>82</v>
      </c>
      <c r="AC18" s="12">
        <v>94</v>
      </c>
      <c r="AD18" s="12">
        <v>65</v>
      </c>
      <c r="AE18" s="12">
        <v>110</v>
      </c>
      <c r="AF18" s="12">
        <v>140</v>
      </c>
    </row>
    <row r="19" spans="1:32">
      <c r="A19" s="19"/>
      <c r="B19" s="13" t="s">
        <v>549</v>
      </c>
      <c r="C19" s="14">
        <v>0.11</v>
      </c>
      <c r="D19" s="14">
        <v>0.18</v>
      </c>
      <c r="E19" s="14">
        <v>0.09</v>
      </c>
      <c r="F19" s="14">
        <v>0.05</v>
      </c>
      <c r="G19" s="14">
        <v>7.0000000000000007E-2</v>
      </c>
      <c r="H19" s="14">
        <v>0.12</v>
      </c>
      <c r="I19" s="14">
        <v>0.12</v>
      </c>
      <c r="J19" s="14">
        <v>0.15</v>
      </c>
      <c r="K19" s="14">
        <v>0.04</v>
      </c>
      <c r="L19" s="14">
        <v>7.0000000000000007E-2</v>
      </c>
      <c r="M19" s="14">
        <v>0.17</v>
      </c>
      <c r="N19" s="14">
        <v>0.13</v>
      </c>
      <c r="O19" s="14">
        <v>0.18</v>
      </c>
      <c r="P19" s="14">
        <v>0.11</v>
      </c>
      <c r="Q19" s="14">
        <v>0.09</v>
      </c>
      <c r="R19" s="14">
        <v>0.15</v>
      </c>
      <c r="S19" s="14">
        <v>0.05</v>
      </c>
      <c r="T19" s="14">
        <v>0.04</v>
      </c>
      <c r="U19" s="14">
        <v>0.22</v>
      </c>
      <c r="V19" s="14">
        <v>0.06</v>
      </c>
      <c r="W19" s="14">
        <v>0.1</v>
      </c>
      <c r="X19" s="14">
        <v>0.11</v>
      </c>
      <c r="Y19" s="14">
        <v>0.12</v>
      </c>
      <c r="Z19" s="14">
        <v>0.04</v>
      </c>
      <c r="AA19" s="14">
        <v>0.08</v>
      </c>
      <c r="AB19" s="14">
        <v>0.08</v>
      </c>
      <c r="AC19" s="14">
        <v>0.09</v>
      </c>
      <c r="AD19" s="14">
        <v>7.0000000000000007E-2</v>
      </c>
      <c r="AE19" s="14">
        <v>0.11</v>
      </c>
      <c r="AF19" s="14">
        <v>0.14000000000000001</v>
      </c>
    </row>
    <row r="20" spans="1:32">
      <c r="A20" s="19"/>
      <c r="B20" s="11" t="s">
        <v>386</v>
      </c>
      <c r="C20" s="12">
        <v>1133</v>
      </c>
      <c r="D20" s="12">
        <v>12</v>
      </c>
      <c r="E20" s="12">
        <v>118</v>
      </c>
      <c r="F20" s="12">
        <v>42</v>
      </c>
      <c r="G20" s="12">
        <v>19</v>
      </c>
      <c r="H20" s="12">
        <v>53</v>
      </c>
      <c r="I20" s="12">
        <v>62</v>
      </c>
      <c r="J20" s="12">
        <v>9</v>
      </c>
      <c r="K20" s="12">
        <v>120</v>
      </c>
      <c r="L20" s="12">
        <v>57</v>
      </c>
      <c r="M20" s="12">
        <v>29</v>
      </c>
      <c r="N20" s="12">
        <v>47</v>
      </c>
      <c r="O20" s="12">
        <v>40</v>
      </c>
      <c r="P20" s="12">
        <v>48</v>
      </c>
      <c r="Q20" s="12">
        <v>44</v>
      </c>
      <c r="R20" s="12">
        <v>39</v>
      </c>
      <c r="S20" s="12">
        <v>91</v>
      </c>
      <c r="T20" s="12">
        <v>81</v>
      </c>
      <c r="U20" s="12">
        <v>7</v>
      </c>
      <c r="V20" s="12">
        <v>41</v>
      </c>
      <c r="W20" s="12">
        <v>14</v>
      </c>
      <c r="X20" s="12">
        <v>15</v>
      </c>
      <c r="Y20" s="12">
        <v>58</v>
      </c>
      <c r="Z20" s="12">
        <v>63</v>
      </c>
      <c r="AA20" s="12">
        <v>62</v>
      </c>
      <c r="AB20" s="12">
        <v>52</v>
      </c>
      <c r="AC20" s="12">
        <v>23</v>
      </c>
      <c r="AD20" s="12">
        <v>24</v>
      </c>
      <c r="AE20" s="12">
        <v>31</v>
      </c>
      <c r="AF20" s="12">
        <v>4</v>
      </c>
    </row>
    <row r="21" spans="1:32">
      <c r="A21" s="19"/>
      <c r="B21" s="13" t="s">
        <v>399</v>
      </c>
      <c r="C21" s="14">
        <v>0.04</v>
      </c>
      <c r="D21" s="14">
        <v>0.01</v>
      </c>
      <c r="E21" s="14">
        <v>0.11</v>
      </c>
      <c r="F21" s="14">
        <v>0.04</v>
      </c>
      <c r="G21" s="14">
        <v>0.02</v>
      </c>
      <c r="H21" s="14">
        <v>0.04</v>
      </c>
      <c r="I21" s="14">
        <v>0.04</v>
      </c>
      <c r="J21" s="14">
        <v>0.03</v>
      </c>
      <c r="K21" s="14">
        <v>0.12</v>
      </c>
      <c r="L21" s="14">
        <v>0.06</v>
      </c>
      <c r="M21" s="14">
        <v>0.03</v>
      </c>
      <c r="N21" s="14">
        <v>0.05</v>
      </c>
      <c r="O21" s="14">
        <v>0.04</v>
      </c>
      <c r="P21" s="14">
        <v>0.05</v>
      </c>
      <c r="Q21" s="14">
        <v>0.04</v>
      </c>
      <c r="R21" s="14">
        <v>0.08</v>
      </c>
      <c r="S21" s="14">
        <v>0.09</v>
      </c>
      <c r="T21" s="14">
        <v>0.08</v>
      </c>
      <c r="U21" s="14">
        <v>0.01</v>
      </c>
      <c r="V21" s="14">
        <v>0.04</v>
      </c>
      <c r="W21" s="14">
        <v>0.03</v>
      </c>
      <c r="X21" s="14">
        <v>0.01</v>
      </c>
      <c r="Y21" s="14">
        <v>0.06</v>
      </c>
      <c r="Z21" s="14">
        <v>0.06</v>
      </c>
      <c r="AA21" s="14">
        <v>0.06</v>
      </c>
      <c r="AB21" s="14">
        <v>0.05</v>
      </c>
      <c r="AC21" s="14">
        <v>0.02</v>
      </c>
      <c r="AD21" s="14">
        <v>0.02</v>
      </c>
      <c r="AE21" s="14">
        <v>0.03</v>
      </c>
      <c r="AF21" s="15" t="s">
        <v>375</v>
      </c>
    </row>
    <row r="22" spans="1:32">
      <c r="A22" s="19"/>
      <c r="B22" s="11" t="s">
        <v>550</v>
      </c>
      <c r="C22" s="12">
        <v>11409</v>
      </c>
      <c r="D22" s="12">
        <v>342</v>
      </c>
      <c r="E22" s="12">
        <v>535</v>
      </c>
      <c r="F22" s="12">
        <v>602</v>
      </c>
      <c r="G22" s="12">
        <v>499</v>
      </c>
      <c r="H22" s="12">
        <v>457</v>
      </c>
      <c r="I22" s="12">
        <v>556</v>
      </c>
      <c r="J22" s="12">
        <v>99</v>
      </c>
      <c r="K22" s="12">
        <v>595</v>
      </c>
      <c r="L22" s="12">
        <v>574</v>
      </c>
      <c r="M22" s="12">
        <v>407</v>
      </c>
      <c r="N22" s="12">
        <v>434</v>
      </c>
      <c r="O22" s="12">
        <v>279</v>
      </c>
      <c r="P22" s="12">
        <v>540</v>
      </c>
      <c r="Q22" s="12">
        <v>518</v>
      </c>
      <c r="R22" s="12">
        <v>173</v>
      </c>
      <c r="S22" s="12">
        <v>566</v>
      </c>
      <c r="T22" s="12">
        <v>611</v>
      </c>
      <c r="U22" s="12">
        <v>157</v>
      </c>
      <c r="V22" s="12">
        <v>571</v>
      </c>
      <c r="W22" s="12">
        <v>224</v>
      </c>
      <c r="X22" s="12">
        <v>271</v>
      </c>
      <c r="Y22" s="12">
        <v>451</v>
      </c>
      <c r="Z22" s="12">
        <v>676</v>
      </c>
      <c r="AA22" s="12">
        <v>473</v>
      </c>
      <c r="AB22" s="12">
        <v>583</v>
      </c>
      <c r="AC22" s="12">
        <v>538</v>
      </c>
      <c r="AD22" s="12">
        <v>559</v>
      </c>
      <c r="AE22" s="12">
        <v>346</v>
      </c>
      <c r="AF22" s="12">
        <v>317</v>
      </c>
    </row>
    <row r="23" spans="1:32">
      <c r="A23" s="19"/>
      <c r="B23" s="13" t="s">
        <v>551</v>
      </c>
      <c r="C23" s="14">
        <v>0.44</v>
      </c>
      <c r="D23" s="14">
        <v>0.34</v>
      </c>
      <c r="E23" s="14">
        <v>0.51</v>
      </c>
      <c r="F23" s="14">
        <v>0.57000000000000006</v>
      </c>
      <c r="G23" s="14">
        <v>0.49</v>
      </c>
      <c r="H23" s="14">
        <v>0.37</v>
      </c>
      <c r="I23" s="14">
        <v>0.37</v>
      </c>
      <c r="J23" s="14">
        <v>0.33</v>
      </c>
      <c r="K23" s="14">
        <v>0.59</v>
      </c>
      <c r="L23" s="14">
        <v>0.57000000000000006</v>
      </c>
      <c r="M23" s="14">
        <v>0.41</v>
      </c>
      <c r="N23" s="14">
        <v>0.43</v>
      </c>
      <c r="O23" s="14">
        <v>0.28000000000000003</v>
      </c>
      <c r="P23" s="14">
        <v>0.54</v>
      </c>
      <c r="Q23" s="14">
        <v>0.5</v>
      </c>
      <c r="R23" s="14">
        <v>0.34</v>
      </c>
      <c r="S23" s="14">
        <v>0.56000000000000005</v>
      </c>
      <c r="T23" s="14">
        <v>0.6</v>
      </c>
      <c r="U23" s="14">
        <v>0.31</v>
      </c>
      <c r="V23" s="14">
        <v>0.56000000000000005</v>
      </c>
      <c r="W23" s="14">
        <v>0.45</v>
      </c>
      <c r="X23" s="14">
        <v>0.27</v>
      </c>
      <c r="Y23" s="14">
        <v>0.45</v>
      </c>
      <c r="Z23" s="14">
        <v>0.67</v>
      </c>
      <c r="AA23" s="14">
        <v>0.46</v>
      </c>
      <c r="AB23" s="14">
        <v>0.56000000000000005</v>
      </c>
      <c r="AC23" s="14">
        <v>0.54</v>
      </c>
      <c r="AD23" s="14">
        <v>0.56000000000000005</v>
      </c>
      <c r="AE23" s="14">
        <v>0.35</v>
      </c>
      <c r="AF23" s="14">
        <v>0.31</v>
      </c>
    </row>
    <row r="24" spans="1:32">
      <c r="A24" s="19"/>
      <c r="B24" s="11" t="s">
        <v>552</v>
      </c>
      <c r="C24" s="12">
        <v>13912</v>
      </c>
      <c r="D24" s="12">
        <v>668</v>
      </c>
      <c r="E24" s="12">
        <v>393</v>
      </c>
      <c r="F24" s="12">
        <v>420</v>
      </c>
      <c r="G24" s="12">
        <v>499</v>
      </c>
      <c r="H24" s="12">
        <v>720</v>
      </c>
      <c r="I24" s="12">
        <v>909</v>
      </c>
      <c r="J24" s="12">
        <v>189</v>
      </c>
      <c r="K24" s="12">
        <v>291</v>
      </c>
      <c r="L24" s="12">
        <v>376</v>
      </c>
      <c r="M24" s="12">
        <v>570</v>
      </c>
      <c r="N24" s="12">
        <v>530</v>
      </c>
      <c r="O24" s="12">
        <v>685</v>
      </c>
      <c r="P24" s="12">
        <v>415</v>
      </c>
      <c r="Q24" s="12">
        <v>470</v>
      </c>
      <c r="R24" s="12">
        <v>289</v>
      </c>
      <c r="S24" s="12">
        <v>347</v>
      </c>
      <c r="T24" s="12">
        <v>332</v>
      </c>
      <c r="U24" s="12">
        <v>343</v>
      </c>
      <c r="V24" s="12">
        <v>414</v>
      </c>
      <c r="W24" s="12">
        <v>263</v>
      </c>
      <c r="X24" s="12">
        <v>723</v>
      </c>
      <c r="Y24" s="12">
        <v>494</v>
      </c>
      <c r="Z24" s="12">
        <v>277</v>
      </c>
      <c r="AA24" s="12">
        <v>502</v>
      </c>
      <c r="AB24" s="12">
        <v>406</v>
      </c>
      <c r="AC24" s="12">
        <v>444</v>
      </c>
      <c r="AD24" s="12">
        <v>420</v>
      </c>
      <c r="AE24" s="12">
        <v>624</v>
      </c>
      <c r="AF24" s="12">
        <v>710</v>
      </c>
    </row>
    <row r="25" spans="1:32">
      <c r="A25" s="19"/>
      <c r="B25" s="13" t="s">
        <v>553</v>
      </c>
      <c r="C25" s="14">
        <v>0.52</v>
      </c>
      <c r="D25" s="14">
        <v>0.65</v>
      </c>
      <c r="E25" s="14">
        <v>0.38</v>
      </c>
      <c r="F25" s="14">
        <v>0.39</v>
      </c>
      <c r="G25" s="14">
        <v>0.49</v>
      </c>
      <c r="H25" s="14">
        <v>0.59</v>
      </c>
      <c r="I25" s="14">
        <v>0.59</v>
      </c>
      <c r="J25" s="14">
        <v>0.64</v>
      </c>
      <c r="K25" s="14">
        <v>0.28999999999999998</v>
      </c>
      <c r="L25" s="14">
        <v>0.37</v>
      </c>
      <c r="M25" s="14">
        <v>0.56000000000000005</v>
      </c>
      <c r="N25" s="14">
        <v>0.52</v>
      </c>
      <c r="O25" s="14">
        <v>0.68</v>
      </c>
      <c r="P25" s="14">
        <v>0.41</v>
      </c>
      <c r="Q25" s="14">
        <v>0.46</v>
      </c>
      <c r="R25" s="14">
        <v>0.57999999999999996</v>
      </c>
      <c r="S25" s="14">
        <v>0.35</v>
      </c>
      <c r="T25" s="14">
        <v>0.32</v>
      </c>
      <c r="U25" s="14">
        <v>0.68</v>
      </c>
      <c r="V25" s="14">
        <v>0.4</v>
      </c>
      <c r="W25" s="14">
        <v>0.52</v>
      </c>
      <c r="X25" s="14">
        <v>0.72</v>
      </c>
      <c r="Y25" s="14">
        <v>0.49</v>
      </c>
      <c r="Z25" s="14">
        <v>0.27</v>
      </c>
      <c r="AA25" s="14">
        <v>0.48</v>
      </c>
      <c r="AB25" s="14">
        <v>0.39</v>
      </c>
      <c r="AC25" s="14">
        <v>0.44</v>
      </c>
      <c r="AD25" s="14">
        <v>0.42</v>
      </c>
      <c r="AE25" s="14">
        <v>0.62</v>
      </c>
      <c r="AF25" s="14">
        <v>0.69000000000000006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53</v>
      </c>
      <c r="C3" s="17"/>
      <c r="D3" s="17"/>
      <c r="E3" s="17"/>
      <c r="F3" s="17"/>
      <c r="H3" s="17" t="s">
        <v>54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HYPERLINK("#Content!A28","&lt;&lt;Back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566</v>
      </c>
      <c r="C12" s="12">
        <v>14545</v>
      </c>
      <c r="D12" s="12">
        <v>533</v>
      </c>
      <c r="E12" s="12">
        <v>398</v>
      </c>
      <c r="F12" s="12">
        <v>395</v>
      </c>
      <c r="G12" s="12">
        <v>768</v>
      </c>
      <c r="H12" s="12">
        <v>854</v>
      </c>
      <c r="I12" s="12">
        <v>986</v>
      </c>
      <c r="J12" s="12">
        <v>132</v>
      </c>
      <c r="K12" s="12">
        <v>632</v>
      </c>
      <c r="L12" s="12">
        <v>734</v>
      </c>
      <c r="M12" s="12">
        <v>524</v>
      </c>
      <c r="N12" s="12">
        <v>595</v>
      </c>
      <c r="O12" s="12">
        <v>502</v>
      </c>
      <c r="P12" s="12">
        <v>442</v>
      </c>
      <c r="Q12" s="12">
        <v>564</v>
      </c>
      <c r="R12" s="12">
        <v>320</v>
      </c>
      <c r="S12" s="12">
        <v>635</v>
      </c>
      <c r="T12" s="12">
        <v>663</v>
      </c>
      <c r="U12" s="12">
        <v>330</v>
      </c>
      <c r="V12" s="12">
        <v>387</v>
      </c>
      <c r="W12" s="12">
        <v>295</v>
      </c>
      <c r="X12" s="12">
        <v>746</v>
      </c>
      <c r="Y12" s="12">
        <v>348</v>
      </c>
      <c r="Z12" s="12">
        <v>424</v>
      </c>
      <c r="AA12" s="12">
        <v>678</v>
      </c>
      <c r="AB12" s="12">
        <v>395</v>
      </c>
      <c r="AC12" s="12">
        <v>558</v>
      </c>
      <c r="AD12" s="12">
        <v>580</v>
      </c>
      <c r="AE12" s="12">
        <v>725</v>
      </c>
      <c r="AF12" s="12">
        <v>638</v>
      </c>
    </row>
    <row r="13" spans="1:32">
      <c r="A13" s="19"/>
      <c r="B13" s="13" t="s">
        <v>567</v>
      </c>
      <c r="C13" s="14">
        <v>0.55000000000000004</v>
      </c>
      <c r="D13" s="14">
        <v>0.52</v>
      </c>
      <c r="E13" s="14">
        <v>0.38</v>
      </c>
      <c r="F13" s="14">
        <v>0.37</v>
      </c>
      <c r="G13" s="14">
        <v>0.76</v>
      </c>
      <c r="H13" s="14">
        <v>0.70000000000000007</v>
      </c>
      <c r="I13" s="14">
        <v>0.65</v>
      </c>
      <c r="J13" s="14">
        <v>0.44</v>
      </c>
      <c r="K13" s="14">
        <v>0.63</v>
      </c>
      <c r="L13" s="14">
        <v>0.73</v>
      </c>
      <c r="M13" s="14">
        <v>0.52</v>
      </c>
      <c r="N13" s="14">
        <v>0.59</v>
      </c>
      <c r="O13" s="14">
        <v>0.5</v>
      </c>
      <c r="P13" s="14">
        <v>0.44</v>
      </c>
      <c r="Q13" s="14">
        <v>0.55000000000000004</v>
      </c>
      <c r="R13" s="14">
        <v>0.64</v>
      </c>
      <c r="S13" s="14">
        <v>0.63</v>
      </c>
      <c r="T13" s="14">
        <v>0.65</v>
      </c>
      <c r="U13" s="14">
        <v>0.65</v>
      </c>
      <c r="V13" s="14">
        <v>0.38</v>
      </c>
      <c r="W13" s="14">
        <v>0.59</v>
      </c>
      <c r="X13" s="14">
        <v>0.74</v>
      </c>
      <c r="Y13" s="14">
        <v>0.35</v>
      </c>
      <c r="Z13" s="14">
        <v>0.42</v>
      </c>
      <c r="AA13" s="14">
        <v>0.65</v>
      </c>
      <c r="AB13" s="14">
        <v>0.38</v>
      </c>
      <c r="AC13" s="14">
        <v>0.55000000000000004</v>
      </c>
      <c r="AD13" s="14">
        <v>0.57999999999999996</v>
      </c>
      <c r="AE13" s="14">
        <v>0.72</v>
      </c>
      <c r="AF13" s="14">
        <v>0.62</v>
      </c>
    </row>
    <row r="14" spans="1:32">
      <c r="A14" s="19"/>
      <c r="B14" s="11" t="s">
        <v>568</v>
      </c>
      <c r="C14" s="12">
        <v>4204</v>
      </c>
      <c r="D14" s="12">
        <v>162</v>
      </c>
      <c r="E14" s="12">
        <v>247</v>
      </c>
      <c r="F14" s="12">
        <v>220</v>
      </c>
      <c r="G14" s="12">
        <v>59</v>
      </c>
      <c r="H14" s="12">
        <v>97</v>
      </c>
      <c r="I14" s="12">
        <v>158</v>
      </c>
      <c r="J14" s="12">
        <v>61</v>
      </c>
      <c r="K14" s="12">
        <v>94</v>
      </c>
      <c r="L14" s="12">
        <v>94</v>
      </c>
      <c r="M14" s="12">
        <v>146</v>
      </c>
      <c r="N14" s="12">
        <v>120</v>
      </c>
      <c r="O14" s="12">
        <v>162</v>
      </c>
      <c r="P14" s="12">
        <v>223</v>
      </c>
      <c r="Q14" s="12">
        <v>142</v>
      </c>
      <c r="R14" s="12">
        <v>49</v>
      </c>
      <c r="S14" s="12">
        <v>88</v>
      </c>
      <c r="T14" s="12">
        <v>134</v>
      </c>
      <c r="U14" s="12">
        <v>54</v>
      </c>
      <c r="V14" s="12">
        <v>260</v>
      </c>
      <c r="W14" s="12">
        <v>97</v>
      </c>
      <c r="X14" s="12">
        <v>88</v>
      </c>
      <c r="Y14" s="12">
        <v>285</v>
      </c>
      <c r="Z14" s="12">
        <v>324</v>
      </c>
      <c r="AA14" s="12">
        <v>162</v>
      </c>
      <c r="AB14" s="12">
        <v>339</v>
      </c>
      <c r="AC14" s="12">
        <v>107</v>
      </c>
      <c r="AD14" s="12">
        <v>126</v>
      </c>
      <c r="AE14" s="12">
        <v>78</v>
      </c>
      <c r="AF14" s="12">
        <v>66</v>
      </c>
    </row>
    <row r="15" spans="1:32">
      <c r="A15" s="19"/>
      <c r="B15" s="13" t="s">
        <v>569</v>
      </c>
      <c r="C15" s="14">
        <v>0.16</v>
      </c>
      <c r="D15" s="14">
        <v>0.16</v>
      </c>
      <c r="E15" s="14">
        <v>0.24</v>
      </c>
      <c r="F15" s="14">
        <v>0.21</v>
      </c>
      <c r="G15" s="14">
        <v>0.06</v>
      </c>
      <c r="H15" s="14">
        <v>0.08</v>
      </c>
      <c r="I15" s="14">
        <v>0.1</v>
      </c>
      <c r="J15" s="14">
        <v>0.21</v>
      </c>
      <c r="K15" s="14">
        <v>0.09</v>
      </c>
      <c r="L15" s="14">
        <v>0.09</v>
      </c>
      <c r="M15" s="14">
        <v>0.14000000000000001</v>
      </c>
      <c r="N15" s="14">
        <v>0.12</v>
      </c>
      <c r="O15" s="14">
        <v>0.16</v>
      </c>
      <c r="P15" s="14">
        <v>0.22</v>
      </c>
      <c r="Q15" s="14">
        <v>0.14000000000000001</v>
      </c>
      <c r="R15" s="14">
        <v>0.1</v>
      </c>
      <c r="S15" s="14">
        <v>0.09</v>
      </c>
      <c r="T15" s="14">
        <v>0.13</v>
      </c>
      <c r="U15" s="14">
        <v>0.11</v>
      </c>
      <c r="V15" s="14">
        <v>0.25</v>
      </c>
      <c r="W15" s="14">
        <v>0.19</v>
      </c>
      <c r="X15" s="14">
        <v>0.09</v>
      </c>
      <c r="Y15" s="14">
        <v>0.28000000000000003</v>
      </c>
      <c r="Z15" s="14">
        <v>0.32</v>
      </c>
      <c r="AA15" s="14">
        <v>0.16</v>
      </c>
      <c r="AB15" s="14">
        <v>0.33</v>
      </c>
      <c r="AC15" s="14">
        <v>0.11</v>
      </c>
      <c r="AD15" s="14">
        <v>0.13</v>
      </c>
      <c r="AE15" s="14">
        <v>0.08</v>
      </c>
      <c r="AF15" s="14">
        <v>0.06</v>
      </c>
    </row>
    <row r="16" spans="1:32">
      <c r="A16" s="19"/>
      <c r="B16" s="11" t="s">
        <v>570</v>
      </c>
      <c r="C16" s="12">
        <v>7358</v>
      </c>
      <c r="D16" s="12">
        <v>322</v>
      </c>
      <c r="E16" s="12">
        <v>358</v>
      </c>
      <c r="F16" s="12">
        <v>418</v>
      </c>
      <c r="G16" s="12">
        <v>179</v>
      </c>
      <c r="H16" s="12">
        <v>276</v>
      </c>
      <c r="I16" s="12">
        <v>379</v>
      </c>
      <c r="J16" s="12">
        <v>103</v>
      </c>
      <c r="K16" s="12">
        <v>255</v>
      </c>
      <c r="L16" s="12">
        <v>165</v>
      </c>
      <c r="M16" s="12">
        <v>321</v>
      </c>
      <c r="N16" s="12">
        <v>282</v>
      </c>
      <c r="O16" s="12">
        <v>324</v>
      </c>
      <c r="P16" s="12">
        <v>325</v>
      </c>
      <c r="Q16" s="12">
        <v>309</v>
      </c>
      <c r="R16" s="12">
        <v>121</v>
      </c>
      <c r="S16" s="12">
        <v>241</v>
      </c>
      <c r="T16" s="12">
        <v>220</v>
      </c>
      <c r="U16" s="12">
        <v>120</v>
      </c>
      <c r="V16" s="12">
        <v>362</v>
      </c>
      <c r="W16" s="12">
        <v>108</v>
      </c>
      <c r="X16" s="12">
        <v>171</v>
      </c>
      <c r="Y16" s="12">
        <v>347</v>
      </c>
      <c r="Z16" s="12">
        <v>254</v>
      </c>
      <c r="AA16" s="12">
        <v>161</v>
      </c>
      <c r="AB16" s="12">
        <v>293</v>
      </c>
      <c r="AC16" s="12">
        <v>328</v>
      </c>
      <c r="AD16" s="12">
        <v>282</v>
      </c>
      <c r="AE16" s="12">
        <v>181</v>
      </c>
      <c r="AF16" s="12">
        <v>325</v>
      </c>
    </row>
    <row r="17" spans="1:32">
      <c r="A17" s="19"/>
      <c r="B17" s="13" t="s">
        <v>571</v>
      </c>
      <c r="C17" s="14">
        <v>0.28000000000000003</v>
      </c>
      <c r="D17" s="14">
        <v>0.32</v>
      </c>
      <c r="E17" s="14">
        <v>0.34</v>
      </c>
      <c r="F17" s="14">
        <v>0.39</v>
      </c>
      <c r="G17" s="14">
        <v>0.17</v>
      </c>
      <c r="H17" s="14">
        <v>0.22</v>
      </c>
      <c r="I17" s="14">
        <v>0.25</v>
      </c>
      <c r="J17" s="14">
        <v>0.35</v>
      </c>
      <c r="K17" s="14">
        <v>0.25</v>
      </c>
      <c r="L17" s="14">
        <v>0.17</v>
      </c>
      <c r="M17" s="14">
        <v>0.32</v>
      </c>
      <c r="N17" s="14">
        <v>0.28000000000000003</v>
      </c>
      <c r="O17" s="14">
        <v>0.32</v>
      </c>
      <c r="P17" s="14">
        <v>0.33</v>
      </c>
      <c r="Q17" s="14">
        <v>0.3</v>
      </c>
      <c r="R17" s="14">
        <v>0.24</v>
      </c>
      <c r="S17" s="14">
        <v>0.24</v>
      </c>
      <c r="T17" s="14">
        <v>0.21</v>
      </c>
      <c r="U17" s="14">
        <v>0.23</v>
      </c>
      <c r="V17" s="14">
        <v>0.35</v>
      </c>
      <c r="W17" s="14">
        <v>0.22</v>
      </c>
      <c r="X17" s="14">
        <v>0.17</v>
      </c>
      <c r="Y17" s="14">
        <v>0.35</v>
      </c>
      <c r="Z17" s="14">
        <v>0.25</v>
      </c>
      <c r="AA17" s="14">
        <v>0.16</v>
      </c>
      <c r="AB17" s="14">
        <v>0.28000000000000003</v>
      </c>
      <c r="AC17" s="14">
        <v>0.33</v>
      </c>
      <c r="AD17" s="14">
        <v>0.28000000000000003</v>
      </c>
      <c r="AE17" s="14">
        <v>0.18</v>
      </c>
      <c r="AF17" s="14">
        <v>0.32</v>
      </c>
    </row>
    <row r="18" spans="1:32">
      <c r="A18" s="19"/>
      <c r="B18" s="11" t="s">
        <v>386</v>
      </c>
      <c r="C18" s="12">
        <v>345</v>
      </c>
      <c r="D18" s="12">
        <v>4</v>
      </c>
      <c r="E18" s="12">
        <v>42</v>
      </c>
      <c r="F18" s="12">
        <v>31</v>
      </c>
      <c r="G18" s="12">
        <v>10</v>
      </c>
      <c r="H18" s="12">
        <v>3</v>
      </c>
      <c r="I18" s="12">
        <v>4</v>
      </c>
      <c r="J18" s="12">
        <v>1</v>
      </c>
      <c r="K18" s="12">
        <v>25</v>
      </c>
      <c r="L18" s="12">
        <v>12</v>
      </c>
      <c r="M18" s="12">
        <v>16</v>
      </c>
      <c r="N18" s="12">
        <v>14</v>
      </c>
      <c r="O18" s="12">
        <v>16</v>
      </c>
      <c r="P18" s="12">
        <v>12</v>
      </c>
      <c r="Q18" s="12">
        <v>16</v>
      </c>
      <c r="R18" s="12">
        <v>11</v>
      </c>
      <c r="S18" s="12">
        <v>40</v>
      </c>
      <c r="T18" s="12">
        <v>6</v>
      </c>
      <c r="U18" s="12">
        <v>4</v>
      </c>
      <c r="V18" s="12">
        <v>17</v>
      </c>
      <c r="W18" s="12">
        <v>2</v>
      </c>
      <c r="X18" s="12">
        <v>5</v>
      </c>
      <c r="Y18" s="12">
        <v>22</v>
      </c>
      <c r="Z18" s="12">
        <v>15</v>
      </c>
      <c r="AA18" s="12">
        <v>36</v>
      </c>
      <c r="AB18" s="12">
        <v>14</v>
      </c>
      <c r="AC18" s="12">
        <v>12</v>
      </c>
      <c r="AD18" s="12">
        <v>15</v>
      </c>
      <c r="AE18" s="12">
        <v>18</v>
      </c>
      <c r="AF18" s="12">
        <v>2</v>
      </c>
    </row>
    <row r="19" spans="1:32">
      <c r="A19" s="19"/>
      <c r="B19" s="13" t="s">
        <v>399</v>
      </c>
      <c r="C19" s="14">
        <v>0.01</v>
      </c>
      <c r="D19" s="15" t="s">
        <v>375</v>
      </c>
      <c r="E19" s="14">
        <v>0.04</v>
      </c>
      <c r="F19" s="14">
        <v>0.03</v>
      </c>
      <c r="G19" s="14">
        <v>0.01</v>
      </c>
      <c r="H19" s="15" t="s">
        <v>375</v>
      </c>
      <c r="I19" s="15" t="s">
        <v>375</v>
      </c>
      <c r="J19" s="15" t="s">
        <v>375</v>
      </c>
      <c r="K19" s="14">
        <v>0.03</v>
      </c>
      <c r="L19" s="14">
        <v>0.01</v>
      </c>
      <c r="M19" s="14">
        <v>0.02</v>
      </c>
      <c r="N19" s="14">
        <v>0.01</v>
      </c>
      <c r="O19" s="14">
        <v>0.02</v>
      </c>
      <c r="P19" s="14">
        <v>0.01</v>
      </c>
      <c r="Q19" s="14">
        <v>0.01</v>
      </c>
      <c r="R19" s="14">
        <v>0.02</v>
      </c>
      <c r="S19" s="14">
        <v>0.04</v>
      </c>
      <c r="T19" s="14">
        <v>0.01</v>
      </c>
      <c r="U19" s="14">
        <v>0.01</v>
      </c>
      <c r="V19" s="14">
        <v>0.02</v>
      </c>
      <c r="W19" s="15" t="s">
        <v>375</v>
      </c>
      <c r="X19" s="15" t="s">
        <v>375</v>
      </c>
      <c r="Y19" s="14">
        <v>0.02</v>
      </c>
      <c r="Z19" s="14">
        <v>0.01</v>
      </c>
      <c r="AA19" s="14">
        <v>0.03</v>
      </c>
      <c r="AB19" s="14">
        <v>0.01</v>
      </c>
      <c r="AC19" s="14">
        <v>0.01</v>
      </c>
      <c r="AD19" s="14">
        <v>0.01</v>
      </c>
      <c r="AE19" s="14">
        <v>0.02</v>
      </c>
      <c r="AF19" s="15" t="s">
        <v>375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572</v>
      </c>
      <c r="C3" s="17"/>
      <c r="D3" s="17"/>
      <c r="E3" s="17"/>
      <c r="F3" s="17"/>
      <c r="H3" s="17" t="s">
        <v>573</v>
      </c>
      <c r="I3" s="17"/>
      <c r="J3" s="17"/>
      <c r="K3" s="17"/>
      <c r="L3" s="17"/>
    </row>
    <row r="4" spans="1:32" ht="27" customHeight="1">
      <c r="B4" s="17" t="s">
        <v>574</v>
      </c>
      <c r="C4" s="17"/>
      <c r="D4" s="17"/>
      <c r="E4" s="17"/>
      <c r="F4" s="17"/>
      <c r="H4" s="17" t="s">
        <v>575</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HYPERLINK("#Content!A29","&lt;&lt;Back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400</v>
      </c>
      <c r="D12" s="12">
        <v>19</v>
      </c>
      <c r="E12" s="12">
        <v>25</v>
      </c>
      <c r="F12" s="12">
        <v>37</v>
      </c>
      <c r="G12" s="12">
        <v>19</v>
      </c>
      <c r="H12" s="12">
        <v>18</v>
      </c>
      <c r="I12" s="12">
        <v>22</v>
      </c>
      <c r="J12" s="12">
        <v>4</v>
      </c>
      <c r="K12" s="12">
        <v>33</v>
      </c>
      <c r="L12" s="12">
        <v>24</v>
      </c>
      <c r="M12" s="12">
        <v>11</v>
      </c>
      <c r="N12" s="12">
        <v>9</v>
      </c>
      <c r="O12" s="12">
        <v>26</v>
      </c>
      <c r="P12" s="12">
        <v>13</v>
      </c>
      <c r="Q12" s="12">
        <v>13</v>
      </c>
      <c r="R12" s="12">
        <v>3</v>
      </c>
      <c r="S12" s="12">
        <v>37</v>
      </c>
      <c r="T12" s="12">
        <v>27</v>
      </c>
      <c r="U12" s="12">
        <v>8</v>
      </c>
      <c r="V12" s="12">
        <v>16</v>
      </c>
      <c r="W12" s="12">
        <v>14</v>
      </c>
      <c r="X12" s="12">
        <v>11</v>
      </c>
      <c r="Y12" s="12">
        <v>12</v>
      </c>
      <c r="Z12" s="12">
        <v>2</v>
      </c>
      <c r="AA12" s="12">
        <v>1</v>
      </c>
      <c r="AB12" s="12">
        <v>20</v>
      </c>
      <c r="AC12" s="12">
        <v>37</v>
      </c>
      <c r="AD12" s="12">
        <v>24</v>
      </c>
      <c r="AE12" s="12">
        <v>4</v>
      </c>
      <c r="AF12" s="12">
        <v>14</v>
      </c>
    </row>
    <row r="13" spans="1:32">
      <c r="A13" s="19"/>
      <c r="B13" s="13" t="s">
        <v>577</v>
      </c>
      <c r="C13" s="14">
        <v>0.01</v>
      </c>
      <c r="D13" s="14">
        <v>0.02</v>
      </c>
      <c r="E13" s="14">
        <v>0.02</v>
      </c>
      <c r="F13" s="14">
        <v>0.03</v>
      </c>
      <c r="G13" s="14">
        <v>0.02</v>
      </c>
      <c r="H13" s="14">
        <v>0.01</v>
      </c>
      <c r="I13" s="14">
        <v>0.01</v>
      </c>
      <c r="J13" s="14">
        <v>0.01</v>
      </c>
      <c r="K13" s="14">
        <v>0.03</v>
      </c>
      <c r="L13" s="14">
        <v>0.02</v>
      </c>
      <c r="M13" s="14">
        <v>0.01</v>
      </c>
      <c r="N13" s="14">
        <v>0.01</v>
      </c>
      <c r="O13" s="14">
        <v>0.03</v>
      </c>
      <c r="P13" s="14">
        <v>0.01</v>
      </c>
      <c r="Q13" s="14">
        <v>0.01</v>
      </c>
      <c r="R13" s="14">
        <v>0.01</v>
      </c>
      <c r="S13" s="14">
        <v>0.04</v>
      </c>
      <c r="T13" s="14">
        <v>0.03</v>
      </c>
      <c r="U13" s="14">
        <v>0.02</v>
      </c>
      <c r="V13" s="14">
        <v>0.02</v>
      </c>
      <c r="W13" s="14">
        <v>0.03</v>
      </c>
      <c r="X13" s="14">
        <v>0.01</v>
      </c>
      <c r="Y13" s="14">
        <v>0.01</v>
      </c>
      <c r="Z13" s="15" t="s">
        <v>375</v>
      </c>
      <c r="AA13" s="15" t="s">
        <v>375</v>
      </c>
      <c r="AB13" s="14">
        <v>0.02</v>
      </c>
      <c r="AC13" s="14">
        <v>0.04</v>
      </c>
      <c r="AD13" s="14">
        <v>0.02</v>
      </c>
      <c r="AE13" s="15" t="s">
        <v>375</v>
      </c>
      <c r="AF13" s="14">
        <v>0.01</v>
      </c>
    </row>
    <row r="14" spans="1:32">
      <c r="A14" s="19"/>
      <c r="B14" s="11" t="s">
        <v>578</v>
      </c>
      <c r="C14" s="12">
        <v>484</v>
      </c>
      <c r="D14" s="12">
        <v>14</v>
      </c>
      <c r="E14" s="12">
        <v>23</v>
      </c>
      <c r="F14" s="12">
        <v>19</v>
      </c>
      <c r="G14" s="12">
        <v>28</v>
      </c>
      <c r="H14" s="12">
        <v>66</v>
      </c>
      <c r="I14" s="12">
        <v>74</v>
      </c>
      <c r="J14" s="12">
        <v>8</v>
      </c>
      <c r="K14" s="12">
        <v>15</v>
      </c>
      <c r="L14" s="12">
        <v>16</v>
      </c>
      <c r="M14" s="12">
        <v>11</v>
      </c>
      <c r="N14" s="12">
        <v>9</v>
      </c>
      <c r="O14" s="12">
        <v>16</v>
      </c>
      <c r="P14" s="12">
        <v>9</v>
      </c>
      <c r="Q14" s="12">
        <v>12</v>
      </c>
      <c r="R14" s="12">
        <v>1</v>
      </c>
      <c r="S14" s="12">
        <v>8</v>
      </c>
      <c r="T14" s="12">
        <v>7</v>
      </c>
      <c r="U14" s="12">
        <v>5</v>
      </c>
      <c r="V14" s="12">
        <v>8</v>
      </c>
      <c r="W14" s="12">
        <v>2</v>
      </c>
      <c r="X14" s="12">
        <v>15</v>
      </c>
      <c r="Y14" s="12">
        <v>7</v>
      </c>
      <c r="Z14" s="12">
        <v>1</v>
      </c>
      <c r="AA14" s="12">
        <v>1</v>
      </c>
      <c r="AB14" s="12">
        <v>15</v>
      </c>
      <c r="AC14" s="12">
        <v>22</v>
      </c>
      <c r="AD14" s="12">
        <v>12</v>
      </c>
      <c r="AE14" s="12">
        <v>6</v>
      </c>
      <c r="AF14" s="12">
        <v>16</v>
      </c>
    </row>
    <row r="15" spans="1:32">
      <c r="A15" s="19"/>
      <c r="B15" s="13" t="s">
        <v>578</v>
      </c>
      <c r="C15" s="14">
        <v>0.02</v>
      </c>
      <c r="D15" s="14">
        <v>0.01</v>
      </c>
      <c r="E15" s="14">
        <v>0.02</v>
      </c>
      <c r="F15" s="14">
        <v>0.02</v>
      </c>
      <c r="G15" s="14">
        <v>0.03</v>
      </c>
      <c r="H15" s="14">
        <v>0.05</v>
      </c>
      <c r="I15" s="14">
        <v>0.05</v>
      </c>
      <c r="J15" s="14">
        <v>0.03</v>
      </c>
      <c r="K15" s="14">
        <v>0.01</v>
      </c>
      <c r="L15" s="14">
        <v>0.02</v>
      </c>
      <c r="M15" s="14">
        <v>0.01</v>
      </c>
      <c r="N15" s="14">
        <v>0.01</v>
      </c>
      <c r="O15" s="14">
        <v>0.01</v>
      </c>
      <c r="P15" s="14">
        <v>0.01</v>
      </c>
      <c r="Q15" s="14">
        <v>0.01</v>
      </c>
      <c r="R15" s="15" t="s">
        <v>375</v>
      </c>
      <c r="S15" s="14">
        <v>0.01</v>
      </c>
      <c r="T15" s="14">
        <v>0.01</v>
      </c>
      <c r="U15" s="14">
        <v>0.01</v>
      </c>
      <c r="V15" s="14">
        <v>0.01</v>
      </c>
      <c r="W15" s="15" t="s">
        <v>375</v>
      </c>
      <c r="X15" s="14">
        <v>0.01</v>
      </c>
      <c r="Y15" s="14">
        <v>0.01</v>
      </c>
      <c r="Z15" s="15" t="s">
        <v>375</v>
      </c>
      <c r="AA15" s="15" t="s">
        <v>375</v>
      </c>
      <c r="AB15" s="14">
        <v>0.01</v>
      </c>
      <c r="AC15" s="14">
        <v>0.02</v>
      </c>
      <c r="AD15" s="14">
        <v>0.01</v>
      </c>
      <c r="AE15" s="14">
        <v>0.01</v>
      </c>
      <c r="AF15" s="14">
        <v>0.01</v>
      </c>
    </row>
    <row r="16" spans="1:32">
      <c r="A16" s="19"/>
      <c r="B16" s="11" t="s">
        <v>579</v>
      </c>
      <c r="C16" s="12">
        <v>712</v>
      </c>
      <c r="D16" s="12">
        <v>20</v>
      </c>
      <c r="E16" s="12">
        <v>48</v>
      </c>
      <c r="F16" s="12">
        <v>64</v>
      </c>
      <c r="G16" s="12">
        <v>36</v>
      </c>
      <c r="H16" s="12">
        <v>60</v>
      </c>
      <c r="I16" s="12">
        <v>71</v>
      </c>
      <c r="J16" s="12">
        <v>11</v>
      </c>
      <c r="K16" s="12">
        <v>46</v>
      </c>
      <c r="L16" s="12">
        <v>31</v>
      </c>
      <c r="M16" s="12">
        <v>23</v>
      </c>
      <c r="N16" s="12">
        <v>9</v>
      </c>
      <c r="O16" s="12">
        <v>30</v>
      </c>
      <c r="P16" s="12">
        <v>37</v>
      </c>
      <c r="Q16" s="12">
        <v>13</v>
      </c>
      <c r="R16" s="12">
        <v>9</v>
      </c>
      <c r="S16" s="12">
        <v>29</v>
      </c>
      <c r="T16" s="12">
        <v>23</v>
      </c>
      <c r="U16" s="12">
        <v>9</v>
      </c>
      <c r="V16" s="12">
        <v>36</v>
      </c>
      <c r="W16" s="12">
        <v>4</v>
      </c>
      <c r="X16" s="12">
        <v>25</v>
      </c>
      <c r="Y16" s="12">
        <v>40</v>
      </c>
      <c r="Z16" s="12">
        <v>5</v>
      </c>
      <c r="AA16" s="12">
        <v>3</v>
      </c>
      <c r="AB16" s="12">
        <v>22</v>
      </c>
      <c r="AC16" s="12">
        <v>52</v>
      </c>
      <c r="AD16" s="12">
        <v>43</v>
      </c>
      <c r="AE16" s="12">
        <v>21</v>
      </c>
      <c r="AF16" s="12">
        <v>60</v>
      </c>
    </row>
    <row r="17" spans="1:32">
      <c r="A17" s="19"/>
      <c r="B17" s="13" t="s">
        <v>579</v>
      </c>
      <c r="C17" s="14">
        <v>0.03</v>
      </c>
      <c r="D17" s="14">
        <v>0.02</v>
      </c>
      <c r="E17" s="14">
        <v>0.05</v>
      </c>
      <c r="F17" s="14">
        <v>0.06</v>
      </c>
      <c r="G17" s="14">
        <v>0.03</v>
      </c>
      <c r="H17" s="14">
        <v>0.05</v>
      </c>
      <c r="I17" s="14">
        <v>0.05</v>
      </c>
      <c r="J17" s="14">
        <v>0.04</v>
      </c>
      <c r="K17" s="14">
        <v>0.05</v>
      </c>
      <c r="L17" s="14">
        <v>0.03</v>
      </c>
      <c r="M17" s="14">
        <v>0.02</v>
      </c>
      <c r="N17" s="14">
        <v>0.01</v>
      </c>
      <c r="O17" s="14">
        <v>0.03</v>
      </c>
      <c r="P17" s="14">
        <v>0.04</v>
      </c>
      <c r="Q17" s="14">
        <v>0.01</v>
      </c>
      <c r="R17" s="14">
        <v>0.02</v>
      </c>
      <c r="S17" s="14">
        <v>0.03</v>
      </c>
      <c r="T17" s="14">
        <v>0.02</v>
      </c>
      <c r="U17" s="14">
        <v>0.02</v>
      </c>
      <c r="V17" s="14">
        <v>0.03</v>
      </c>
      <c r="W17" s="14">
        <v>0.01</v>
      </c>
      <c r="X17" s="14">
        <v>0.03</v>
      </c>
      <c r="Y17" s="14">
        <v>0.04</v>
      </c>
      <c r="Z17" s="14">
        <v>0.01</v>
      </c>
      <c r="AA17" s="15" t="s">
        <v>375</v>
      </c>
      <c r="AB17" s="14">
        <v>0.02</v>
      </c>
      <c r="AC17" s="14">
        <v>0.05</v>
      </c>
      <c r="AD17" s="14">
        <v>0.04</v>
      </c>
      <c r="AE17" s="14">
        <v>0.02</v>
      </c>
      <c r="AF17" s="14">
        <v>0.06</v>
      </c>
    </row>
    <row r="18" spans="1:32">
      <c r="A18" s="19"/>
      <c r="B18" s="11" t="s">
        <v>580</v>
      </c>
      <c r="C18" s="12">
        <v>953</v>
      </c>
      <c r="D18" s="12">
        <v>41</v>
      </c>
      <c r="E18" s="12">
        <v>64</v>
      </c>
      <c r="F18" s="12">
        <v>112</v>
      </c>
      <c r="G18" s="12">
        <v>68</v>
      </c>
      <c r="H18" s="12">
        <v>58</v>
      </c>
      <c r="I18" s="12">
        <v>73</v>
      </c>
      <c r="J18" s="12">
        <v>14</v>
      </c>
      <c r="K18" s="12">
        <v>69</v>
      </c>
      <c r="L18" s="12">
        <v>40</v>
      </c>
      <c r="M18" s="12">
        <v>26</v>
      </c>
      <c r="N18" s="12">
        <v>13</v>
      </c>
      <c r="O18" s="12">
        <v>23</v>
      </c>
      <c r="P18" s="12">
        <v>51</v>
      </c>
      <c r="Q18" s="12">
        <v>26</v>
      </c>
      <c r="R18" s="12">
        <v>12</v>
      </c>
      <c r="S18" s="12">
        <v>44</v>
      </c>
      <c r="T18" s="12">
        <v>36</v>
      </c>
      <c r="U18" s="12">
        <v>15</v>
      </c>
      <c r="V18" s="12">
        <v>65</v>
      </c>
      <c r="W18" s="12">
        <v>8</v>
      </c>
      <c r="X18" s="12">
        <v>53</v>
      </c>
      <c r="Y18" s="12">
        <v>37</v>
      </c>
      <c r="Z18" s="12">
        <v>21</v>
      </c>
      <c r="AA18" s="12">
        <v>34</v>
      </c>
      <c r="AB18" s="12">
        <v>40</v>
      </c>
      <c r="AC18" s="12">
        <v>76</v>
      </c>
      <c r="AD18" s="12">
        <v>50</v>
      </c>
      <c r="AE18" s="12">
        <v>44</v>
      </c>
      <c r="AF18" s="12">
        <v>72</v>
      </c>
    </row>
    <row r="19" spans="1:32">
      <c r="A19" s="19"/>
      <c r="B19" s="13" t="s">
        <v>580</v>
      </c>
      <c r="C19" s="14">
        <v>0.04</v>
      </c>
      <c r="D19" s="14">
        <v>0.04</v>
      </c>
      <c r="E19" s="14">
        <v>0.06</v>
      </c>
      <c r="F19" s="14">
        <v>0.11</v>
      </c>
      <c r="G19" s="14">
        <v>7.0000000000000007E-2</v>
      </c>
      <c r="H19" s="14">
        <v>0.05</v>
      </c>
      <c r="I19" s="14">
        <v>0.05</v>
      </c>
      <c r="J19" s="14">
        <v>0.05</v>
      </c>
      <c r="K19" s="14">
        <v>7.0000000000000007E-2</v>
      </c>
      <c r="L19" s="14">
        <v>0.04</v>
      </c>
      <c r="M19" s="14">
        <v>0.03</v>
      </c>
      <c r="N19" s="14">
        <v>0.01</v>
      </c>
      <c r="O19" s="14">
        <v>0.02</v>
      </c>
      <c r="P19" s="14">
        <v>0.05</v>
      </c>
      <c r="Q19" s="14">
        <v>0.02</v>
      </c>
      <c r="R19" s="14">
        <v>0.02</v>
      </c>
      <c r="S19" s="14">
        <v>0.04</v>
      </c>
      <c r="T19" s="14">
        <v>0.03</v>
      </c>
      <c r="U19" s="14">
        <v>0.03</v>
      </c>
      <c r="V19" s="14">
        <v>0.06</v>
      </c>
      <c r="W19" s="14">
        <v>0.02</v>
      </c>
      <c r="X19" s="14">
        <v>0.05</v>
      </c>
      <c r="Y19" s="14">
        <v>0.04</v>
      </c>
      <c r="Z19" s="14">
        <v>0.02</v>
      </c>
      <c r="AA19" s="14">
        <v>0.03</v>
      </c>
      <c r="AB19" s="14">
        <v>0.04</v>
      </c>
      <c r="AC19" s="14">
        <v>7.0000000000000007E-2</v>
      </c>
      <c r="AD19" s="14">
        <v>0.05</v>
      </c>
      <c r="AE19" s="14">
        <v>0.05</v>
      </c>
      <c r="AF19" s="14">
        <v>7.0000000000000007E-2</v>
      </c>
    </row>
    <row r="20" spans="1:32">
      <c r="A20" s="19"/>
      <c r="B20" s="11" t="s">
        <v>581</v>
      </c>
      <c r="C20" s="12">
        <v>2049</v>
      </c>
      <c r="D20" s="12">
        <v>84</v>
      </c>
      <c r="E20" s="12">
        <v>134</v>
      </c>
      <c r="F20" s="12">
        <v>116</v>
      </c>
      <c r="G20" s="12">
        <v>101</v>
      </c>
      <c r="H20" s="12">
        <v>115</v>
      </c>
      <c r="I20" s="12">
        <v>137</v>
      </c>
      <c r="J20" s="12">
        <v>21</v>
      </c>
      <c r="K20" s="12">
        <v>108</v>
      </c>
      <c r="L20" s="12">
        <v>82</v>
      </c>
      <c r="M20" s="12">
        <v>61</v>
      </c>
      <c r="N20" s="12">
        <v>45</v>
      </c>
      <c r="O20" s="12">
        <v>76</v>
      </c>
      <c r="P20" s="12">
        <v>77</v>
      </c>
      <c r="Q20" s="12">
        <v>38</v>
      </c>
      <c r="R20" s="12">
        <v>34</v>
      </c>
      <c r="S20" s="12">
        <v>90</v>
      </c>
      <c r="T20" s="12">
        <v>109</v>
      </c>
      <c r="U20" s="12">
        <v>35</v>
      </c>
      <c r="V20" s="12">
        <v>112</v>
      </c>
      <c r="W20" s="12">
        <v>33</v>
      </c>
      <c r="X20" s="12">
        <v>79</v>
      </c>
      <c r="Y20" s="12">
        <v>101</v>
      </c>
      <c r="Z20" s="12">
        <v>66</v>
      </c>
      <c r="AA20" s="12">
        <v>208</v>
      </c>
      <c r="AB20" s="12">
        <v>101</v>
      </c>
      <c r="AC20" s="12">
        <v>130</v>
      </c>
      <c r="AD20" s="12">
        <v>127</v>
      </c>
      <c r="AE20" s="12">
        <v>57</v>
      </c>
      <c r="AF20" s="12">
        <v>111</v>
      </c>
    </row>
    <row r="21" spans="1:32">
      <c r="A21" s="19"/>
      <c r="B21" s="13" t="s">
        <v>581</v>
      </c>
      <c r="C21" s="14">
        <v>0.08</v>
      </c>
      <c r="D21" s="14">
        <v>0.08</v>
      </c>
      <c r="E21" s="14">
        <v>0.13</v>
      </c>
      <c r="F21" s="14">
        <v>0.11</v>
      </c>
      <c r="G21" s="14">
        <v>0.1</v>
      </c>
      <c r="H21" s="14">
        <v>0.09</v>
      </c>
      <c r="I21" s="14">
        <v>0.09</v>
      </c>
      <c r="J21" s="14">
        <v>7.0000000000000007E-2</v>
      </c>
      <c r="K21" s="14">
        <v>0.11</v>
      </c>
      <c r="L21" s="14">
        <v>0.08</v>
      </c>
      <c r="M21" s="14">
        <v>0.06</v>
      </c>
      <c r="N21" s="14">
        <v>0.04</v>
      </c>
      <c r="O21" s="14">
        <v>0.08</v>
      </c>
      <c r="P21" s="14">
        <v>0.08</v>
      </c>
      <c r="Q21" s="14">
        <v>0.04</v>
      </c>
      <c r="R21" s="14">
        <v>7.0000000000000007E-2</v>
      </c>
      <c r="S21" s="14">
        <v>0.09</v>
      </c>
      <c r="T21" s="14">
        <v>0.11</v>
      </c>
      <c r="U21" s="14">
        <v>7.0000000000000007E-2</v>
      </c>
      <c r="V21" s="14">
        <v>0.11</v>
      </c>
      <c r="W21" s="14">
        <v>0.06</v>
      </c>
      <c r="X21" s="14">
        <v>0.08</v>
      </c>
      <c r="Y21" s="14">
        <v>0.1</v>
      </c>
      <c r="Z21" s="14">
        <v>7.0000000000000007E-2</v>
      </c>
      <c r="AA21" s="14">
        <v>0.2</v>
      </c>
      <c r="AB21" s="14">
        <v>0.1</v>
      </c>
      <c r="AC21" s="14">
        <v>0.13</v>
      </c>
      <c r="AD21" s="14">
        <v>0.13</v>
      </c>
      <c r="AE21" s="14">
        <v>0.06</v>
      </c>
      <c r="AF21" s="14">
        <v>0.11</v>
      </c>
    </row>
    <row r="22" spans="1:32">
      <c r="A22" s="19"/>
      <c r="B22" s="11" t="s">
        <v>582</v>
      </c>
      <c r="C22" s="12">
        <v>2756</v>
      </c>
      <c r="D22" s="12">
        <v>129</v>
      </c>
      <c r="E22" s="12">
        <v>120</v>
      </c>
      <c r="F22" s="12">
        <v>116</v>
      </c>
      <c r="G22" s="12">
        <v>128</v>
      </c>
      <c r="H22" s="12">
        <v>157</v>
      </c>
      <c r="I22" s="12">
        <v>188</v>
      </c>
      <c r="J22" s="12">
        <v>31</v>
      </c>
      <c r="K22" s="12">
        <v>87</v>
      </c>
      <c r="L22" s="12">
        <v>87</v>
      </c>
      <c r="M22" s="12">
        <v>81</v>
      </c>
      <c r="N22" s="12">
        <v>85</v>
      </c>
      <c r="O22" s="12">
        <v>98</v>
      </c>
      <c r="P22" s="12">
        <v>91</v>
      </c>
      <c r="Q22" s="12">
        <v>80</v>
      </c>
      <c r="R22" s="12">
        <v>39</v>
      </c>
      <c r="S22" s="12">
        <v>65</v>
      </c>
      <c r="T22" s="12">
        <v>106</v>
      </c>
      <c r="U22" s="12">
        <v>48</v>
      </c>
      <c r="V22" s="12">
        <v>153</v>
      </c>
      <c r="W22" s="12">
        <v>40</v>
      </c>
      <c r="X22" s="12">
        <v>175</v>
      </c>
      <c r="Y22" s="12">
        <v>98</v>
      </c>
      <c r="Z22" s="12">
        <v>108</v>
      </c>
      <c r="AA22" s="12">
        <v>45</v>
      </c>
      <c r="AB22" s="12">
        <v>127</v>
      </c>
      <c r="AC22" s="12">
        <v>97</v>
      </c>
      <c r="AD22" s="12">
        <v>99</v>
      </c>
      <c r="AE22" s="12">
        <v>82</v>
      </c>
      <c r="AF22" s="12">
        <v>136</v>
      </c>
    </row>
    <row r="23" spans="1:32">
      <c r="A23" s="19"/>
      <c r="B23" s="13" t="s">
        <v>582</v>
      </c>
      <c r="C23" s="14">
        <v>0.1</v>
      </c>
      <c r="D23" s="14">
        <v>0.13</v>
      </c>
      <c r="E23" s="14">
        <v>0.12</v>
      </c>
      <c r="F23" s="14">
        <v>0.11</v>
      </c>
      <c r="G23" s="14">
        <v>0.13</v>
      </c>
      <c r="H23" s="14">
        <v>0.13</v>
      </c>
      <c r="I23" s="14">
        <v>0.12</v>
      </c>
      <c r="J23" s="14">
        <v>0.1</v>
      </c>
      <c r="K23" s="14">
        <v>0.09</v>
      </c>
      <c r="L23" s="14">
        <v>0.09</v>
      </c>
      <c r="M23" s="14">
        <v>0.08</v>
      </c>
      <c r="N23" s="14">
        <v>0.08</v>
      </c>
      <c r="O23" s="14">
        <v>0.1</v>
      </c>
      <c r="P23" s="14">
        <v>0.09</v>
      </c>
      <c r="Q23" s="14">
        <v>0.08</v>
      </c>
      <c r="R23" s="14">
        <v>0.08</v>
      </c>
      <c r="S23" s="14">
        <v>0.06</v>
      </c>
      <c r="T23" s="14">
        <v>0.1</v>
      </c>
      <c r="U23" s="14">
        <v>0.09</v>
      </c>
      <c r="V23" s="14">
        <v>0.15</v>
      </c>
      <c r="W23" s="14">
        <v>0.08</v>
      </c>
      <c r="X23" s="14">
        <v>0.17</v>
      </c>
      <c r="Y23" s="14">
        <v>0.1</v>
      </c>
      <c r="Z23" s="14">
        <v>0.11</v>
      </c>
      <c r="AA23" s="14">
        <v>0.05</v>
      </c>
      <c r="AB23" s="14">
        <v>0.12</v>
      </c>
      <c r="AC23" s="14">
        <v>0.1</v>
      </c>
      <c r="AD23" s="14">
        <v>0.1</v>
      </c>
      <c r="AE23" s="14">
        <v>0.08</v>
      </c>
      <c r="AF23" s="14">
        <v>0.13</v>
      </c>
    </row>
    <row r="24" spans="1:32">
      <c r="A24" s="19"/>
      <c r="B24" s="11" t="s">
        <v>583</v>
      </c>
      <c r="C24" s="12">
        <v>4705</v>
      </c>
      <c r="D24" s="12">
        <v>212</v>
      </c>
      <c r="E24" s="12">
        <v>157</v>
      </c>
      <c r="F24" s="12">
        <v>138</v>
      </c>
      <c r="G24" s="12">
        <v>191</v>
      </c>
      <c r="H24" s="12">
        <v>208</v>
      </c>
      <c r="I24" s="12">
        <v>262</v>
      </c>
      <c r="J24" s="12">
        <v>54</v>
      </c>
      <c r="K24" s="12">
        <v>136</v>
      </c>
      <c r="L24" s="12">
        <v>190</v>
      </c>
      <c r="M24" s="12">
        <v>179</v>
      </c>
      <c r="N24" s="12">
        <v>147</v>
      </c>
      <c r="O24" s="12">
        <v>202</v>
      </c>
      <c r="P24" s="12">
        <v>142</v>
      </c>
      <c r="Q24" s="12">
        <v>163</v>
      </c>
      <c r="R24" s="12">
        <v>75</v>
      </c>
      <c r="S24" s="12">
        <v>114</v>
      </c>
      <c r="T24" s="12">
        <v>140</v>
      </c>
      <c r="U24" s="12">
        <v>94</v>
      </c>
      <c r="V24" s="12">
        <v>204</v>
      </c>
      <c r="W24" s="12">
        <v>49</v>
      </c>
      <c r="X24" s="12">
        <v>263</v>
      </c>
      <c r="Y24" s="12">
        <v>189</v>
      </c>
      <c r="Z24" s="12">
        <v>208</v>
      </c>
      <c r="AA24" s="12">
        <v>100</v>
      </c>
      <c r="AB24" s="12">
        <v>216</v>
      </c>
      <c r="AC24" s="12">
        <v>148</v>
      </c>
      <c r="AD24" s="12">
        <v>159</v>
      </c>
      <c r="AE24" s="12">
        <v>160</v>
      </c>
      <c r="AF24" s="12">
        <v>226</v>
      </c>
    </row>
    <row r="25" spans="1:32">
      <c r="A25" s="19"/>
      <c r="B25" s="13" t="s">
        <v>583</v>
      </c>
      <c r="C25" s="14">
        <v>0.18</v>
      </c>
      <c r="D25" s="14">
        <v>0.21</v>
      </c>
      <c r="E25" s="14">
        <v>0.15</v>
      </c>
      <c r="F25" s="14">
        <v>0.13</v>
      </c>
      <c r="G25" s="14">
        <v>0.19</v>
      </c>
      <c r="H25" s="14">
        <v>0.17</v>
      </c>
      <c r="I25" s="14">
        <v>0.17</v>
      </c>
      <c r="J25" s="14">
        <v>0.18</v>
      </c>
      <c r="K25" s="14">
        <v>0.14000000000000001</v>
      </c>
      <c r="L25" s="14">
        <v>0.19</v>
      </c>
      <c r="M25" s="14">
        <v>0.18</v>
      </c>
      <c r="N25" s="14">
        <v>0.15</v>
      </c>
      <c r="O25" s="14">
        <v>0.2</v>
      </c>
      <c r="P25" s="14">
        <v>0.14000000000000001</v>
      </c>
      <c r="Q25" s="14">
        <v>0.16</v>
      </c>
      <c r="R25" s="14">
        <v>0.15</v>
      </c>
      <c r="S25" s="14">
        <v>0.11</v>
      </c>
      <c r="T25" s="14">
        <v>0.14000000000000001</v>
      </c>
      <c r="U25" s="14">
        <v>0.18</v>
      </c>
      <c r="V25" s="14">
        <v>0.2</v>
      </c>
      <c r="W25" s="14">
        <v>0.1</v>
      </c>
      <c r="X25" s="14">
        <v>0.26</v>
      </c>
      <c r="Y25" s="14">
        <v>0.19</v>
      </c>
      <c r="Z25" s="14">
        <v>0.2</v>
      </c>
      <c r="AA25" s="14">
        <v>0.1</v>
      </c>
      <c r="AB25" s="14">
        <v>0.21</v>
      </c>
      <c r="AC25" s="14">
        <v>0.15</v>
      </c>
      <c r="AD25" s="14">
        <v>0.16</v>
      </c>
      <c r="AE25" s="14">
        <v>0.16</v>
      </c>
      <c r="AF25" s="14">
        <v>0.22</v>
      </c>
    </row>
    <row r="26" spans="1:32">
      <c r="A26" s="19"/>
      <c r="B26" s="11" t="s">
        <v>584</v>
      </c>
      <c r="C26" s="12">
        <v>5605</v>
      </c>
      <c r="D26" s="12">
        <v>240</v>
      </c>
      <c r="E26" s="12">
        <v>174</v>
      </c>
      <c r="F26" s="12">
        <v>149</v>
      </c>
      <c r="G26" s="12">
        <v>197</v>
      </c>
      <c r="H26" s="12">
        <v>229</v>
      </c>
      <c r="I26" s="12">
        <v>290</v>
      </c>
      <c r="J26" s="12">
        <v>61</v>
      </c>
      <c r="K26" s="12">
        <v>156</v>
      </c>
      <c r="L26" s="12">
        <v>225</v>
      </c>
      <c r="M26" s="12">
        <v>295</v>
      </c>
      <c r="N26" s="12">
        <v>232</v>
      </c>
      <c r="O26" s="12">
        <v>224</v>
      </c>
      <c r="P26" s="12">
        <v>183</v>
      </c>
      <c r="Q26" s="12">
        <v>222</v>
      </c>
      <c r="R26" s="12">
        <v>141</v>
      </c>
      <c r="S26" s="12">
        <v>165</v>
      </c>
      <c r="T26" s="12">
        <v>163</v>
      </c>
      <c r="U26" s="12">
        <v>92</v>
      </c>
      <c r="V26" s="12">
        <v>161</v>
      </c>
      <c r="W26" s="12">
        <v>105</v>
      </c>
      <c r="X26" s="12">
        <v>251</v>
      </c>
      <c r="Y26" s="12">
        <v>215</v>
      </c>
      <c r="Z26" s="12">
        <v>231</v>
      </c>
      <c r="AA26" s="12">
        <v>146</v>
      </c>
      <c r="AB26" s="12">
        <v>254</v>
      </c>
      <c r="AC26" s="12">
        <v>168</v>
      </c>
      <c r="AD26" s="12">
        <v>216</v>
      </c>
      <c r="AE26" s="12">
        <v>263</v>
      </c>
      <c r="AF26" s="12">
        <v>182</v>
      </c>
    </row>
    <row r="27" spans="1:32">
      <c r="A27" s="19"/>
      <c r="B27" s="13" t="s">
        <v>584</v>
      </c>
      <c r="C27" s="14">
        <v>0.21</v>
      </c>
      <c r="D27" s="14">
        <v>0.24</v>
      </c>
      <c r="E27" s="14">
        <v>0.17</v>
      </c>
      <c r="F27" s="14">
        <v>0.14000000000000001</v>
      </c>
      <c r="G27" s="14">
        <v>0.19</v>
      </c>
      <c r="H27" s="14">
        <v>0.19</v>
      </c>
      <c r="I27" s="14">
        <v>0.19</v>
      </c>
      <c r="J27" s="14">
        <v>0.21</v>
      </c>
      <c r="K27" s="14">
        <v>0.15</v>
      </c>
      <c r="L27" s="14">
        <v>0.22</v>
      </c>
      <c r="M27" s="14">
        <v>0.28999999999999998</v>
      </c>
      <c r="N27" s="14">
        <v>0.23</v>
      </c>
      <c r="O27" s="14">
        <v>0.22</v>
      </c>
      <c r="P27" s="14">
        <v>0.18</v>
      </c>
      <c r="Q27" s="14">
        <v>0.22</v>
      </c>
      <c r="R27" s="14">
        <v>0.28000000000000003</v>
      </c>
      <c r="S27" s="14">
        <v>0.16</v>
      </c>
      <c r="T27" s="14">
        <v>0.16</v>
      </c>
      <c r="U27" s="14">
        <v>0.18</v>
      </c>
      <c r="V27" s="14">
        <v>0.16</v>
      </c>
      <c r="W27" s="14">
        <v>0.21</v>
      </c>
      <c r="X27" s="14">
        <v>0.25</v>
      </c>
      <c r="Y27" s="14">
        <v>0.21</v>
      </c>
      <c r="Z27" s="14">
        <v>0.23</v>
      </c>
      <c r="AA27" s="14">
        <v>0.14000000000000001</v>
      </c>
      <c r="AB27" s="14">
        <v>0.24</v>
      </c>
      <c r="AC27" s="14">
        <v>0.17</v>
      </c>
      <c r="AD27" s="14">
        <v>0.21</v>
      </c>
      <c r="AE27" s="14">
        <v>0.26</v>
      </c>
      <c r="AF27" s="14">
        <v>0.18</v>
      </c>
    </row>
    <row r="28" spans="1:32">
      <c r="A28" s="19"/>
      <c r="B28" s="11" t="s">
        <v>585</v>
      </c>
      <c r="C28" s="12">
        <v>3634</v>
      </c>
      <c r="D28" s="12">
        <v>145</v>
      </c>
      <c r="E28" s="12">
        <v>99</v>
      </c>
      <c r="F28" s="12">
        <v>132</v>
      </c>
      <c r="G28" s="12">
        <v>111</v>
      </c>
      <c r="H28" s="12">
        <v>105</v>
      </c>
      <c r="I28" s="12">
        <v>150</v>
      </c>
      <c r="J28" s="12">
        <v>45</v>
      </c>
      <c r="K28" s="12">
        <v>104</v>
      </c>
      <c r="L28" s="12">
        <v>112</v>
      </c>
      <c r="M28" s="12">
        <v>187</v>
      </c>
      <c r="N28" s="12">
        <v>171</v>
      </c>
      <c r="O28" s="12">
        <v>121</v>
      </c>
      <c r="P28" s="12">
        <v>137</v>
      </c>
      <c r="Q28" s="12">
        <v>216</v>
      </c>
      <c r="R28" s="12">
        <v>73</v>
      </c>
      <c r="S28" s="12">
        <v>137</v>
      </c>
      <c r="T28" s="12">
        <v>111</v>
      </c>
      <c r="U28" s="12">
        <v>65</v>
      </c>
      <c r="V28" s="12">
        <v>106</v>
      </c>
      <c r="W28" s="12">
        <v>102</v>
      </c>
      <c r="X28" s="12">
        <v>81</v>
      </c>
      <c r="Y28" s="12">
        <v>124</v>
      </c>
      <c r="Z28" s="12">
        <v>167</v>
      </c>
      <c r="AA28" s="12">
        <v>157</v>
      </c>
      <c r="AB28" s="12">
        <v>109</v>
      </c>
      <c r="AC28" s="12">
        <v>77</v>
      </c>
      <c r="AD28" s="12">
        <v>136</v>
      </c>
      <c r="AE28" s="12">
        <v>176</v>
      </c>
      <c r="AF28" s="12">
        <v>101</v>
      </c>
    </row>
    <row r="29" spans="1:32">
      <c r="A29" s="19"/>
      <c r="B29" s="13" t="s">
        <v>585</v>
      </c>
      <c r="C29" s="14">
        <v>0.14000000000000001</v>
      </c>
      <c r="D29" s="14">
        <v>0.14000000000000001</v>
      </c>
      <c r="E29" s="14">
        <v>0.09</v>
      </c>
      <c r="F29" s="14">
        <v>0.12</v>
      </c>
      <c r="G29" s="14">
        <v>0.11</v>
      </c>
      <c r="H29" s="14">
        <v>0.09</v>
      </c>
      <c r="I29" s="14">
        <v>0.1</v>
      </c>
      <c r="J29" s="14">
        <v>0.15</v>
      </c>
      <c r="K29" s="14">
        <v>0.1</v>
      </c>
      <c r="L29" s="14">
        <v>0.11</v>
      </c>
      <c r="M29" s="14">
        <v>0.19</v>
      </c>
      <c r="N29" s="14">
        <v>0.17</v>
      </c>
      <c r="O29" s="14">
        <v>0.12</v>
      </c>
      <c r="P29" s="14">
        <v>0.14000000000000001</v>
      </c>
      <c r="Q29" s="14">
        <v>0.21</v>
      </c>
      <c r="R29" s="14">
        <v>0.15</v>
      </c>
      <c r="S29" s="14">
        <v>0.14000000000000001</v>
      </c>
      <c r="T29" s="14">
        <v>0.11</v>
      </c>
      <c r="U29" s="14">
        <v>0.13</v>
      </c>
      <c r="V29" s="14">
        <v>0.1</v>
      </c>
      <c r="W29" s="14">
        <v>0.2</v>
      </c>
      <c r="X29" s="14">
        <v>0.08</v>
      </c>
      <c r="Y29" s="14">
        <v>0.12</v>
      </c>
      <c r="Z29" s="14">
        <v>0.16</v>
      </c>
      <c r="AA29" s="14">
        <v>0.15</v>
      </c>
      <c r="AB29" s="14">
        <v>0.11</v>
      </c>
      <c r="AC29" s="14">
        <v>0.08</v>
      </c>
      <c r="AD29" s="14">
        <v>0.14000000000000001</v>
      </c>
      <c r="AE29" s="14">
        <v>0.18</v>
      </c>
      <c r="AF29" s="14">
        <v>0.1</v>
      </c>
    </row>
    <row r="30" spans="1:32">
      <c r="A30" s="19"/>
      <c r="B30" s="11" t="s">
        <v>586</v>
      </c>
      <c r="C30" s="12">
        <v>5063</v>
      </c>
      <c r="D30" s="12">
        <v>114</v>
      </c>
      <c r="E30" s="12">
        <v>190</v>
      </c>
      <c r="F30" s="12">
        <v>178</v>
      </c>
      <c r="G30" s="12">
        <v>127</v>
      </c>
      <c r="H30" s="12">
        <v>206</v>
      </c>
      <c r="I30" s="12">
        <v>254</v>
      </c>
      <c r="J30" s="12">
        <v>48</v>
      </c>
      <c r="K30" s="12">
        <v>243</v>
      </c>
      <c r="L30" s="12">
        <v>197</v>
      </c>
      <c r="M30" s="12">
        <v>134</v>
      </c>
      <c r="N30" s="12">
        <v>291</v>
      </c>
      <c r="O30" s="12">
        <v>179</v>
      </c>
      <c r="P30" s="12">
        <v>255</v>
      </c>
      <c r="Q30" s="12">
        <v>249</v>
      </c>
      <c r="R30" s="12">
        <v>109</v>
      </c>
      <c r="S30" s="12">
        <v>308</v>
      </c>
      <c r="T30" s="12">
        <v>295</v>
      </c>
      <c r="U30" s="12">
        <v>138</v>
      </c>
      <c r="V30" s="12">
        <v>165</v>
      </c>
      <c r="W30" s="12">
        <v>140</v>
      </c>
      <c r="X30" s="12">
        <v>56</v>
      </c>
      <c r="Y30" s="12">
        <v>179</v>
      </c>
      <c r="Z30" s="12">
        <v>204</v>
      </c>
      <c r="AA30" s="12">
        <v>334</v>
      </c>
      <c r="AB30" s="12">
        <v>126</v>
      </c>
      <c r="AC30" s="12">
        <v>193</v>
      </c>
      <c r="AD30" s="12">
        <v>138</v>
      </c>
      <c r="AE30" s="12">
        <v>184</v>
      </c>
      <c r="AF30" s="12">
        <v>114</v>
      </c>
    </row>
    <row r="31" spans="1:32">
      <c r="A31" s="19"/>
      <c r="B31" s="13" t="s">
        <v>587</v>
      </c>
      <c r="C31" s="14">
        <v>0.19</v>
      </c>
      <c r="D31" s="14">
        <v>0.11</v>
      </c>
      <c r="E31" s="14">
        <v>0.18</v>
      </c>
      <c r="F31" s="14">
        <v>0.17</v>
      </c>
      <c r="G31" s="14">
        <v>0.12</v>
      </c>
      <c r="H31" s="14">
        <v>0.17</v>
      </c>
      <c r="I31" s="14">
        <v>0.17</v>
      </c>
      <c r="J31" s="14">
        <v>0.16</v>
      </c>
      <c r="K31" s="14">
        <v>0.24</v>
      </c>
      <c r="L31" s="14">
        <v>0.2</v>
      </c>
      <c r="M31" s="14">
        <v>0.13</v>
      </c>
      <c r="N31" s="14">
        <v>0.28999999999999998</v>
      </c>
      <c r="O31" s="14">
        <v>0.18</v>
      </c>
      <c r="P31" s="14">
        <v>0.25</v>
      </c>
      <c r="Q31" s="14">
        <v>0.24</v>
      </c>
      <c r="R31" s="14">
        <v>0.22</v>
      </c>
      <c r="S31" s="14">
        <v>0.31</v>
      </c>
      <c r="T31" s="14">
        <v>0.28999999999999998</v>
      </c>
      <c r="U31" s="14">
        <v>0.27</v>
      </c>
      <c r="V31" s="14">
        <v>0.16</v>
      </c>
      <c r="W31" s="14">
        <v>0.28000000000000003</v>
      </c>
      <c r="X31" s="14">
        <v>0.06</v>
      </c>
      <c r="Y31" s="14">
        <v>0.18</v>
      </c>
      <c r="Z31" s="14">
        <v>0.2</v>
      </c>
      <c r="AA31" s="14">
        <v>0.32</v>
      </c>
      <c r="AB31" s="14">
        <v>0.12</v>
      </c>
      <c r="AC31" s="14">
        <v>0.19</v>
      </c>
      <c r="AD31" s="14">
        <v>0.14000000000000001</v>
      </c>
      <c r="AE31" s="14">
        <v>0.18</v>
      </c>
      <c r="AF31" s="14">
        <v>0.11</v>
      </c>
    </row>
    <row r="32" spans="1:32">
      <c r="A32" s="19"/>
      <c r="B32" s="11" t="s">
        <v>386</v>
      </c>
      <c r="C32" s="12">
        <v>93</v>
      </c>
      <c r="D32" s="12">
        <v>2</v>
      </c>
      <c r="E32" s="12">
        <v>9</v>
      </c>
      <c r="F32" s="12">
        <v>3</v>
      </c>
      <c r="G32" s="12">
        <v>11</v>
      </c>
      <c r="H32" s="12">
        <v>6</v>
      </c>
      <c r="I32" s="12">
        <v>7</v>
      </c>
      <c r="J32" s="12">
        <v>1</v>
      </c>
      <c r="K32" s="12">
        <v>7</v>
      </c>
      <c r="L32" s="12">
        <v>2</v>
      </c>
      <c r="M32" s="12">
        <v>1</v>
      </c>
      <c r="N32" s="12">
        <v>0</v>
      </c>
      <c r="O32" s="12">
        <v>7</v>
      </c>
      <c r="P32" s="12">
        <v>7</v>
      </c>
      <c r="Q32" s="12">
        <v>1</v>
      </c>
      <c r="R32" s="12">
        <v>3</v>
      </c>
      <c r="S32" s="12">
        <v>6</v>
      </c>
      <c r="T32" s="12">
        <v>5</v>
      </c>
      <c r="U32" s="12">
        <v>0</v>
      </c>
      <c r="V32" s="12">
        <v>0</v>
      </c>
      <c r="W32" s="12">
        <v>5</v>
      </c>
      <c r="X32" s="12">
        <v>0</v>
      </c>
      <c r="Y32" s="12">
        <v>1</v>
      </c>
      <c r="Z32" s="12">
        <v>3</v>
      </c>
      <c r="AA32" s="12">
        <v>7</v>
      </c>
      <c r="AB32" s="12">
        <v>11</v>
      </c>
      <c r="AC32" s="12">
        <v>4</v>
      </c>
      <c r="AD32" s="12">
        <v>1</v>
      </c>
      <c r="AE32" s="12">
        <v>4</v>
      </c>
      <c r="AF32" s="12">
        <v>0</v>
      </c>
    </row>
    <row r="33" spans="1:32">
      <c r="A33" s="19"/>
      <c r="B33" s="13" t="s">
        <v>399</v>
      </c>
      <c r="C33" s="15" t="s">
        <v>375</v>
      </c>
      <c r="D33" s="15" t="s">
        <v>375</v>
      </c>
      <c r="E33" s="14">
        <v>0.01</v>
      </c>
      <c r="F33" s="15" t="s">
        <v>375</v>
      </c>
      <c r="G33" s="14">
        <v>0.01</v>
      </c>
      <c r="H33" s="15" t="s">
        <v>375</v>
      </c>
      <c r="I33" s="15" t="s">
        <v>375</v>
      </c>
      <c r="J33" s="15" t="s">
        <v>375</v>
      </c>
      <c r="K33" s="14">
        <v>0.01</v>
      </c>
      <c r="L33" s="15" t="s">
        <v>375</v>
      </c>
      <c r="M33" s="15" t="s">
        <v>375</v>
      </c>
      <c r="N33" s="15" t="s">
        <v>375</v>
      </c>
      <c r="O33" s="14">
        <v>0.01</v>
      </c>
      <c r="P33" s="14">
        <v>0.01</v>
      </c>
      <c r="Q33" s="15" t="s">
        <v>375</v>
      </c>
      <c r="R33" s="15" t="s">
        <v>375</v>
      </c>
      <c r="S33" s="14">
        <v>0.01</v>
      </c>
      <c r="T33" s="15" t="s">
        <v>375</v>
      </c>
      <c r="U33" s="15" t="s">
        <v>375</v>
      </c>
      <c r="V33" s="15" t="s">
        <v>375</v>
      </c>
      <c r="W33" s="14">
        <v>0.01</v>
      </c>
      <c r="X33" s="15" t="s">
        <v>375</v>
      </c>
      <c r="Y33" s="15" t="s">
        <v>375</v>
      </c>
      <c r="Z33" s="15" t="s">
        <v>375</v>
      </c>
      <c r="AA33" s="14">
        <v>0.01</v>
      </c>
      <c r="AB33" s="14">
        <v>0.01</v>
      </c>
      <c r="AC33" s="15" t="s">
        <v>375</v>
      </c>
      <c r="AD33" s="15" t="s">
        <v>375</v>
      </c>
      <c r="AE33" s="15" t="s">
        <v>375</v>
      </c>
      <c r="AF33" s="15" t="s">
        <v>375</v>
      </c>
    </row>
    <row r="34" spans="1:32">
      <c r="A34" s="19"/>
      <c r="B34" s="11" t="s">
        <v>588</v>
      </c>
      <c r="C34" s="12">
        <v>2549</v>
      </c>
      <c r="D34" s="12">
        <v>94</v>
      </c>
      <c r="E34" s="12">
        <v>160</v>
      </c>
      <c r="F34" s="12">
        <v>232</v>
      </c>
      <c r="G34" s="12">
        <v>151</v>
      </c>
      <c r="H34" s="12">
        <v>202</v>
      </c>
      <c r="I34" s="12">
        <v>240</v>
      </c>
      <c r="J34" s="12">
        <v>37</v>
      </c>
      <c r="K34" s="12">
        <v>163</v>
      </c>
      <c r="L34" s="12">
        <v>111</v>
      </c>
      <c r="M34" s="12">
        <v>71</v>
      </c>
      <c r="N34" s="12">
        <v>40</v>
      </c>
      <c r="O34" s="12">
        <v>95</v>
      </c>
      <c r="P34" s="12">
        <v>110</v>
      </c>
      <c r="Q34" s="12">
        <v>64</v>
      </c>
      <c r="R34" s="12">
        <v>25</v>
      </c>
      <c r="S34" s="12">
        <v>118</v>
      </c>
      <c r="T34" s="12">
        <v>93</v>
      </c>
      <c r="U34" s="12">
        <v>37</v>
      </c>
      <c r="V34" s="12">
        <v>125</v>
      </c>
      <c r="W34" s="12">
        <v>28</v>
      </c>
      <c r="X34" s="12">
        <v>104</v>
      </c>
      <c r="Y34" s="12">
        <v>96</v>
      </c>
      <c r="Z34" s="12">
        <v>29</v>
      </c>
      <c r="AA34" s="12">
        <v>39</v>
      </c>
      <c r="AB34" s="12">
        <v>97</v>
      </c>
      <c r="AC34" s="12">
        <v>187</v>
      </c>
      <c r="AD34" s="12">
        <v>129</v>
      </c>
      <c r="AE34" s="12">
        <v>75</v>
      </c>
      <c r="AF34" s="12">
        <v>162</v>
      </c>
    </row>
    <row r="35" spans="1:32">
      <c r="A35" s="19"/>
      <c r="B35" s="13" t="s">
        <v>589</v>
      </c>
      <c r="C35" s="14">
        <v>0.1</v>
      </c>
      <c r="D35" s="14">
        <v>0.09</v>
      </c>
      <c r="E35" s="14">
        <v>0.15</v>
      </c>
      <c r="F35" s="14">
        <v>0.22</v>
      </c>
      <c r="G35" s="14">
        <v>0.15</v>
      </c>
      <c r="H35" s="14">
        <v>0.16</v>
      </c>
      <c r="I35" s="14">
        <v>0.16</v>
      </c>
      <c r="J35" s="14">
        <v>0.13</v>
      </c>
      <c r="K35" s="14">
        <v>0.16</v>
      </c>
      <c r="L35" s="14">
        <v>0.11</v>
      </c>
      <c r="M35" s="14">
        <v>7.0000000000000007E-2</v>
      </c>
      <c r="N35" s="14">
        <v>0.04</v>
      </c>
      <c r="O35" s="14">
        <v>0.09</v>
      </c>
      <c r="P35" s="14">
        <v>0.11</v>
      </c>
      <c r="Q35" s="14">
        <v>0.05</v>
      </c>
      <c r="R35" s="14">
        <v>0.05</v>
      </c>
      <c r="S35" s="14">
        <v>0.12</v>
      </c>
      <c r="T35" s="14">
        <v>0.09</v>
      </c>
      <c r="U35" s="14">
        <v>0.08</v>
      </c>
      <c r="V35" s="14">
        <v>0.12</v>
      </c>
      <c r="W35" s="14">
        <v>0.06</v>
      </c>
      <c r="X35" s="14">
        <v>0.1</v>
      </c>
      <c r="Y35" s="14">
        <v>0.1</v>
      </c>
      <c r="Z35" s="14">
        <v>0.03</v>
      </c>
      <c r="AA35" s="14">
        <v>0.03</v>
      </c>
      <c r="AB35" s="14">
        <v>0.09</v>
      </c>
      <c r="AC35" s="14">
        <v>0.18</v>
      </c>
      <c r="AD35" s="14">
        <v>0.12</v>
      </c>
      <c r="AE35" s="14">
        <v>0.08</v>
      </c>
      <c r="AF35" s="14">
        <v>0.15</v>
      </c>
    </row>
    <row r="36" spans="1:32">
      <c r="A36" s="19"/>
      <c r="B36" s="11" t="s">
        <v>590</v>
      </c>
      <c r="C36" s="12">
        <v>4805</v>
      </c>
      <c r="D36" s="12">
        <v>213</v>
      </c>
      <c r="E36" s="12">
        <v>254</v>
      </c>
      <c r="F36" s="12">
        <v>232</v>
      </c>
      <c r="G36" s="12">
        <v>229</v>
      </c>
      <c r="H36" s="12">
        <v>272</v>
      </c>
      <c r="I36" s="12">
        <v>325</v>
      </c>
      <c r="J36" s="12">
        <v>52</v>
      </c>
      <c r="K36" s="12">
        <v>195</v>
      </c>
      <c r="L36" s="12">
        <v>169</v>
      </c>
      <c r="M36" s="12">
        <v>142</v>
      </c>
      <c r="N36" s="12">
        <v>130</v>
      </c>
      <c r="O36" s="12">
        <v>174</v>
      </c>
      <c r="P36" s="12">
        <v>168</v>
      </c>
      <c r="Q36" s="12">
        <v>118</v>
      </c>
      <c r="R36" s="12">
        <v>73</v>
      </c>
      <c r="S36" s="12">
        <v>155</v>
      </c>
      <c r="T36" s="12">
        <v>215</v>
      </c>
      <c r="U36" s="12">
        <v>83</v>
      </c>
      <c r="V36" s="12">
        <v>265</v>
      </c>
      <c r="W36" s="12">
        <v>73</v>
      </c>
      <c r="X36" s="12">
        <v>254</v>
      </c>
      <c r="Y36" s="12">
        <v>199</v>
      </c>
      <c r="Z36" s="12">
        <v>174</v>
      </c>
      <c r="AA36" s="12">
        <v>253</v>
      </c>
      <c r="AB36" s="12">
        <v>228</v>
      </c>
      <c r="AC36" s="12">
        <v>227</v>
      </c>
      <c r="AD36" s="12">
        <v>226</v>
      </c>
      <c r="AE36" s="12">
        <v>139</v>
      </c>
      <c r="AF36" s="12">
        <v>247</v>
      </c>
    </row>
    <row r="37" spans="1:32">
      <c r="A37" s="19"/>
      <c r="B37" s="13" t="s">
        <v>591</v>
      </c>
      <c r="C37" s="14">
        <v>0.18</v>
      </c>
      <c r="D37" s="14">
        <v>0.21</v>
      </c>
      <c r="E37" s="14">
        <v>0.25</v>
      </c>
      <c r="F37" s="14">
        <v>0.22</v>
      </c>
      <c r="G37" s="14">
        <v>0.23</v>
      </c>
      <c r="H37" s="14">
        <v>0.22</v>
      </c>
      <c r="I37" s="14">
        <v>0.21</v>
      </c>
      <c r="J37" s="14">
        <v>0.17</v>
      </c>
      <c r="K37" s="14">
        <v>0.2</v>
      </c>
      <c r="L37" s="14">
        <v>0.17</v>
      </c>
      <c r="M37" s="14">
        <v>0.14000000000000001</v>
      </c>
      <c r="N37" s="14">
        <v>0.12</v>
      </c>
      <c r="O37" s="14">
        <v>0.18</v>
      </c>
      <c r="P37" s="14">
        <v>0.17</v>
      </c>
      <c r="Q37" s="14">
        <v>0.12</v>
      </c>
      <c r="R37" s="14">
        <v>0.15</v>
      </c>
      <c r="S37" s="14">
        <v>0.15</v>
      </c>
      <c r="T37" s="14">
        <v>0.21</v>
      </c>
      <c r="U37" s="14">
        <v>0.16</v>
      </c>
      <c r="V37" s="14">
        <v>0.26</v>
      </c>
      <c r="W37" s="14">
        <v>0.14000000000000001</v>
      </c>
      <c r="X37" s="14">
        <v>0.25</v>
      </c>
      <c r="Y37" s="14">
        <v>0.2</v>
      </c>
      <c r="Z37" s="14">
        <v>0.18</v>
      </c>
      <c r="AA37" s="14">
        <v>0.25</v>
      </c>
      <c r="AB37" s="14">
        <v>0.22</v>
      </c>
      <c r="AC37" s="14">
        <v>0.23</v>
      </c>
      <c r="AD37" s="14">
        <v>0.23</v>
      </c>
      <c r="AE37" s="14">
        <v>0.14000000000000001</v>
      </c>
      <c r="AF37" s="14">
        <v>0.24</v>
      </c>
    </row>
    <row r="38" spans="1:32">
      <c r="A38" s="19"/>
      <c r="B38" s="11" t="s">
        <v>592</v>
      </c>
      <c r="C38" s="12">
        <v>19007</v>
      </c>
      <c r="D38" s="12">
        <v>711</v>
      </c>
      <c r="E38" s="12">
        <v>620</v>
      </c>
      <c r="F38" s="12">
        <v>597</v>
      </c>
      <c r="G38" s="12">
        <v>626</v>
      </c>
      <c r="H38" s="12">
        <v>748</v>
      </c>
      <c r="I38" s="12">
        <v>956</v>
      </c>
      <c r="J38" s="12">
        <v>208</v>
      </c>
      <c r="K38" s="12">
        <v>639</v>
      </c>
      <c r="L38" s="12">
        <v>724</v>
      </c>
      <c r="M38" s="12">
        <v>795</v>
      </c>
      <c r="N38" s="12">
        <v>841</v>
      </c>
      <c r="O38" s="12">
        <v>726</v>
      </c>
      <c r="P38" s="12">
        <v>717</v>
      </c>
      <c r="Q38" s="12">
        <v>850</v>
      </c>
      <c r="R38" s="12">
        <v>398</v>
      </c>
      <c r="S38" s="12">
        <v>724</v>
      </c>
      <c r="T38" s="12">
        <v>709</v>
      </c>
      <c r="U38" s="12">
        <v>389</v>
      </c>
      <c r="V38" s="12">
        <v>636</v>
      </c>
      <c r="W38" s="12">
        <v>396</v>
      </c>
      <c r="X38" s="12">
        <v>651</v>
      </c>
      <c r="Y38" s="12">
        <v>707</v>
      </c>
      <c r="Z38" s="12">
        <v>810</v>
      </c>
      <c r="AA38" s="12">
        <v>737</v>
      </c>
      <c r="AB38" s="12">
        <v>705</v>
      </c>
      <c r="AC38" s="12">
        <v>586</v>
      </c>
      <c r="AD38" s="12">
        <v>649</v>
      </c>
      <c r="AE38" s="12">
        <v>783</v>
      </c>
      <c r="AF38" s="12">
        <v>623</v>
      </c>
    </row>
    <row r="39" spans="1:32">
      <c r="A39" s="19"/>
      <c r="B39" s="13" t="s">
        <v>593</v>
      </c>
      <c r="C39" s="14">
        <v>0.72</v>
      </c>
      <c r="D39" s="14">
        <v>0.70000000000000007</v>
      </c>
      <c r="E39" s="14">
        <v>0.59</v>
      </c>
      <c r="F39" s="14">
        <v>0.56000000000000005</v>
      </c>
      <c r="G39" s="14">
        <v>0.61</v>
      </c>
      <c r="H39" s="14">
        <v>0.62</v>
      </c>
      <c r="I39" s="14">
        <v>0.63</v>
      </c>
      <c r="J39" s="14">
        <v>0.70000000000000007</v>
      </c>
      <c r="K39" s="14">
        <v>0.63</v>
      </c>
      <c r="L39" s="14">
        <v>0.72</v>
      </c>
      <c r="M39" s="14">
        <v>0.79</v>
      </c>
      <c r="N39" s="14">
        <v>0.84</v>
      </c>
      <c r="O39" s="14">
        <v>0.72</v>
      </c>
      <c r="P39" s="14">
        <v>0.71</v>
      </c>
      <c r="Q39" s="14">
        <v>0.83000000000000007</v>
      </c>
      <c r="R39" s="14">
        <v>0.8</v>
      </c>
      <c r="S39" s="14">
        <v>0.72</v>
      </c>
      <c r="T39" s="14">
        <v>0.70000000000000007</v>
      </c>
      <c r="U39" s="14">
        <v>0.76</v>
      </c>
      <c r="V39" s="14">
        <v>0.62</v>
      </c>
      <c r="W39" s="14">
        <v>0.79</v>
      </c>
      <c r="X39" s="14">
        <v>0.65</v>
      </c>
      <c r="Y39" s="14">
        <v>0.70000000000000007</v>
      </c>
      <c r="Z39" s="14">
        <v>0.79</v>
      </c>
      <c r="AA39" s="14">
        <v>0.71</v>
      </c>
      <c r="AB39" s="14">
        <v>0.68</v>
      </c>
      <c r="AC39" s="14">
        <v>0.59</v>
      </c>
      <c r="AD39" s="14">
        <v>0.65</v>
      </c>
      <c r="AE39" s="14">
        <v>0.78</v>
      </c>
      <c r="AF39" s="14">
        <v>0.61</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594</v>
      </c>
      <c r="C3" s="17"/>
      <c r="D3" s="17"/>
      <c r="E3" s="17"/>
      <c r="F3" s="17"/>
      <c r="H3" s="17" t="s">
        <v>595</v>
      </c>
      <c r="I3" s="17"/>
      <c r="J3" s="17"/>
      <c r="K3" s="17"/>
      <c r="L3" s="17"/>
    </row>
    <row r="4" spans="1:32" ht="27" customHeight="1">
      <c r="B4" s="17" t="s">
        <v>596</v>
      </c>
      <c r="C4" s="17"/>
      <c r="D4" s="17"/>
      <c r="E4" s="17"/>
      <c r="F4" s="17"/>
      <c r="H4" s="17" t="s">
        <v>597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HYPERLINK("#Content!A30","&lt;&lt;Back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640</v>
      </c>
      <c r="D12" s="12">
        <v>22</v>
      </c>
      <c r="E12" s="12">
        <v>64</v>
      </c>
      <c r="F12" s="12">
        <v>40</v>
      </c>
      <c r="G12" s="12">
        <v>25</v>
      </c>
      <c r="H12" s="12">
        <v>25</v>
      </c>
      <c r="I12" s="12">
        <v>30</v>
      </c>
      <c r="J12" s="12">
        <v>5</v>
      </c>
      <c r="K12" s="12">
        <v>64</v>
      </c>
      <c r="L12" s="12">
        <v>29</v>
      </c>
      <c r="M12" s="12">
        <v>11</v>
      </c>
      <c r="N12" s="12">
        <v>28</v>
      </c>
      <c r="O12" s="12">
        <v>30</v>
      </c>
      <c r="P12" s="12">
        <v>22</v>
      </c>
      <c r="Q12" s="12">
        <v>28</v>
      </c>
      <c r="R12" s="12">
        <v>5</v>
      </c>
      <c r="S12" s="12">
        <v>70</v>
      </c>
      <c r="T12" s="12">
        <v>57</v>
      </c>
      <c r="U12" s="12">
        <v>10</v>
      </c>
      <c r="V12" s="12">
        <v>27</v>
      </c>
      <c r="W12" s="12">
        <v>11</v>
      </c>
      <c r="X12" s="12">
        <v>22</v>
      </c>
      <c r="Y12" s="12">
        <v>57</v>
      </c>
      <c r="Z12" s="12">
        <v>1</v>
      </c>
      <c r="AA12" s="12">
        <v>7</v>
      </c>
      <c r="AB12" s="12">
        <v>29</v>
      </c>
      <c r="AC12" s="12">
        <v>42</v>
      </c>
      <c r="AD12" s="12">
        <v>36</v>
      </c>
      <c r="AE12" s="12">
        <v>16</v>
      </c>
      <c r="AF12" s="12">
        <v>13</v>
      </c>
    </row>
    <row r="13" spans="1:32">
      <c r="A13" s="19"/>
      <c r="B13" s="13" t="s">
        <v>577</v>
      </c>
      <c r="C13" s="14">
        <v>0.02</v>
      </c>
      <c r="D13" s="14">
        <v>0.02</v>
      </c>
      <c r="E13" s="14">
        <v>0.06</v>
      </c>
      <c r="F13" s="14">
        <v>0.04</v>
      </c>
      <c r="G13" s="14">
        <v>0.02</v>
      </c>
      <c r="H13" s="14">
        <v>0.02</v>
      </c>
      <c r="I13" s="14">
        <v>0.02</v>
      </c>
      <c r="J13" s="14">
        <v>0.02</v>
      </c>
      <c r="K13" s="14">
        <v>0.06</v>
      </c>
      <c r="L13" s="14">
        <v>0.03</v>
      </c>
      <c r="M13" s="14">
        <v>0.01</v>
      </c>
      <c r="N13" s="14">
        <v>0.03</v>
      </c>
      <c r="O13" s="14">
        <v>0.03</v>
      </c>
      <c r="P13" s="14">
        <v>0.02</v>
      </c>
      <c r="Q13" s="14">
        <v>0.03</v>
      </c>
      <c r="R13" s="14">
        <v>0.01</v>
      </c>
      <c r="S13" s="14">
        <v>7.0000000000000007E-2</v>
      </c>
      <c r="T13" s="14">
        <v>0.06</v>
      </c>
      <c r="U13" s="14">
        <v>0.02</v>
      </c>
      <c r="V13" s="14">
        <v>0.03</v>
      </c>
      <c r="W13" s="14">
        <v>0.02</v>
      </c>
      <c r="X13" s="14">
        <v>0.02</v>
      </c>
      <c r="Y13" s="14">
        <v>0.06</v>
      </c>
      <c r="Z13" s="15" t="s">
        <v>375</v>
      </c>
      <c r="AA13" s="14">
        <v>0.01</v>
      </c>
      <c r="AB13" s="14">
        <v>0.03</v>
      </c>
      <c r="AC13" s="14">
        <v>0.04</v>
      </c>
      <c r="AD13" s="14">
        <v>0.03</v>
      </c>
      <c r="AE13" s="14">
        <v>0.02</v>
      </c>
      <c r="AF13" s="14">
        <v>0.01</v>
      </c>
    </row>
    <row r="14" spans="1:32">
      <c r="A14" s="19"/>
      <c r="B14" s="11" t="s">
        <v>578</v>
      </c>
      <c r="C14" s="12">
        <v>636</v>
      </c>
      <c r="D14" s="12">
        <v>9</v>
      </c>
      <c r="E14" s="12">
        <v>31</v>
      </c>
      <c r="F14" s="12">
        <v>32</v>
      </c>
      <c r="G14" s="12">
        <v>27</v>
      </c>
      <c r="H14" s="12">
        <v>77</v>
      </c>
      <c r="I14" s="12">
        <v>95</v>
      </c>
      <c r="J14" s="12">
        <v>17</v>
      </c>
      <c r="K14" s="12">
        <v>34</v>
      </c>
      <c r="L14" s="12">
        <v>19</v>
      </c>
      <c r="M14" s="12">
        <v>23</v>
      </c>
      <c r="N14" s="12">
        <v>15</v>
      </c>
      <c r="O14" s="12">
        <v>19</v>
      </c>
      <c r="P14" s="12">
        <v>17</v>
      </c>
      <c r="Q14" s="12">
        <v>7</v>
      </c>
      <c r="R14" s="12">
        <v>4</v>
      </c>
      <c r="S14" s="12">
        <v>23</v>
      </c>
      <c r="T14" s="12">
        <v>26</v>
      </c>
      <c r="U14" s="12">
        <v>8</v>
      </c>
      <c r="V14" s="12">
        <v>22</v>
      </c>
      <c r="W14" s="12">
        <v>8</v>
      </c>
      <c r="X14" s="12">
        <v>13</v>
      </c>
      <c r="Y14" s="12">
        <v>17</v>
      </c>
      <c r="Z14" s="12">
        <v>2</v>
      </c>
      <c r="AA14" s="12">
        <v>18</v>
      </c>
      <c r="AB14" s="12">
        <v>19</v>
      </c>
      <c r="AC14" s="12">
        <v>41</v>
      </c>
      <c r="AD14" s="12">
        <v>27</v>
      </c>
      <c r="AE14" s="12">
        <v>13</v>
      </c>
      <c r="AF14" s="12">
        <v>31</v>
      </c>
    </row>
    <row r="15" spans="1:32">
      <c r="A15" s="19"/>
      <c r="B15" s="13" t="s">
        <v>578</v>
      </c>
      <c r="C15" s="14">
        <v>0.02</v>
      </c>
      <c r="D15" s="14">
        <v>0.01</v>
      </c>
      <c r="E15" s="14">
        <v>0.03</v>
      </c>
      <c r="F15" s="14">
        <v>0.03</v>
      </c>
      <c r="G15" s="14">
        <v>0.03</v>
      </c>
      <c r="H15" s="14">
        <v>0.06</v>
      </c>
      <c r="I15" s="14">
        <v>0.06</v>
      </c>
      <c r="J15" s="14">
        <v>0.06</v>
      </c>
      <c r="K15" s="14">
        <v>0.03</v>
      </c>
      <c r="L15" s="14">
        <v>0.02</v>
      </c>
      <c r="M15" s="14">
        <v>0.02</v>
      </c>
      <c r="N15" s="14">
        <v>0.01</v>
      </c>
      <c r="O15" s="14">
        <v>0.02</v>
      </c>
      <c r="P15" s="14">
        <v>0.02</v>
      </c>
      <c r="Q15" s="14">
        <v>0.01</v>
      </c>
      <c r="R15" s="14">
        <v>0.01</v>
      </c>
      <c r="S15" s="14">
        <v>0.02</v>
      </c>
      <c r="T15" s="14">
        <v>0.03</v>
      </c>
      <c r="U15" s="14">
        <v>0.02</v>
      </c>
      <c r="V15" s="14">
        <v>0.02</v>
      </c>
      <c r="W15" s="14">
        <v>0.02</v>
      </c>
      <c r="X15" s="14">
        <v>0.01</v>
      </c>
      <c r="Y15" s="14">
        <v>0.02</v>
      </c>
      <c r="Z15" s="15" t="s">
        <v>375</v>
      </c>
      <c r="AA15" s="14">
        <v>0.02</v>
      </c>
      <c r="AB15" s="14">
        <v>0.02</v>
      </c>
      <c r="AC15" s="14">
        <v>0.04</v>
      </c>
      <c r="AD15" s="14">
        <v>0.03</v>
      </c>
      <c r="AE15" s="14">
        <v>0.01</v>
      </c>
      <c r="AF15" s="14">
        <v>0.03</v>
      </c>
    </row>
    <row r="16" spans="1:32">
      <c r="A16" s="19"/>
      <c r="B16" s="11" t="s">
        <v>579</v>
      </c>
      <c r="C16" s="12">
        <v>922</v>
      </c>
      <c r="D16" s="12">
        <v>24</v>
      </c>
      <c r="E16" s="12">
        <v>71</v>
      </c>
      <c r="F16" s="12">
        <v>83</v>
      </c>
      <c r="G16" s="12">
        <v>64</v>
      </c>
      <c r="H16" s="12">
        <v>64</v>
      </c>
      <c r="I16" s="12">
        <v>75</v>
      </c>
      <c r="J16" s="12">
        <v>11</v>
      </c>
      <c r="K16" s="12">
        <v>73</v>
      </c>
      <c r="L16" s="12">
        <v>35</v>
      </c>
      <c r="M16" s="12">
        <v>45</v>
      </c>
      <c r="N16" s="12">
        <v>22</v>
      </c>
      <c r="O16" s="12">
        <v>29</v>
      </c>
      <c r="P16" s="12">
        <v>47</v>
      </c>
      <c r="Q16" s="12">
        <v>18</v>
      </c>
      <c r="R16" s="12">
        <v>13</v>
      </c>
      <c r="S16" s="12">
        <v>47</v>
      </c>
      <c r="T16" s="12">
        <v>47</v>
      </c>
      <c r="U16" s="12">
        <v>13</v>
      </c>
      <c r="V16" s="12">
        <v>49</v>
      </c>
      <c r="W16" s="12">
        <v>10</v>
      </c>
      <c r="X16" s="12">
        <v>25</v>
      </c>
      <c r="Y16" s="12">
        <v>43</v>
      </c>
      <c r="Z16" s="12">
        <v>13</v>
      </c>
      <c r="AA16" s="12">
        <v>51</v>
      </c>
      <c r="AB16" s="12">
        <v>30</v>
      </c>
      <c r="AC16" s="12">
        <v>75</v>
      </c>
      <c r="AD16" s="12">
        <v>66</v>
      </c>
      <c r="AE16" s="12">
        <v>49</v>
      </c>
      <c r="AF16" s="12">
        <v>70</v>
      </c>
    </row>
    <row r="17" spans="1:32">
      <c r="A17" s="19"/>
      <c r="B17" s="13" t="s">
        <v>579</v>
      </c>
      <c r="C17" s="14">
        <v>0.03</v>
      </c>
      <c r="D17" s="14">
        <v>0.02</v>
      </c>
      <c r="E17" s="14">
        <v>7.0000000000000007E-2</v>
      </c>
      <c r="F17" s="14">
        <v>0.08</v>
      </c>
      <c r="G17" s="14">
        <v>0.06</v>
      </c>
      <c r="H17" s="14">
        <v>0.05</v>
      </c>
      <c r="I17" s="14">
        <v>0.05</v>
      </c>
      <c r="J17" s="14">
        <v>0.04</v>
      </c>
      <c r="K17" s="14">
        <v>7.0000000000000007E-2</v>
      </c>
      <c r="L17" s="14">
        <v>0.03</v>
      </c>
      <c r="M17" s="14">
        <v>0.05</v>
      </c>
      <c r="N17" s="14">
        <v>0.02</v>
      </c>
      <c r="O17" s="14">
        <v>0.03</v>
      </c>
      <c r="P17" s="14">
        <v>0.05</v>
      </c>
      <c r="Q17" s="14">
        <v>0.02</v>
      </c>
      <c r="R17" s="14">
        <v>0.03</v>
      </c>
      <c r="S17" s="14">
        <v>0.05</v>
      </c>
      <c r="T17" s="14">
        <v>0.05</v>
      </c>
      <c r="U17" s="14">
        <v>0.02</v>
      </c>
      <c r="V17" s="14">
        <v>0.05</v>
      </c>
      <c r="W17" s="14">
        <v>0.02</v>
      </c>
      <c r="X17" s="14">
        <v>0.03</v>
      </c>
      <c r="Y17" s="14">
        <v>0.04</v>
      </c>
      <c r="Z17" s="14">
        <v>0.01</v>
      </c>
      <c r="AA17" s="14">
        <v>0.05</v>
      </c>
      <c r="AB17" s="14">
        <v>0.03</v>
      </c>
      <c r="AC17" s="14">
        <v>0.08</v>
      </c>
      <c r="AD17" s="14">
        <v>7.0000000000000007E-2</v>
      </c>
      <c r="AE17" s="14">
        <v>0.05</v>
      </c>
      <c r="AF17" s="14">
        <v>7.0000000000000007E-2</v>
      </c>
    </row>
    <row r="18" spans="1:32">
      <c r="A18" s="19"/>
      <c r="B18" s="11" t="s">
        <v>580</v>
      </c>
      <c r="C18" s="12">
        <v>1209</v>
      </c>
      <c r="D18" s="12">
        <v>49</v>
      </c>
      <c r="E18" s="12">
        <v>90</v>
      </c>
      <c r="F18" s="12">
        <v>106</v>
      </c>
      <c r="G18" s="12">
        <v>69</v>
      </c>
      <c r="H18" s="12">
        <v>84</v>
      </c>
      <c r="I18" s="12">
        <v>97</v>
      </c>
      <c r="J18" s="12">
        <v>13</v>
      </c>
      <c r="K18" s="12">
        <v>86</v>
      </c>
      <c r="L18" s="12">
        <v>32</v>
      </c>
      <c r="M18" s="12">
        <v>59</v>
      </c>
      <c r="N18" s="12">
        <v>26</v>
      </c>
      <c r="O18" s="12">
        <v>33</v>
      </c>
      <c r="P18" s="12">
        <v>55</v>
      </c>
      <c r="Q18" s="12">
        <v>28</v>
      </c>
      <c r="R18" s="12">
        <v>21</v>
      </c>
      <c r="S18" s="12">
        <v>76</v>
      </c>
      <c r="T18" s="12">
        <v>50</v>
      </c>
      <c r="U18" s="12">
        <v>20</v>
      </c>
      <c r="V18" s="12">
        <v>83</v>
      </c>
      <c r="W18" s="12">
        <v>5</v>
      </c>
      <c r="X18" s="12">
        <v>53</v>
      </c>
      <c r="Y18" s="12">
        <v>58</v>
      </c>
      <c r="Z18" s="12">
        <v>30</v>
      </c>
      <c r="AA18" s="12">
        <v>45</v>
      </c>
      <c r="AB18" s="12">
        <v>45</v>
      </c>
      <c r="AC18" s="12">
        <v>60</v>
      </c>
      <c r="AD18" s="12">
        <v>71</v>
      </c>
      <c r="AE18" s="12">
        <v>58</v>
      </c>
      <c r="AF18" s="12">
        <v>65</v>
      </c>
    </row>
    <row r="19" spans="1:32">
      <c r="A19" s="19"/>
      <c r="B19" s="13" t="s">
        <v>580</v>
      </c>
      <c r="C19" s="14">
        <v>0.05</v>
      </c>
      <c r="D19" s="14">
        <v>0.05</v>
      </c>
      <c r="E19" s="14">
        <v>0.09</v>
      </c>
      <c r="F19" s="14">
        <v>0.1</v>
      </c>
      <c r="G19" s="14">
        <v>7.0000000000000007E-2</v>
      </c>
      <c r="H19" s="14">
        <v>7.0000000000000007E-2</v>
      </c>
      <c r="I19" s="14">
        <v>0.06</v>
      </c>
      <c r="J19" s="14">
        <v>0.04</v>
      </c>
      <c r="K19" s="14">
        <v>0.09</v>
      </c>
      <c r="L19" s="14">
        <v>0.03</v>
      </c>
      <c r="M19" s="14">
        <v>0.06</v>
      </c>
      <c r="N19" s="14">
        <v>0.03</v>
      </c>
      <c r="O19" s="14">
        <v>0.03</v>
      </c>
      <c r="P19" s="14">
        <v>0.05</v>
      </c>
      <c r="Q19" s="14">
        <v>0.03</v>
      </c>
      <c r="R19" s="14">
        <v>0.04</v>
      </c>
      <c r="S19" s="14">
        <v>0.08</v>
      </c>
      <c r="T19" s="14">
        <v>0.05</v>
      </c>
      <c r="U19" s="14">
        <v>0.04</v>
      </c>
      <c r="V19" s="14">
        <v>0.08</v>
      </c>
      <c r="W19" s="14">
        <v>0.01</v>
      </c>
      <c r="X19" s="14">
        <v>0.05</v>
      </c>
      <c r="Y19" s="14">
        <v>0.06</v>
      </c>
      <c r="Z19" s="14">
        <v>0.03</v>
      </c>
      <c r="AA19" s="14">
        <v>0.04</v>
      </c>
      <c r="AB19" s="14">
        <v>0.04</v>
      </c>
      <c r="AC19" s="14">
        <v>0.06</v>
      </c>
      <c r="AD19" s="14">
        <v>7.0000000000000007E-2</v>
      </c>
      <c r="AE19" s="14">
        <v>0.06</v>
      </c>
      <c r="AF19" s="14">
        <v>0.06</v>
      </c>
    </row>
    <row r="20" spans="1:32">
      <c r="A20" s="19"/>
      <c r="B20" s="11" t="s">
        <v>581</v>
      </c>
      <c r="C20" s="12">
        <v>2591</v>
      </c>
      <c r="D20" s="12">
        <v>103</v>
      </c>
      <c r="E20" s="12">
        <v>120</v>
      </c>
      <c r="F20" s="12">
        <v>174</v>
      </c>
      <c r="G20" s="12">
        <v>123</v>
      </c>
      <c r="H20" s="12">
        <v>159</v>
      </c>
      <c r="I20" s="12">
        <v>191</v>
      </c>
      <c r="J20" s="12">
        <v>32</v>
      </c>
      <c r="K20" s="12">
        <v>127</v>
      </c>
      <c r="L20" s="12">
        <v>76</v>
      </c>
      <c r="M20" s="12">
        <v>127</v>
      </c>
      <c r="N20" s="12">
        <v>57</v>
      </c>
      <c r="O20" s="12">
        <v>112</v>
      </c>
      <c r="P20" s="12">
        <v>104</v>
      </c>
      <c r="Q20" s="12">
        <v>57</v>
      </c>
      <c r="R20" s="12">
        <v>47</v>
      </c>
      <c r="S20" s="12">
        <v>111</v>
      </c>
      <c r="T20" s="12">
        <v>142</v>
      </c>
      <c r="U20" s="12">
        <v>41</v>
      </c>
      <c r="V20" s="12">
        <v>138</v>
      </c>
      <c r="W20" s="12">
        <v>36</v>
      </c>
      <c r="X20" s="12">
        <v>93</v>
      </c>
      <c r="Y20" s="12">
        <v>98</v>
      </c>
      <c r="Z20" s="12">
        <v>84</v>
      </c>
      <c r="AA20" s="12">
        <v>112</v>
      </c>
      <c r="AB20" s="12">
        <v>94</v>
      </c>
      <c r="AC20" s="12">
        <v>163</v>
      </c>
      <c r="AD20" s="12">
        <v>160</v>
      </c>
      <c r="AE20" s="12">
        <v>89</v>
      </c>
      <c r="AF20" s="12">
        <v>103</v>
      </c>
    </row>
    <row r="21" spans="1:32">
      <c r="A21" s="19"/>
      <c r="B21" s="13" t="s">
        <v>581</v>
      </c>
      <c r="C21" s="14">
        <v>0.1</v>
      </c>
      <c r="D21" s="14">
        <v>0.1</v>
      </c>
      <c r="E21" s="14">
        <v>0.12</v>
      </c>
      <c r="F21" s="14">
        <v>0.16</v>
      </c>
      <c r="G21" s="14">
        <v>0.12</v>
      </c>
      <c r="H21" s="14">
        <v>0.13</v>
      </c>
      <c r="I21" s="14">
        <v>0.12</v>
      </c>
      <c r="J21" s="14">
        <v>0.11</v>
      </c>
      <c r="K21" s="14">
        <v>0.13</v>
      </c>
      <c r="L21" s="14">
        <v>0.08</v>
      </c>
      <c r="M21" s="14">
        <v>0.13</v>
      </c>
      <c r="N21" s="14">
        <v>0.06</v>
      </c>
      <c r="O21" s="14">
        <v>0.11</v>
      </c>
      <c r="P21" s="14">
        <v>0.1</v>
      </c>
      <c r="Q21" s="14">
        <v>0.05</v>
      </c>
      <c r="R21" s="14">
        <v>0.09</v>
      </c>
      <c r="S21" s="14">
        <v>0.11</v>
      </c>
      <c r="T21" s="14">
        <v>0.14000000000000001</v>
      </c>
      <c r="U21" s="14">
        <v>0.08</v>
      </c>
      <c r="V21" s="14">
        <v>0.13</v>
      </c>
      <c r="W21" s="14">
        <v>7.0000000000000007E-2</v>
      </c>
      <c r="X21" s="14">
        <v>0.09</v>
      </c>
      <c r="Y21" s="14">
        <v>0.1</v>
      </c>
      <c r="Z21" s="14">
        <v>0.08</v>
      </c>
      <c r="AA21" s="14">
        <v>0.11</v>
      </c>
      <c r="AB21" s="14">
        <v>0.09</v>
      </c>
      <c r="AC21" s="14">
        <v>0.16</v>
      </c>
      <c r="AD21" s="14">
        <v>0.16</v>
      </c>
      <c r="AE21" s="14">
        <v>0.09</v>
      </c>
      <c r="AF21" s="14">
        <v>0.1</v>
      </c>
    </row>
    <row r="22" spans="1:32">
      <c r="A22" s="19"/>
      <c r="B22" s="11" t="s">
        <v>582</v>
      </c>
      <c r="C22" s="12">
        <v>2728</v>
      </c>
      <c r="D22" s="12">
        <v>111</v>
      </c>
      <c r="E22" s="12">
        <v>120</v>
      </c>
      <c r="F22" s="12">
        <v>101</v>
      </c>
      <c r="G22" s="12">
        <v>108</v>
      </c>
      <c r="H22" s="12">
        <v>142</v>
      </c>
      <c r="I22" s="12">
        <v>183</v>
      </c>
      <c r="J22" s="12">
        <v>41</v>
      </c>
      <c r="K22" s="12">
        <v>97</v>
      </c>
      <c r="L22" s="12">
        <v>67</v>
      </c>
      <c r="M22" s="12">
        <v>152</v>
      </c>
      <c r="N22" s="12">
        <v>82</v>
      </c>
      <c r="O22" s="12">
        <v>103</v>
      </c>
      <c r="P22" s="12">
        <v>108</v>
      </c>
      <c r="Q22" s="12">
        <v>72</v>
      </c>
      <c r="R22" s="12">
        <v>49</v>
      </c>
      <c r="S22" s="12">
        <v>85</v>
      </c>
      <c r="T22" s="12">
        <v>108</v>
      </c>
      <c r="U22" s="12">
        <v>40</v>
      </c>
      <c r="V22" s="12">
        <v>161</v>
      </c>
      <c r="W22" s="12">
        <v>21</v>
      </c>
      <c r="X22" s="12">
        <v>127</v>
      </c>
      <c r="Y22" s="12">
        <v>117</v>
      </c>
      <c r="Z22" s="12">
        <v>95</v>
      </c>
      <c r="AA22" s="12">
        <v>80</v>
      </c>
      <c r="AB22" s="12">
        <v>134</v>
      </c>
      <c r="AC22" s="12">
        <v>89</v>
      </c>
      <c r="AD22" s="12">
        <v>130</v>
      </c>
      <c r="AE22" s="12">
        <v>109</v>
      </c>
      <c r="AF22" s="12">
        <v>147</v>
      </c>
    </row>
    <row r="23" spans="1:32">
      <c r="A23" s="19"/>
      <c r="B23" s="13" t="s">
        <v>582</v>
      </c>
      <c r="C23" s="14">
        <v>0.1</v>
      </c>
      <c r="D23" s="14">
        <v>0.11</v>
      </c>
      <c r="E23" s="14">
        <v>0.11</v>
      </c>
      <c r="F23" s="14">
        <v>0.1</v>
      </c>
      <c r="G23" s="14">
        <v>0.11</v>
      </c>
      <c r="H23" s="14">
        <v>0.12</v>
      </c>
      <c r="I23" s="14">
        <v>0.12</v>
      </c>
      <c r="J23" s="14">
        <v>0.14000000000000001</v>
      </c>
      <c r="K23" s="14">
        <v>0.1</v>
      </c>
      <c r="L23" s="14">
        <v>7.0000000000000007E-2</v>
      </c>
      <c r="M23" s="14">
        <v>0.15</v>
      </c>
      <c r="N23" s="14">
        <v>0.08</v>
      </c>
      <c r="O23" s="14">
        <v>0.1</v>
      </c>
      <c r="P23" s="14">
        <v>0.11</v>
      </c>
      <c r="Q23" s="14">
        <v>7.0000000000000007E-2</v>
      </c>
      <c r="R23" s="14">
        <v>0.1</v>
      </c>
      <c r="S23" s="14">
        <v>0.08</v>
      </c>
      <c r="T23" s="14">
        <v>0.11</v>
      </c>
      <c r="U23" s="14">
        <v>0.08</v>
      </c>
      <c r="V23" s="14">
        <v>0.16</v>
      </c>
      <c r="W23" s="14">
        <v>0.04</v>
      </c>
      <c r="X23" s="14">
        <v>0.13</v>
      </c>
      <c r="Y23" s="14">
        <v>0.12</v>
      </c>
      <c r="Z23" s="14">
        <v>0.1</v>
      </c>
      <c r="AA23" s="14">
        <v>0.08</v>
      </c>
      <c r="AB23" s="14">
        <v>0.13</v>
      </c>
      <c r="AC23" s="14">
        <v>0.09</v>
      </c>
      <c r="AD23" s="14">
        <v>0.13</v>
      </c>
      <c r="AE23" s="14">
        <v>0.11</v>
      </c>
      <c r="AF23" s="14">
        <v>0.14000000000000001</v>
      </c>
    </row>
    <row r="24" spans="1:32">
      <c r="A24" s="19"/>
      <c r="B24" s="11" t="s">
        <v>583</v>
      </c>
      <c r="C24" s="12">
        <v>4609</v>
      </c>
      <c r="D24" s="12">
        <v>215</v>
      </c>
      <c r="E24" s="12">
        <v>137</v>
      </c>
      <c r="F24" s="12">
        <v>141</v>
      </c>
      <c r="G24" s="12">
        <v>178</v>
      </c>
      <c r="H24" s="12">
        <v>186</v>
      </c>
      <c r="I24" s="12">
        <v>241</v>
      </c>
      <c r="J24" s="12">
        <v>55</v>
      </c>
      <c r="K24" s="12">
        <v>152</v>
      </c>
      <c r="L24" s="12">
        <v>186</v>
      </c>
      <c r="M24" s="12">
        <v>173</v>
      </c>
      <c r="N24" s="12">
        <v>175</v>
      </c>
      <c r="O24" s="12">
        <v>191</v>
      </c>
      <c r="P24" s="12">
        <v>145</v>
      </c>
      <c r="Q24" s="12">
        <v>178</v>
      </c>
      <c r="R24" s="12">
        <v>94</v>
      </c>
      <c r="S24" s="12">
        <v>146</v>
      </c>
      <c r="T24" s="12">
        <v>147</v>
      </c>
      <c r="U24" s="12">
        <v>108</v>
      </c>
      <c r="V24" s="12">
        <v>159</v>
      </c>
      <c r="W24" s="12">
        <v>73</v>
      </c>
      <c r="X24" s="12">
        <v>243</v>
      </c>
      <c r="Y24" s="12">
        <v>164</v>
      </c>
      <c r="Z24" s="12">
        <v>192</v>
      </c>
      <c r="AA24" s="12">
        <v>120</v>
      </c>
      <c r="AB24" s="12">
        <v>187</v>
      </c>
      <c r="AC24" s="12">
        <v>130</v>
      </c>
      <c r="AD24" s="12">
        <v>182</v>
      </c>
      <c r="AE24" s="12">
        <v>192</v>
      </c>
      <c r="AF24" s="12">
        <v>186</v>
      </c>
    </row>
    <row r="25" spans="1:32">
      <c r="A25" s="19"/>
      <c r="B25" s="13" t="s">
        <v>583</v>
      </c>
      <c r="C25" s="14">
        <v>0.17</v>
      </c>
      <c r="D25" s="14">
        <v>0.21</v>
      </c>
      <c r="E25" s="14">
        <v>0.13</v>
      </c>
      <c r="F25" s="14">
        <v>0.13</v>
      </c>
      <c r="G25" s="14">
        <v>0.18</v>
      </c>
      <c r="H25" s="14">
        <v>0.15</v>
      </c>
      <c r="I25" s="14">
        <v>0.16</v>
      </c>
      <c r="J25" s="14">
        <v>0.19</v>
      </c>
      <c r="K25" s="14">
        <v>0.15</v>
      </c>
      <c r="L25" s="14">
        <v>0.18</v>
      </c>
      <c r="M25" s="14">
        <v>0.17</v>
      </c>
      <c r="N25" s="14">
        <v>0.17</v>
      </c>
      <c r="O25" s="14">
        <v>0.19</v>
      </c>
      <c r="P25" s="14">
        <v>0.14000000000000001</v>
      </c>
      <c r="Q25" s="14">
        <v>0.17</v>
      </c>
      <c r="R25" s="14">
        <v>0.19</v>
      </c>
      <c r="S25" s="14">
        <v>0.15</v>
      </c>
      <c r="T25" s="14">
        <v>0.14000000000000001</v>
      </c>
      <c r="U25" s="14">
        <v>0.21</v>
      </c>
      <c r="V25" s="14">
        <v>0.15</v>
      </c>
      <c r="W25" s="14">
        <v>0.15</v>
      </c>
      <c r="X25" s="14">
        <v>0.24</v>
      </c>
      <c r="Y25" s="14">
        <v>0.16</v>
      </c>
      <c r="Z25" s="14">
        <v>0.19</v>
      </c>
      <c r="AA25" s="14">
        <v>0.11</v>
      </c>
      <c r="AB25" s="14">
        <v>0.18</v>
      </c>
      <c r="AC25" s="14">
        <v>0.13</v>
      </c>
      <c r="AD25" s="14">
        <v>0.18</v>
      </c>
      <c r="AE25" s="14">
        <v>0.19</v>
      </c>
      <c r="AF25" s="14">
        <v>0.18</v>
      </c>
    </row>
    <row r="26" spans="1:32">
      <c r="A26" s="19"/>
      <c r="B26" s="11" t="s">
        <v>584</v>
      </c>
      <c r="C26" s="12">
        <v>5723</v>
      </c>
      <c r="D26" s="12">
        <v>254</v>
      </c>
      <c r="E26" s="12">
        <v>136</v>
      </c>
      <c r="F26" s="12">
        <v>162</v>
      </c>
      <c r="G26" s="12">
        <v>183</v>
      </c>
      <c r="H26" s="12">
        <v>214</v>
      </c>
      <c r="I26" s="12">
        <v>268</v>
      </c>
      <c r="J26" s="12">
        <v>55</v>
      </c>
      <c r="K26" s="12">
        <v>132</v>
      </c>
      <c r="L26" s="12">
        <v>213</v>
      </c>
      <c r="M26" s="12">
        <v>227</v>
      </c>
      <c r="N26" s="12">
        <v>230</v>
      </c>
      <c r="O26" s="12">
        <v>228</v>
      </c>
      <c r="P26" s="12">
        <v>197</v>
      </c>
      <c r="Q26" s="12">
        <v>272</v>
      </c>
      <c r="R26" s="12">
        <v>114</v>
      </c>
      <c r="S26" s="12">
        <v>141</v>
      </c>
      <c r="T26" s="12">
        <v>165</v>
      </c>
      <c r="U26" s="12">
        <v>90</v>
      </c>
      <c r="V26" s="12">
        <v>165</v>
      </c>
      <c r="W26" s="12">
        <v>93</v>
      </c>
      <c r="X26" s="12">
        <v>270</v>
      </c>
      <c r="Y26" s="12">
        <v>173</v>
      </c>
      <c r="Z26" s="12">
        <v>265</v>
      </c>
      <c r="AA26" s="12">
        <v>171</v>
      </c>
      <c r="AB26" s="12">
        <v>245</v>
      </c>
      <c r="AC26" s="12">
        <v>138</v>
      </c>
      <c r="AD26" s="12">
        <v>188</v>
      </c>
      <c r="AE26" s="12">
        <v>225</v>
      </c>
      <c r="AF26" s="12">
        <v>193</v>
      </c>
    </row>
    <row r="27" spans="1:32">
      <c r="A27" s="19"/>
      <c r="B27" s="13" t="s">
        <v>584</v>
      </c>
      <c r="C27" s="14">
        <v>0.22</v>
      </c>
      <c r="D27" s="14">
        <v>0.25</v>
      </c>
      <c r="E27" s="14">
        <v>0.13</v>
      </c>
      <c r="F27" s="14">
        <v>0.15</v>
      </c>
      <c r="G27" s="14">
        <v>0.18</v>
      </c>
      <c r="H27" s="14">
        <v>0.17</v>
      </c>
      <c r="I27" s="14">
        <v>0.18</v>
      </c>
      <c r="J27" s="14">
        <v>0.18</v>
      </c>
      <c r="K27" s="14">
        <v>0.13</v>
      </c>
      <c r="L27" s="14">
        <v>0.21</v>
      </c>
      <c r="M27" s="14">
        <v>0.23</v>
      </c>
      <c r="N27" s="14">
        <v>0.23</v>
      </c>
      <c r="O27" s="14">
        <v>0.23</v>
      </c>
      <c r="P27" s="14">
        <v>0.2</v>
      </c>
      <c r="Q27" s="14">
        <v>0.26</v>
      </c>
      <c r="R27" s="14">
        <v>0.23</v>
      </c>
      <c r="S27" s="14">
        <v>0.14000000000000001</v>
      </c>
      <c r="T27" s="14">
        <v>0.16</v>
      </c>
      <c r="U27" s="14">
        <v>0.18</v>
      </c>
      <c r="V27" s="14">
        <v>0.16</v>
      </c>
      <c r="W27" s="14">
        <v>0.19</v>
      </c>
      <c r="X27" s="14">
        <v>0.27</v>
      </c>
      <c r="Y27" s="14">
        <v>0.17</v>
      </c>
      <c r="Z27" s="14">
        <v>0.26</v>
      </c>
      <c r="AA27" s="14">
        <v>0.16</v>
      </c>
      <c r="AB27" s="14">
        <v>0.23</v>
      </c>
      <c r="AC27" s="14">
        <v>0.14000000000000001</v>
      </c>
      <c r="AD27" s="14">
        <v>0.19</v>
      </c>
      <c r="AE27" s="14">
        <v>0.22</v>
      </c>
      <c r="AF27" s="14">
        <v>0.19</v>
      </c>
    </row>
    <row r="28" spans="1:32">
      <c r="A28" s="19"/>
      <c r="B28" s="11" t="s">
        <v>585</v>
      </c>
      <c r="C28" s="12">
        <v>3111</v>
      </c>
      <c r="D28" s="12">
        <v>137</v>
      </c>
      <c r="E28" s="12">
        <v>90</v>
      </c>
      <c r="F28" s="12">
        <v>88</v>
      </c>
      <c r="G28" s="12">
        <v>103</v>
      </c>
      <c r="H28" s="12">
        <v>93</v>
      </c>
      <c r="I28" s="12">
        <v>121</v>
      </c>
      <c r="J28" s="12">
        <v>28</v>
      </c>
      <c r="K28" s="12">
        <v>75</v>
      </c>
      <c r="L28" s="12">
        <v>117</v>
      </c>
      <c r="M28" s="12">
        <v>95</v>
      </c>
      <c r="N28" s="12">
        <v>153</v>
      </c>
      <c r="O28" s="12">
        <v>104</v>
      </c>
      <c r="P28" s="12">
        <v>109</v>
      </c>
      <c r="Q28" s="12">
        <v>175</v>
      </c>
      <c r="R28" s="12">
        <v>57</v>
      </c>
      <c r="S28" s="12">
        <v>115</v>
      </c>
      <c r="T28" s="12">
        <v>86</v>
      </c>
      <c r="U28" s="12">
        <v>65</v>
      </c>
      <c r="V28" s="12">
        <v>93</v>
      </c>
      <c r="W28" s="12">
        <v>103</v>
      </c>
      <c r="X28" s="12">
        <v>110</v>
      </c>
      <c r="Y28" s="12">
        <v>91</v>
      </c>
      <c r="Z28" s="12">
        <v>144</v>
      </c>
      <c r="AA28" s="12">
        <v>174</v>
      </c>
      <c r="AB28" s="12">
        <v>117</v>
      </c>
      <c r="AC28" s="12">
        <v>68</v>
      </c>
      <c r="AD28" s="12">
        <v>75</v>
      </c>
      <c r="AE28" s="12">
        <v>136</v>
      </c>
      <c r="AF28" s="12">
        <v>95</v>
      </c>
    </row>
    <row r="29" spans="1:32">
      <c r="A29" s="19"/>
      <c r="B29" s="13" t="s">
        <v>585</v>
      </c>
      <c r="C29" s="14">
        <v>0.12</v>
      </c>
      <c r="D29" s="14">
        <v>0.14000000000000001</v>
      </c>
      <c r="E29" s="14">
        <v>0.09</v>
      </c>
      <c r="F29" s="14">
        <v>0.08</v>
      </c>
      <c r="G29" s="14">
        <v>0.1</v>
      </c>
      <c r="H29" s="14">
        <v>0.08</v>
      </c>
      <c r="I29" s="14">
        <v>0.08</v>
      </c>
      <c r="J29" s="14">
        <v>0.09</v>
      </c>
      <c r="K29" s="14">
        <v>7.0000000000000007E-2</v>
      </c>
      <c r="L29" s="14">
        <v>0.12</v>
      </c>
      <c r="M29" s="14">
        <v>0.09</v>
      </c>
      <c r="N29" s="14">
        <v>0.15</v>
      </c>
      <c r="O29" s="14">
        <v>0.1</v>
      </c>
      <c r="P29" s="14">
        <v>0.11</v>
      </c>
      <c r="Q29" s="14">
        <v>0.17</v>
      </c>
      <c r="R29" s="14">
        <v>0.11</v>
      </c>
      <c r="S29" s="14">
        <v>0.11</v>
      </c>
      <c r="T29" s="14">
        <v>0.08</v>
      </c>
      <c r="U29" s="14">
        <v>0.13</v>
      </c>
      <c r="V29" s="14">
        <v>0.09</v>
      </c>
      <c r="W29" s="14">
        <v>0.2</v>
      </c>
      <c r="X29" s="14">
        <v>0.11</v>
      </c>
      <c r="Y29" s="14">
        <v>0.09</v>
      </c>
      <c r="Z29" s="14">
        <v>0.14000000000000001</v>
      </c>
      <c r="AA29" s="14">
        <v>0.17</v>
      </c>
      <c r="AB29" s="14">
        <v>0.11</v>
      </c>
      <c r="AC29" s="14">
        <v>7.0000000000000007E-2</v>
      </c>
      <c r="AD29" s="14">
        <v>7.0000000000000007E-2</v>
      </c>
      <c r="AE29" s="14">
        <v>0.14000000000000001</v>
      </c>
      <c r="AF29" s="14">
        <v>0.09</v>
      </c>
    </row>
    <row r="30" spans="1:32">
      <c r="A30" s="19"/>
      <c r="B30" s="11" t="s">
        <v>586</v>
      </c>
      <c r="C30" s="12">
        <v>3865</v>
      </c>
      <c r="D30" s="12">
        <v>94</v>
      </c>
      <c r="E30" s="12">
        <v>140</v>
      </c>
      <c r="F30" s="12">
        <v>132</v>
      </c>
      <c r="G30" s="12">
        <v>124</v>
      </c>
      <c r="H30" s="12">
        <v>173</v>
      </c>
      <c r="I30" s="12">
        <v>209</v>
      </c>
      <c r="J30" s="12">
        <v>36</v>
      </c>
      <c r="K30" s="12">
        <v>147</v>
      </c>
      <c r="L30" s="12">
        <v>221</v>
      </c>
      <c r="M30" s="12">
        <v>49</v>
      </c>
      <c r="N30" s="12">
        <v>199</v>
      </c>
      <c r="O30" s="12">
        <v>134</v>
      </c>
      <c r="P30" s="12">
        <v>188</v>
      </c>
      <c r="Q30" s="12">
        <v>191</v>
      </c>
      <c r="R30" s="12">
        <v>86</v>
      </c>
      <c r="S30" s="12">
        <v>171</v>
      </c>
      <c r="T30" s="12">
        <v>158</v>
      </c>
      <c r="U30" s="12">
        <v>108</v>
      </c>
      <c r="V30" s="12">
        <v>114</v>
      </c>
      <c r="W30" s="12">
        <v>133</v>
      </c>
      <c r="X30" s="12">
        <v>53</v>
      </c>
      <c r="Y30" s="12">
        <v>166</v>
      </c>
      <c r="Z30" s="12">
        <v>183</v>
      </c>
      <c r="AA30" s="12">
        <v>215</v>
      </c>
      <c r="AB30" s="12">
        <v>89</v>
      </c>
      <c r="AC30" s="12">
        <v>194</v>
      </c>
      <c r="AD30" s="12">
        <v>61</v>
      </c>
      <c r="AE30" s="12">
        <v>101</v>
      </c>
      <c r="AF30" s="12">
        <v>127</v>
      </c>
    </row>
    <row r="31" spans="1:32">
      <c r="A31" s="19"/>
      <c r="B31" s="13" t="s">
        <v>587</v>
      </c>
      <c r="C31" s="14">
        <v>0.15</v>
      </c>
      <c r="D31" s="14">
        <v>0.09</v>
      </c>
      <c r="E31" s="14">
        <v>0.13</v>
      </c>
      <c r="F31" s="14">
        <v>0.12</v>
      </c>
      <c r="G31" s="14">
        <v>0.12</v>
      </c>
      <c r="H31" s="14">
        <v>0.14000000000000001</v>
      </c>
      <c r="I31" s="14">
        <v>0.14000000000000001</v>
      </c>
      <c r="J31" s="14">
        <v>0.12</v>
      </c>
      <c r="K31" s="14">
        <v>0.15</v>
      </c>
      <c r="L31" s="14">
        <v>0.22</v>
      </c>
      <c r="M31" s="14">
        <v>0.05</v>
      </c>
      <c r="N31" s="14">
        <v>0.2</v>
      </c>
      <c r="O31" s="14">
        <v>0.14000000000000001</v>
      </c>
      <c r="P31" s="14">
        <v>0.19</v>
      </c>
      <c r="Q31" s="14">
        <v>0.19</v>
      </c>
      <c r="R31" s="14">
        <v>0.17</v>
      </c>
      <c r="S31" s="14">
        <v>0.17</v>
      </c>
      <c r="T31" s="14">
        <v>0.15</v>
      </c>
      <c r="U31" s="14">
        <v>0.21</v>
      </c>
      <c r="V31" s="14">
        <v>0.11</v>
      </c>
      <c r="W31" s="14">
        <v>0.26</v>
      </c>
      <c r="X31" s="14">
        <v>0.05</v>
      </c>
      <c r="Y31" s="14">
        <v>0.16</v>
      </c>
      <c r="Z31" s="14">
        <v>0.18</v>
      </c>
      <c r="AA31" s="14">
        <v>0.21</v>
      </c>
      <c r="AB31" s="14">
        <v>0.09</v>
      </c>
      <c r="AC31" s="14">
        <v>0.19</v>
      </c>
      <c r="AD31" s="14">
        <v>0.06</v>
      </c>
      <c r="AE31" s="14">
        <v>0.1</v>
      </c>
      <c r="AF31" s="14">
        <v>0.13</v>
      </c>
    </row>
    <row r="32" spans="1:32">
      <c r="A32" s="19"/>
      <c r="B32" s="11" t="s">
        <v>386</v>
      </c>
      <c r="C32" s="12">
        <v>420</v>
      </c>
      <c r="D32" s="12">
        <v>3</v>
      </c>
      <c r="E32" s="12">
        <v>47</v>
      </c>
      <c r="F32" s="12">
        <v>5</v>
      </c>
      <c r="G32" s="12">
        <v>13</v>
      </c>
      <c r="H32" s="12">
        <v>13</v>
      </c>
      <c r="I32" s="12">
        <v>17</v>
      </c>
      <c r="J32" s="12">
        <v>4</v>
      </c>
      <c r="K32" s="12">
        <v>19</v>
      </c>
      <c r="L32" s="12">
        <v>10</v>
      </c>
      <c r="M32" s="12">
        <v>44</v>
      </c>
      <c r="N32" s="12">
        <v>24</v>
      </c>
      <c r="O32" s="12">
        <v>21</v>
      </c>
      <c r="P32" s="12">
        <v>10</v>
      </c>
      <c r="Q32" s="12">
        <v>5</v>
      </c>
      <c r="R32" s="12">
        <v>11</v>
      </c>
      <c r="S32" s="12">
        <v>18</v>
      </c>
      <c r="T32" s="12">
        <v>36</v>
      </c>
      <c r="U32" s="12">
        <v>6</v>
      </c>
      <c r="V32" s="12">
        <v>16</v>
      </c>
      <c r="W32" s="12">
        <v>8</v>
      </c>
      <c r="X32" s="12">
        <v>1</v>
      </c>
      <c r="Y32" s="12">
        <v>18</v>
      </c>
      <c r="Z32" s="12">
        <v>7</v>
      </c>
      <c r="AA32" s="12">
        <v>45</v>
      </c>
      <c r="AB32" s="12">
        <v>53</v>
      </c>
      <c r="AC32" s="12">
        <v>5</v>
      </c>
      <c r="AD32" s="12">
        <v>7</v>
      </c>
      <c r="AE32" s="12">
        <v>13</v>
      </c>
      <c r="AF32" s="12">
        <v>2</v>
      </c>
    </row>
    <row r="33" spans="1:32">
      <c r="A33" s="19"/>
      <c r="B33" s="13" t="s">
        <v>399</v>
      </c>
      <c r="C33" s="14">
        <v>0.02</v>
      </c>
      <c r="D33" s="15" t="s">
        <v>375</v>
      </c>
      <c r="E33" s="14">
        <v>0.04</v>
      </c>
      <c r="F33" s="14">
        <v>0.01</v>
      </c>
      <c r="G33" s="14">
        <v>0.01</v>
      </c>
      <c r="H33" s="14">
        <v>0.01</v>
      </c>
      <c r="I33" s="14">
        <v>0.01</v>
      </c>
      <c r="J33" s="14">
        <v>0.01</v>
      </c>
      <c r="K33" s="14">
        <v>0.02</v>
      </c>
      <c r="L33" s="14">
        <v>0.01</v>
      </c>
      <c r="M33" s="14">
        <v>0.04</v>
      </c>
      <c r="N33" s="14">
        <v>0.02</v>
      </c>
      <c r="O33" s="14">
        <v>0.02</v>
      </c>
      <c r="P33" s="14">
        <v>0.01</v>
      </c>
      <c r="Q33" s="15" t="s">
        <v>375</v>
      </c>
      <c r="R33" s="14">
        <v>0.02</v>
      </c>
      <c r="S33" s="14">
        <v>0.02</v>
      </c>
      <c r="T33" s="14">
        <v>0.03</v>
      </c>
      <c r="U33" s="14">
        <v>0.01</v>
      </c>
      <c r="V33" s="14">
        <v>0.02</v>
      </c>
      <c r="W33" s="14">
        <v>0.02</v>
      </c>
      <c r="X33" s="15" t="s">
        <v>375</v>
      </c>
      <c r="Y33" s="14">
        <v>0.02</v>
      </c>
      <c r="Z33" s="14">
        <v>0.01</v>
      </c>
      <c r="AA33" s="14">
        <v>0.04</v>
      </c>
      <c r="AB33" s="14">
        <v>0.05</v>
      </c>
      <c r="AC33" s="15" t="s">
        <v>375</v>
      </c>
      <c r="AD33" s="14">
        <v>0.01</v>
      </c>
      <c r="AE33" s="14">
        <v>0.01</v>
      </c>
      <c r="AF33" s="15" t="s">
        <v>375</v>
      </c>
    </row>
    <row r="34" spans="1:32">
      <c r="A34" s="19"/>
      <c r="B34" s="11" t="s">
        <v>588</v>
      </c>
      <c r="C34" s="12">
        <v>3407</v>
      </c>
      <c r="D34" s="12">
        <v>104</v>
      </c>
      <c r="E34" s="12">
        <v>256</v>
      </c>
      <c r="F34" s="12">
        <v>261</v>
      </c>
      <c r="G34" s="12">
        <v>185</v>
      </c>
      <c r="H34" s="12">
        <v>250</v>
      </c>
      <c r="I34" s="12">
        <v>297</v>
      </c>
      <c r="J34" s="12">
        <v>46</v>
      </c>
      <c r="K34" s="12">
        <v>257</v>
      </c>
      <c r="L34" s="12">
        <v>115</v>
      </c>
      <c r="M34" s="12">
        <v>138</v>
      </c>
      <c r="N34" s="12">
        <v>91</v>
      </c>
      <c r="O34" s="12">
        <v>111</v>
      </c>
      <c r="P34" s="12">
        <v>141</v>
      </c>
      <c r="Q34" s="12">
        <v>81</v>
      </c>
      <c r="R34" s="12">
        <v>43</v>
      </c>
      <c r="S34" s="12">
        <v>216</v>
      </c>
      <c r="T34" s="12">
        <v>180</v>
      </c>
      <c r="U34" s="12">
        <v>51</v>
      </c>
      <c r="V34" s="12">
        <v>181</v>
      </c>
      <c r="W34" s="12">
        <v>34</v>
      </c>
      <c r="X34" s="12">
        <v>113</v>
      </c>
      <c r="Y34" s="12">
        <v>175</v>
      </c>
      <c r="Z34" s="12">
        <v>46</v>
      </c>
      <c r="AA34" s="12">
        <v>121</v>
      </c>
      <c r="AB34" s="12">
        <v>123</v>
      </c>
      <c r="AC34" s="12">
        <v>218</v>
      </c>
      <c r="AD34" s="12">
        <v>200</v>
      </c>
      <c r="AE34" s="12">
        <v>136</v>
      </c>
      <c r="AF34" s="12">
        <v>179</v>
      </c>
    </row>
    <row r="35" spans="1:32">
      <c r="A35" s="19"/>
      <c r="B35" s="13" t="s">
        <v>589</v>
      </c>
      <c r="C35" s="14">
        <v>0.12</v>
      </c>
      <c r="D35" s="14">
        <v>0.1</v>
      </c>
      <c r="E35" s="14">
        <v>0.25</v>
      </c>
      <c r="F35" s="14">
        <v>0.25</v>
      </c>
      <c r="G35" s="14">
        <v>0.18</v>
      </c>
      <c r="H35" s="14">
        <v>0.2</v>
      </c>
      <c r="I35" s="14">
        <v>0.19</v>
      </c>
      <c r="J35" s="14">
        <v>0.16</v>
      </c>
      <c r="K35" s="14">
        <v>0.25</v>
      </c>
      <c r="L35" s="14">
        <v>0.11</v>
      </c>
      <c r="M35" s="14">
        <v>0.14000000000000001</v>
      </c>
      <c r="N35" s="14">
        <v>0.09</v>
      </c>
      <c r="O35" s="14">
        <v>0.11</v>
      </c>
      <c r="P35" s="14">
        <v>0.14000000000000001</v>
      </c>
      <c r="Q35" s="14">
        <v>0.09</v>
      </c>
      <c r="R35" s="14">
        <v>0.09</v>
      </c>
      <c r="S35" s="14">
        <v>0.22</v>
      </c>
      <c r="T35" s="14">
        <v>0.19</v>
      </c>
      <c r="U35" s="14">
        <v>0.1</v>
      </c>
      <c r="V35" s="14">
        <v>0.18</v>
      </c>
      <c r="W35" s="14">
        <v>7.0000000000000007E-2</v>
      </c>
      <c r="X35" s="14">
        <v>0.11</v>
      </c>
      <c r="Y35" s="14">
        <v>0.18</v>
      </c>
      <c r="Z35" s="14">
        <v>0.04</v>
      </c>
      <c r="AA35" s="14">
        <v>0.12</v>
      </c>
      <c r="AB35" s="14">
        <v>0.12</v>
      </c>
      <c r="AC35" s="14">
        <v>0.22</v>
      </c>
      <c r="AD35" s="14">
        <v>0.2</v>
      </c>
      <c r="AE35" s="14">
        <v>0.14000000000000001</v>
      </c>
      <c r="AF35" s="14">
        <v>0.17</v>
      </c>
    </row>
    <row r="36" spans="1:32">
      <c r="A36" s="19"/>
      <c r="B36" s="11" t="s">
        <v>590</v>
      </c>
      <c r="C36" s="12">
        <v>5319</v>
      </c>
      <c r="D36" s="12">
        <v>214</v>
      </c>
      <c r="E36" s="12">
        <v>240</v>
      </c>
      <c r="F36" s="12">
        <v>275</v>
      </c>
      <c r="G36" s="12">
        <v>231</v>
      </c>
      <c r="H36" s="12">
        <v>301</v>
      </c>
      <c r="I36" s="12">
        <v>374</v>
      </c>
      <c r="J36" s="12">
        <v>73</v>
      </c>
      <c r="K36" s="12">
        <v>224</v>
      </c>
      <c r="L36" s="12">
        <v>143</v>
      </c>
      <c r="M36" s="12">
        <v>279</v>
      </c>
      <c r="N36" s="12">
        <v>139</v>
      </c>
      <c r="O36" s="12">
        <v>215</v>
      </c>
      <c r="P36" s="12">
        <v>212</v>
      </c>
      <c r="Q36" s="12">
        <v>129</v>
      </c>
      <c r="R36" s="12">
        <v>96</v>
      </c>
      <c r="S36" s="12">
        <v>196</v>
      </c>
      <c r="T36" s="12">
        <v>250</v>
      </c>
      <c r="U36" s="12">
        <v>81</v>
      </c>
      <c r="V36" s="12">
        <v>299</v>
      </c>
      <c r="W36" s="12">
        <v>57</v>
      </c>
      <c r="X36" s="12">
        <v>220</v>
      </c>
      <c r="Y36" s="12">
        <v>215</v>
      </c>
      <c r="Z36" s="12">
        <v>179</v>
      </c>
      <c r="AA36" s="12">
        <v>192</v>
      </c>
      <c r="AB36" s="12">
        <v>228</v>
      </c>
      <c r="AC36" s="12">
        <v>252</v>
      </c>
      <c r="AD36" s="12">
        <v>290</v>
      </c>
      <c r="AE36" s="12">
        <v>198</v>
      </c>
      <c r="AF36" s="12">
        <v>250</v>
      </c>
    </row>
    <row r="37" spans="1:32">
      <c r="A37" s="19"/>
      <c r="B37" s="13" t="s">
        <v>591</v>
      </c>
      <c r="C37" s="14">
        <v>0.2</v>
      </c>
      <c r="D37" s="14">
        <v>0.21</v>
      </c>
      <c r="E37" s="14">
        <v>0.23</v>
      </c>
      <c r="F37" s="14">
        <v>0.26</v>
      </c>
      <c r="G37" s="14">
        <v>0.23</v>
      </c>
      <c r="H37" s="14">
        <v>0.25</v>
      </c>
      <c r="I37" s="14">
        <v>0.24</v>
      </c>
      <c r="J37" s="14">
        <v>0.25</v>
      </c>
      <c r="K37" s="14">
        <v>0.23</v>
      </c>
      <c r="L37" s="14">
        <v>0.15</v>
      </c>
      <c r="M37" s="14">
        <v>0.28000000000000003</v>
      </c>
      <c r="N37" s="14">
        <v>0.14000000000000001</v>
      </c>
      <c r="O37" s="14">
        <v>0.21</v>
      </c>
      <c r="P37" s="14">
        <v>0.21</v>
      </c>
      <c r="Q37" s="14">
        <v>0.12</v>
      </c>
      <c r="R37" s="14">
        <v>0.19</v>
      </c>
      <c r="S37" s="14">
        <v>0.19</v>
      </c>
      <c r="T37" s="14">
        <v>0.25</v>
      </c>
      <c r="U37" s="14">
        <v>0.16</v>
      </c>
      <c r="V37" s="14">
        <v>0.28999999999999998</v>
      </c>
      <c r="W37" s="14">
        <v>0.11</v>
      </c>
      <c r="X37" s="14">
        <v>0.22</v>
      </c>
      <c r="Y37" s="14">
        <v>0.22</v>
      </c>
      <c r="Z37" s="14">
        <v>0.18</v>
      </c>
      <c r="AA37" s="14">
        <v>0.19</v>
      </c>
      <c r="AB37" s="14">
        <v>0.22</v>
      </c>
      <c r="AC37" s="14">
        <v>0.25</v>
      </c>
      <c r="AD37" s="14">
        <v>0.28999999999999998</v>
      </c>
      <c r="AE37" s="14">
        <v>0.2</v>
      </c>
      <c r="AF37" s="14">
        <v>0.24</v>
      </c>
    </row>
    <row r="38" spans="1:32">
      <c r="A38" s="19"/>
      <c r="B38" s="11" t="s">
        <v>592</v>
      </c>
      <c r="C38" s="12">
        <v>17308</v>
      </c>
      <c r="D38" s="12">
        <v>700</v>
      </c>
      <c r="E38" s="12">
        <v>503</v>
      </c>
      <c r="F38" s="12">
        <v>523</v>
      </c>
      <c r="G38" s="12">
        <v>588</v>
      </c>
      <c r="H38" s="12">
        <v>666</v>
      </c>
      <c r="I38" s="12">
        <v>839</v>
      </c>
      <c r="J38" s="12">
        <v>174</v>
      </c>
      <c r="K38" s="12">
        <v>506</v>
      </c>
      <c r="L38" s="12">
        <v>737</v>
      </c>
      <c r="M38" s="12">
        <v>544</v>
      </c>
      <c r="N38" s="12">
        <v>757</v>
      </c>
      <c r="O38" s="12">
        <v>657</v>
      </c>
      <c r="P38" s="12">
        <v>639</v>
      </c>
      <c r="Q38" s="12">
        <v>816</v>
      </c>
      <c r="R38" s="12">
        <v>351</v>
      </c>
      <c r="S38" s="12">
        <v>573</v>
      </c>
      <c r="T38" s="12">
        <v>556</v>
      </c>
      <c r="U38" s="12">
        <v>371</v>
      </c>
      <c r="V38" s="12">
        <v>531</v>
      </c>
      <c r="W38" s="12">
        <v>402</v>
      </c>
      <c r="X38" s="12">
        <v>676</v>
      </c>
      <c r="Y38" s="12">
        <v>594</v>
      </c>
      <c r="Z38" s="12">
        <v>784</v>
      </c>
      <c r="AA38" s="12">
        <v>680</v>
      </c>
      <c r="AB38" s="12">
        <v>638</v>
      </c>
      <c r="AC38" s="12">
        <v>530</v>
      </c>
      <c r="AD38" s="12">
        <v>506</v>
      </c>
      <c r="AE38" s="12">
        <v>654</v>
      </c>
      <c r="AF38" s="12">
        <v>601</v>
      </c>
    </row>
    <row r="39" spans="1:32">
      <c r="A39" s="19"/>
      <c r="B39" s="13" t="s">
        <v>593</v>
      </c>
      <c r="C39" s="14">
        <v>0.66</v>
      </c>
      <c r="D39" s="14">
        <v>0.69000000000000006</v>
      </c>
      <c r="E39" s="14">
        <v>0.48</v>
      </c>
      <c r="F39" s="14">
        <v>0.48</v>
      </c>
      <c r="G39" s="14">
        <v>0.57999999999999996</v>
      </c>
      <c r="H39" s="14">
        <v>0.54</v>
      </c>
      <c r="I39" s="14">
        <v>0.56000000000000005</v>
      </c>
      <c r="J39" s="14">
        <v>0.57999999999999996</v>
      </c>
      <c r="K39" s="14">
        <v>0.5</v>
      </c>
      <c r="L39" s="14">
        <v>0.73</v>
      </c>
      <c r="M39" s="14">
        <v>0.54</v>
      </c>
      <c r="N39" s="14">
        <v>0.75</v>
      </c>
      <c r="O39" s="14">
        <v>0.66</v>
      </c>
      <c r="P39" s="14">
        <v>0.64</v>
      </c>
      <c r="Q39" s="14">
        <v>0.79</v>
      </c>
      <c r="R39" s="14">
        <v>0.70000000000000007</v>
      </c>
      <c r="S39" s="14">
        <v>0.57000000000000006</v>
      </c>
      <c r="T39" s="14">
        <v>0.53</v>
      </c>
      <c r="U39" s="14">
        <v>0.73</v>
      </c>
      <c r="V39" s="14">
        <v>0.51</v>
      </c>
      <c r="W39" s="14">
        <v>0.8</v>
      </c>
      <c r="X39" s="14">
        <v>0.67</v>
      </c>
      <c r="Y39" s="14">
        <v>0.57999999999999996</v>
      </c>
      <c r="Z39" s="14">
        <v>0.77</v>
      </c>
      <c r="AA39" s="14">
        <v>0.65</v>
      </c>
      <c r="AB39" s="14">
        <v>0.61</v>
      </c>
      <c r="AC39" s="14">
        <v>0.53</v>
      </c>
      <c r="AD39" s="14">
        <v>0.5</v>
      </c>
      <c r="AE39" s="14">
        <v>0.65</v>
      </c>
      <c r="AF39" s="14">
        <v>0.59</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598</v>
      </c>
      <c r="C3" s="17"/>
      <c r="D3" s="17"/>
      <c r="E3" s="17"/>
      <c r="F3" s="17"/>
      <c r="H3" s="17" t="s">
        <v>599</v>
      </c>
      <c r="I3" s="17"/>
      <c r="J3" s="17"/>
      <c r="K3" s="17"/>
      <c r="L3" s="17"/>
    </row>
    <row r="4" spans="1:32" ht="27" customHeight="1">
      <c r="B4" s="17" t="s">
        <v>600</v>
      </c>
      <c r="C4" s="17"/>
      <c r="D4" s="17"/>
      <c r="E4" s="17"/>
      <c r="F4" s="17"/>
      <c r="H4" s="17" t="s">
        <v>601</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HYPERLINK("#Content!A31","&lt;&lt;Back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895</v>
      </c>
      <c r="D12" s="12">
        <v>37</v>
      </c>
      <c r="E12" s="12">
        <v>80</v>
      </c>
      <c r="F12" s="12">
        <v>70</v>
      </c>
      <c r="G12" s="12">
        <v>54</v>
      </c>
      <c r="H12" s="12">
        <v>47</v>
      </c>
      <c r="I12" s="12">
        <v>61</v>
      </c>
      <c r="J12" s="12">
        <v>14</v>
      </c>
      <c r="K12" s="12">
        <v>67</v>
      </c>
      <c r="L12" s="12">
        <v>55</v>
      </c>
      <c r="M12" s="12">
        <v>12</v>
      </c>
      <c r="N12" s="12">
        <v>35</v>
      </c>
      <c r="O12" s="12">
        <v>35</v>
      </c>
      <c r="P12" s="12">
        <v>20</v>
      </c>
      <c r="Q12" s="12">
        <v>33</v>
      </c>
      <c r="R12" s="12">
        <v>11</v>
      </c>
      <c r="S12" s="12">
        <v>76</v>
      </c>
      <c r="T12" s="12">
        <v>47</v>
      </c>
      <c r="U12" s="12">
        <v>17</v>
      </c>
      <c r="V12" s="12">
        <v>32</v>
      </c>
      <c r="W12" s="12">
        <v>17</v>
      </c>
      <c r="X12" s="12">
        <v>21</v>
      </c>
      <c r="Y12" s="12">
        <v>65</v>
      </c>
      <c r="Z12" s="12">
        <v>3</v>
      </c>
      <c r="AA12" s="12">
        <v>19</v>
      </c>
      <c r="AB12" s="12">
        <v>30</v>
      </c>
      <c r="AC12" s="12">
        <v>84</v>
      </c>
      <c r="AD12" s="12">
        <v>43</v>
      </c>
      <c r="AE12" s="12">
        <v>31</v>
      </c>
      <c r="AF12" s="12">
        <v>30</v>
      </c>
    </row>
    <row r="13" spans="1:32">
      <c r="A13" s="19"/>
      <c r="B13" s="13" t="s">
        <v>577</v>
      </c>
      <c r="C13" s="14">
        <v>0.03</v>
      </c>
      <c r="D13" s="14">
        <v>0.04</v>
      </c>
      <c r="E13" s="14">
        <v>0.08</v>
      </c>
      <c r="F13" s="14">
        <v>0.06</v>
      </c>
      <c r="G13" s="14">
        <v>0.05</v>
      </c>
      <c r="H13" s="14">
        <v>0.04</v>
      </c>
      <c r="I13" s="14">
        <v>0.04</v>
      </c>
      <c r="J13" s="14">
        <v>0.05</v>
      </c>
      <c r="K13" s="14">
        <v>7.0000000000000007E-2</v>
      </c>
      <c r="L13" s="14">
        <v>0.05</v>
      </c>
      <c r="M13" s="14">
        <v>0.01</v>
      </c>
      <c r="N13" s="14">
        <v>0.04</v>
      </c>
      <c r="O13" s="14">
        <v>0.03</v>
      </c>
      <c r="P13" s="14">
        <v>0.02</v>
      </c>
      <c r="Q13" s="14">
        <v>0.03</v>
      </c>
      <c r="R13" s="14">
        <v>0.02</v>
      </c>
      <c r="S13" s="14">
        <v>0.08</v>
      </c>
      <c r="T13" s="14">
        <v>0.05</v>
      </c>
      <c r="U13" s="14">
        <v>0.03</v>
      </c>
      <c r="V13" s="14">
        <v>0.03</v>
      </c>
      <c r="W13" s="14">
        <v>0.03</v>
      </c>
      <c r="X13" s="14">
        <v>0.02</v>
      </c>
      <c r="Y13" s="14">
        <v>7.0000000000000007E-2</v>
      </c>
      <c r="Z13" s="15" t="s">
        <v>375</v>
      </c>
      <c r="AA13" s="14">
        <v>0.02</v>
      </c>
      <c r="AB13" s="14">
        <v>0.03</v>
      </c>
      <c r="AC13" s="14">
        <v>0.08</v>
      </c>
      <c r="AD13" s="14">
        <v>0.04</v>
      </c>
      <c r="AE13" s="14">
        <v>0.03</v>
      </c>
      <c r="AF13" s="14">
        <v>0.03</v>
      </c>
    </row>
    <row r="14" spans="1:32">
      <c r="A14" s="19"/>
      <c r="B14" s="11" t="s">
        <v>578</v>
      </c>
      <c r="C14" s="12">
        <v>868</v>
      </c>
      <c r="D14" s="12">
        <v>22</v>
      </c>
      <c r="E14" s="12">
        <v>36</v>
      </c>
      <c r="F14" s="12">
        <v>51</v>
      </c>
      <c r="G14" s="12">
        <v>44</v>
      </c>
      <c r="H14" s="12">
        <v>95</v>
      </c>
      <c r="I14" s="12">
        <v>103</v>
      </c>
      <c r="J14" s="12">
        <v>8</v>
      </c>
      <c r="K14" s="12">
        <v>37</v>
      </c>
      <c r="L14" s="12">
        <v>40</v>
      </c>
      <c r="M14" s="12">
        <v>38</v>
      </c>
      <c r="N14" s="12">
        <v>25</v>
      </c>
      <c r="O14" s="12">
        <v>27</v>
      </c>
      <c r="P14" s="12">
        <v>21</v>
      </c>
      <c r="Q14" s="12">
        <v>11</v>
      </c>
      <c r="R14" s="12">
        <v>11</v>
      </c>
      <c r="S14" s="12">
        <v>34</v>
      </c>
      <c r="T14" s="12">
        <v>21</v>
      </c>
      <c r="U14" s="12">
        <v>11</v>
      </c>
      <c r="V14" s="12">
        <v>33</v>
      </c>
      <c r="W14" s="12">
        <v>8</v>
      </c>
      <c r="X14" s="12">
        <v>24</v>
      </c>
      <c r="Y14" s="12">
        <v>28</v>
      </c>
      <c r="Z14" s="12">
        <v>4</v>
      </c>
      <c r="AA14" s="12">
        <v>70</v>
      </c>
      <c r="AB14" s="12">
        <v>20</v>
      </c>
      <c r="AC14" s="12">
        <v>45</v>
      </c>
      <c r="AD14" s="12">
        <v>40</v>
      </c>
      <c r="AE14" s="12">
        <v>36</v>
      </c>
      <c r="AF14" s="12">
        <v>53</v>
      </c>
    </row>
    <row r="15" spans="1:32">
      <c r="A15" s="19"/>
      <c r="B15" s="13" t="s">
        <v>578</v>
      </c>
      <c r="C15" s="14">
        <v>0.03</v>
      </c>
      <c r="D15" s="14">
        <v>0.02</v>
      </c>
      <c r="E15" s="14">
        <v>0.04</v>
      </c>
      <c r="F15" s="14">
        <v>0.05</v>
      </c>
      <c r="G15" s="14">
        <v>0.04</v>
      </c>
      <c r="H15" s="14">
        <v>0.08</v>
      </c>
      <c r="I15" s="14">
        <v>7.0000000000000007E-2</v>
      </c>
      <c r="J15" s="14">
        <v>0.03</v>
      </c>
      <c r="K15" s="14">
        <v>0.04</v>
      </c>
      <c r="L15" s="14">
        <v>0.04</v>
      </c>
      <c r="M15" s="14">
        <v>0.04</v>
      </c>
      <c r="N15" s="14">
        <v>0.02</v>
      </c>
      <c r="O15" s="14">
        <v>0.03</v>
      </c>
      <c r="P15" s="14">
        <v>0.02</v>
      </c>
      <c r="Q15" s="14">
        <v>0.01</v>
      </c>
      <c r="R15" s="14">
        <v>0.02</v>
      </c>
      <c r="S15" s="14">
        <v>0.03</v>
      </c>
      <c r="T15" s="14">
        <v>0.02</v>
      </c>
      <c r="U15" s="14">
        <v>0.02</v>
      </c>
      <c r="V15" s="14">
        <v>0.03</v>
      </c>
      <c r="W15" s="14">
        <v>0.02</v>
      </c>
      <c r="X15" s="14">
        <v>0.02</v>
      </c>
      <c r="Y15" s="14">
        <v>0.03</v>
      </c>
      <c r="Z15" s="15" t="s">
        <v>375</v>
      </c>
      <c r="AA15" s="14">
        <v>7.0000000000000007E-2</v>
      </c>
      <c r="AB15" s="14">
        <v>0.02</v>
      </c>
      <c r="AC15" s="14">
        <v>0.05</v>
      </c>
      <c r="AD15" s="14">
        <v>0.04</v>
      </c>
      <c r="AE15" s="14">
        <v>0.03</v>
      </c>
      <c r="AF15" s="14">
        <v>0.05</v>
      </c>
    </row>
    <row r="16" spans="1:32">
      <c r="A16" s="19"/>
      <c r="B16" s="11" t="s">
        <v>579</v>
      </c>
      <c r="C16" s="12">
        <v>1240</v>
      </c>
      <c r="D16" s="12">
        <v>34</v>
      </c>
      <c r="E16" s="12">
        <v>75</v>
      </c>
      <c r="F16" s="12">
        <v>107</v>
      </c>
      <c r="G16" s="12">
        <v>79</v>
      </c>
      <c r="H16" s="12">
        <v>84</v>
      </c>
      <c r="I16" s="12">
        <v>102</v>
      </c>
      <c r="J16" s="12">
        <v>18</v>
      </c>
      <c r="K16" s="12">
        <v>67</v>
      </c>
      <c r="L16" s="12">
        <v>39</v>
      </c>
      <c r="M16" s="12">
        <v>54</v>
      </c>
      <c r="N16" s="12">
        <v>32</v>
      </c>
      <c r="O16" s="12">
        <v>50</v>
      </c>
      <c r="P16" s="12">
        <v>51</v>
      </c>
      <c r="Q16" s="12">
        <v>19</v>
      </c>
      <c r="R16" s="12">
        <v>7</v>
      </c>
      <c r="S16" s="12">
        <v>49</v>
      </c>
      <c r="T16" s="12">
        <v>47</v>
      </c>
      <c r="U16" s="12">
        <v>14</v>
      </c>
      <c r="V16" s="12">
        <v>56</v>
      </c>
      <c r="W16" s="12">
        <v>13</v>
      </c>
      <c r="X16" s="12">
        <v>46</v>
      </c>
      <c r="Y16" s="12">
        <v>64</v>
      </c>
      <c r="Z16" s="12">
        <v>15</v>
      </c>
      <c r="AA16" s="12">
        <v>84</v>
      </c>
      <c r="AB16" s="12">
        <v>36</v>
      </c>
      <c r="AC16" s="12">
        <v>71</v>
      </c>
      <c r="AD16" s="12">
        <v>58</v>
      </c>
      <c r="AE16" s="12">
        <v>52</v>
      </c>
      <c r="AF16" s="12">
        <v>95</v>
      </c>
    </row>
    <row r="17" spans="1:32">
      <c r="A17" s="19"/>
      <c r="B17" s="13" t="s">
        <v>579</v>
      </c>
      <c r="C17" s="14">
        <v>0.05</v>
      </c>
      <c r="D17" s="14">
        <v>0.03</v>
      </c>
      <c r="E17" s="14">
        <v>7.0000000000000007E-2</v>
      </c>
      <c r="F17" s="14">
        <v>0.1</v>
      </c>
      <c r="G17" s="14">
        <v>0.08</v>
      </c>
      <c r="H17" s="14">
        <v>7.0000000000000007E-2</v>
      </c>
      <c r="I17" s="14">
        <v>7.0000000000000007E-2</v>
      </c>
      <c r="J17" s="14">
        <v>0.06</v>
      </c>
      <c r="K17" s="14">
        <v>7.0000000000000007E-2</v>
      </c>
      <c r="L17" s="14">
        <v>0.04</v>
      </c>
      <c r="M17" s="14">
        <v>0.05</v>
      </c>
      <c r="N17" s="14">
        <v>0.03</v>
      </c>
      <c r="O17" s="14">
        <v>0.05</v>
      </c>
      <c r="P17" s="14">
        <v>0.05</v>
      </c>
      <c r="Q17" s="14">
        <v>0.02</v>
      </c>
      <c r="R17" s="14">
        <v>0.02</v>
      </c>
      <c r="S17" s="14">
        <v>0.05</v>
      </c>
      <c r="T17" s="14">
        <v>0.05</v>
      </c>
      <c r="U17" s="14">
        <v>0.03</v>
      </c>
      <c r="V17" s="14">
        <v>0.06</v>
      </c>
      <c r="W17" s="14">
        <v>0.03</v>
      </c>
      <c r="X17" s="14">
        <v>0.05</v>
      </c>
      <c r="Y17" s="14">
        <v>0.06</v>
      </c>
      <c r="Z17" s="14">
        <v>0.02</v>
      </c>
      <c r="AA17" s="14">
        <v>0.08</v>
      </c>
      <c r="AB17" s="14">
        <v>0.03</v>
      </c>
      <c r="AC17" s="14">
        <v>7.0000000000000007E-2</v>
      </c>
      <c r="AD17" s="14">
        <v>0.06</v>
      </c>
      <c r="AE17" s="14">
        <v>0.05</v>
      </c>
      <c r="AF17" s="14">
        <v>0.09</v>
      </c>
    </row>
    <row r="18" spans="1:32">
      <c r="A18" s="19"/>
      <c r="B18" s="11" t="s">
        <v>580</v>
      </c>
      <c r="C18" s="12">
        <v>1472</v>
      </c>
      <c r="D18" s="12">
        <v>53</v>
      </c>
      <c r="E18" s="12">
        <v>91</v>
      </c>
      <c r="F18" s="12">
        <v>103</v>
      </c>
      <c r="G18" s="12">
        <v>92</v>
      </c>
      <c r="H18" s="12">
        <v>99</v>
      </c>
      <c r="I18" s="12">
        <v>114</v>
      </c>
      <c r="J18" s="12">
        <v>15</v>
      </c>
      <c r="K18" s="12">
        <v>82</v>
      </c>
      <c r="L18" s="12">
        <v>50</v>
      </c>
      <c r="M18" s="12">
        <v>73</v>
      </c>
      <c r="N18" s="12">
        <v>46</v>
      </c>
      <c r="O18" s="12">
        <v>39</v>
      </c>
      <c r="P18" s="12">
        <v>65</v>
      </c>
      <c r="Q18" s="12">
        <v>35</v>
      </c>
      <c r="R18" s="12">
        <v>16</v>
      </c>
      <c r="S18" s="12">
        <v>70</v>
      </c>
      <c r="T18" s="12">
        <v>63</v>
      </c>
      <c r="U18" s="12">
        <v>35</v>
      </c>
      <c r="V18" s="12">
        <v>116</v>
      </c>
      <c r="W18" s="12">
        <v>34</v>
      </c>
      <c r="X18" s="12">
        <v>75</v>
      </c>
      <c r="Y18" s="12">
        <v>74</v>
      </c>
      <c r="Z18" s="12">
        <v>28</v>
      </c>
      <c r="AA18" s="12">
        <v>47</v>
      </c>
      <c r="AB18" s="12">
        <v>40</v>
      </c>
      <c r="AC18" s="12">
        <v>87</v>
      </c>
      <c r="AD18" s="12">
        <v>55</v>
      </c>
      <c r="AE18" s="12">
        <v>69</v>
      </c>
      <c r="AF18" s="12">
        <v>106</v>
      </c>
    </row>
    <row r="19" spans="1:32">
      <c r="A19" s="19"/>
      <c r="B19" s="13" t="s">
        <v>580</v>
      </c>
      <c r="C19" s="14">
        <v>0.06</v>
      </c>
      <c r="D19" s="14">
        <v>0.05</v>
      </c>
      <c r="E19" s="14">
        <v>0.09</v>
      </c>
      <c r="F19" s="14">
        <v>0.1</v>
      </c>
      <c r="G19" s="14">
        <v>0.09</v>
      </c>
      <c r="H19" s="14">
        <v>0.08</v>
      </c>
      <c r="I19" s="14">
        <v>7.0000000000000007E-2</v>
      </c>
      <c r="J19" s="14">
        <v>0.05</v>
      </c>
      <c r="K19" s="14">
        <v>0.08</v>
      </c>
      <c r="L19" s="14">
        <v>0.05</v>
      </c>
      <c r="M19" s="14">
        <v>7.0000000000000007E-2</v>
      </c>
      <c r="N19" s="14">
        <v>0.05</v>
      </c>
      <c r="O19" s="14">
        <v>0.04</v>
      </c>
      <c r="P19" s="14">
        <v>7.0000000000000007E-2</v>
      </c>
      <c r="Q19" s="14">
        <v>0.03</v>
      </c>
      <c r="R19" s="14">
        <v>0.03</v>
      </c>
      <c r="S19" s="14">
        <v>7.0000000000000007E-2</v>
      </c>
      <c r="T19" s="14">
        <v>0.06</v>
      </c>
      <c r="U19" s="14">
        <v>7.0000000000000007E-2</v>
      </c>
      <c r="V19" s="14">
        <v>0.11</v>
      </c>
      <c r="W19" s="14">
        <v>7.0000000000000007E-2</v>
      </c>
      <c r="X19" s="14">
        <v>7.0000000000000007E-2</v>
      </c>
      <c r="Y19" s="14">
        <v>7.0000000000000007E-2</v>
      </c>
      <c r="Z19" s="14">
        <v>0.03</v>
      </c>
      <c r="AA19" s="14">
        <v>0.04</v>
      </c>
      <c r="AB19" s="14">
        <v>0.04</v>
      </c>
      <c r="AC19" s="14">
        <v>0.09</v>
      </c>
      <c r="AD19" s="14">
        <v>0.06</v>
      </c>
      <c r="AE19" s="14">
        <v>7.0000000000000007E-2</v>
      </c>
      <c r="AF19" s="14">
        <v>0.1</v>
      </c>
    </row>
    <row r="20" spans="1:32">
      <c r="A20" s="19"/>
      <c r="B20" s="11" t="s">
        <v>581</v>
      </c>
      <c r="C20" s="12">
        <v>2793</v>
      </c>
      <c r="D20" s="12">
        <v>108</v>
      </c>
      <c r="E20" s="12">
        <v>139</v>
      </c>
      <c r="F20" s="12">
        <v>142</v>
      </c>
      <c r="G20" s="12">
        <v>125</v>
      </c>
      <c r="H20" s="12">
        <v>165</v>
      </c>
      <c r="I20" s="12">
        <v>209</v>
      </c>
      <c r="J20" s="12">
        <v>44</v>
      </c>
      <c r="K20" s="12">
        <v>121</v>
      </c>
      <c r="L20" s="12">
        <v>100</v>
      </c>
      <c r="M20" s="12">
        <v>114</v>
      </c>
      <c r="N20" s="12">
        <v>95</v>
      </c>
      <c r="O20" s="12">
        <v>130</v>
      </c>
      <c r="P20" s="12">
        <v>85</v>
      </c>
      <c r="Q20" s="12">
        <v>56</v>
      </c>
      <c r="R20" s="12">
        <v>50</v>
      </c>
      <c r="S20" s="12">
        <v>104</v>
      </c>
      <c r="T20" s="12">
        <v>155</v>
      </c>
      <c r="U20" s="12">
        <v>56</v>
      </c>
      <c r="V20" s="12">
        <v>138</v>
      </c>
      <c r="W20" s="12">
        <v>42</v>
      </c>
      <c r="X20" s="12">
        <v>104</v>
      </c>
      <c r="Y20" s="12">
        <v>109</v>
      </c>
      <c r="Z20" s="12">
        <v>59</v>
      </c>
      <c r="AA20" s="12">
        <v>60</v>
      </c>
      <c r="AB20" s="12">
        <v>108</v>
      </c>
      <c r="AC20" s="12">
        <v>154</v>
      </c>
      <c r="AD20" s="12">
        <v>143</v>
      </c>
      <c r="AE20" s="12">
        <v>111</v>
      </c>
      <c r="AF20" s="12">
        <v>158</v>
      </c>
    </row>
    <row r="21" spans="1:32">
      <c r="A21" s="19"/>
      <c r="B21" s="13" t="s">
        <v>581</v>
      </c>
      <c r="C21" s="14">
        <v>0.1</v>
      </c>
      <c r="D21" s="14">
        <v>0.11</v>
      </c>
      <c r="E21" s="14">
        <v>0.13</v>
      </c>
      <c r="F21" s="14">
        <v>0.13</v>
      </c>
      <c r="G21" s="14">
        <v>0.12</v>
      </c>
      <c r="H21" s="14">
        <v>0.13</v>
      </c>
      <c r="I21" s="14">
        <v>0.14000000000000001</v>
      </c>
      <c r="J21" s="14">
        <v>0.15</v>
      </c>
      <c r="K21" s="14">
        <v>0.12</v>
      </c>
      <c r="L21" s="14">
        <v>0.1</v>
      </c>
      <c r="M21" s="14">
        <v>0.11</v>
      </c>
      <c r="N21" s="14">
        <v>0.09</v>
      </c>
      <c r="O21" s="14">
        <v>0.13</v>
      </c>
      <c r="P21" s="14">
        <v>0.08</v>
      </c>
      <c r="Q21" s="14">
        <v>0.05</v>
      </c>
      <c r="R21" s="14">
        <v>0.1</v>
      </c>
      <c r="S21" s="14">
        <v>0.1</v>
      </c>
      <c r="T21" s="14">
        <v>0.15</v>
      </c>
      <c r="U21" s="14">
        <v>0.11</v>
      </c>
      <c r="V21" s="14">
        <v>0.14000000000000001</v>
      </c>
      <c r="W21" s="14">
        <v>0.08</v>
      </c>
      <c r="X21" s="14">
        <v>0.1</v>
      </c>
      <c r="Y21" s="14">
        <v>0.11</v>
      </c>
      <c r="Z21" s="14">
        <v>0.06</v>
      </c>
      <c r="AA21" s="14">
        <v>0.06</v>
      </c>
      <c r="AB21" s="14">
        <v>0.1</v>
      </c>
      <c r="AC21" s="14">
        <v>0.15</v>
      </c>
      <c r="AD21" s="14">
        <v>0.14000000000000001</v>
      </c>
      <c r="AE21" s="14">
        <v>0.11</v>
      </c>
      <c r="AF21" s="14">
        <v>0.15</v>
      </c>
    </row>
    <row r="22" spans="1:32">
      <c r="A22" s="19"/>
      <c r="B22" s="11" t="s">
        <v>582</v>
      </c>
      <c r="C22" s="12">
        <v>3086</v>
      </c>
      <c r="D22" s="12">
        <v>133</v>
      </c>
      <c r="E22" s="12">
        <v>130</v>
      </c>
      <c r="F22" s="12">
        <v>125</v>
      </c>
      <c r="G22" s="12">
        <v>134</v>
      </c>
      <c r="H22" s="12">
        <v>151</v>
      </c>
      <c r="I22" s="12">
        <v>192</v>
      </c>
      <c r="J22" s="12">
        <v>41</v>
      </c>
      <c r="K22" s="12">
        <v>116</v>
      </c>
      <c r="L22" s="12">
        <v>81</v>
      </c>
      <c r="M22" s="12">
        <v>130</v>
      </c>
      <c r="N22" s="12">
        <v>102</v>
      </c>
      <c r="O22" s="12">
        <v>133</v>
      </c>
      <c r="P22" s="12">
        <v>118</v>
      </c>
      <c r="Q22" s="12">
        <v>90</v>
      </c>
      <c r="R22" s="12">
        <v>46</v>
      </c>
      <c r="S22" s="12">
        <v>66</v>
      </c>
      <c r="T22" s="12">
        <v>125</v>
      </c>
      <c r="U22" s="12">
        <v>59</v>
      </c>
      <c r="V22" s="12">
        <v>127</v>
      </c>
      <c r="W22" s="12">
        <v>51</v>
      </c>
      <c r="X22" s="12">
        <v>153</v>
      </c>
      <c r="Y22" s="12">
        <v>130</v>
      </c>
      <c r="Z22" s="12">
        <v>112</v>
      </c>
      <c r="AA22" s="12">
        <v>76</v>
      </c>
      <c r="AB22" s="12">
        <v>141</v>
      </c>
      <c r="AC22" s="12">
        <v>115</v>
      </c>
      <c r="AD22" s="12">
        <v>134</v>
      </c>
      <c r="AE22" s="12">
        <v>118</v>
      </c>
      <c r="AF22" s="12">
        <v>130</v>
      </c>
    </row>
    <row r="23" spans="1:32">
      <c r="A23" s="19"/>
      <c r="B23" s="13" t="s">
        <v>582</v>
      </c>
      <c r="C23" s="14">
        <v>0.12</v>
      </c>
      <c r="D23" s="14">
        <v>0.13</v>
      </c>
      <c r="E23" s="14">
        <v>0.12</v>
      </c>
      <c r="F23" s="14">
        <v>0.12</v>
      </c>
      <c r="G23" s="14">
        <v>0.13</v>
      </c>
      <c r="H23" s="14">
        <v>0.12</v>
      </c>
      <c r="I23" s="14">
        <v>0.12</v>
      </c>
      <c r="J23" s="14">
        <v>0.14000000000000001</v>
      </c>
      <c r="K23" s="14">
        <v>0.11</v>
      </c>
      <c r="L23" s="14">
        <v>0.08</v>
      </c>
      <c r="M23" s="14">
        <v>0.13</v>
      </c>
      <c r="N23" s="14">
        <v>0.1</v>
      </c>
      <c r="O23" s="14">
        <v>0.13</v>
      </c>
      <c r="P23" s="14">
        <v>0.12</v>
      </c>
      <c r="Q23" s="14">
        <v>0.09</v>
      </c>
      <c r="R23" s="14">
        <v>0.09</v>
      </c>
      <c r="S23" s="14">
        <v>7.0000000000000007E-2</v>
      </c>
      <c r="T23" s="14">
        <v>0.12</v>
      </c>
      <c r="U23" s="14">
        <v>0.12</v>
      </c>
      <c r="V23" s="14">
        <v>0.12</v>
      </c>
      <c r="W23" s="14">
        <v>0.1</v>
      </c>
      <c r="X23" s="14">
        <v>0.15</v>
      </c>
      <c r="Y23" s="14">
        <v>0.13</v>
      </c>
      <c r="Z23" s="14">
        <v>0.11</v>
      </c>
      <c r="AA23" s="14">
        <v>7.0000000000000007E-2</v>
      </c>
      <c r="AB23" s="14">
        <v>0.14000000000000001</v>
      </c>
      <c r="AC23" s="14">
        <v>0.11</v>
      </c>
      <c r="AD23" s="14">
        <v>0.13</v>
      </c>
      <c r="AE23" s="14">
        <v>0.12</v>
      </c>
      <c r="AF23" s="14">
        <v>0.13</v>
      </c>
    </row>
    <row r="24" spans="1:32">
      <c r="A24" s="19"/>
      <c r="B24" s="11" t="s">
        <v>583</v>
      </c>
      <c r="C24" s="12">
        <v>4415</v>
      </c>
      <c r="D24" s="12">
        <v>192</v>
      </c>
      <c r="E24" s="12">
        <v>151</v>
      </c>
      <c r="F24" s="12">
        <v>120</v>
      </c>
      <c r="G24" s="12">
        <v>173</v>
      </c>
      <c r="H24" s="12">
        <v>190</v>
      </c>
      <c r="I24" s="12">
        <v>238</v>
      </c>
      <c r="J24" s="12">
        <v>48</v>
      </c>
      <c r="K24" s="12">
        <v>134</v>
      </c>
      <c r="L24" s="12">
        <v>170</v>
      </c>
      <c r="M24" s="12">
        <v>197</v>
      </c>
      <c r="N24" s="12">
        <v>164</v>
      </c>
      <c r="O24" s="12">
        <v>181</v>
      </c>
      <c r="P24" s="12">
        <v>141</v>
      </c>
      <c r="Q24" s="12">
        <v>165</v>
      </c>
      <c r="R24" s="12">
        <v>99</v>
      </c>
      <c r="S24" s="12">
        <v>112</v>
      </c>
      <c r="T24" s="12">
        <v>132</v>
      </c>
      <c r="U24" s="12">
        <v>82</v>
      </c>
      <c r="V24" s="12">
        <v>181</v>
      </c>
      <c r="W24" s="12">
        <v>52</v>
      </c>
      <c r="X24" s="12">
        <v>230</v>
      </c>
      <c r="Y24" s="12">
        <v>141</v>
      </c>
      <c r="Z24" s="12">
        <v>176</v>
      </c>
      <c r="AA24" s="12">
        <v>129</v>
      </c>
      <c r="AB24" s="12">
        <v>217</v>
      </c>
      <c r="AC24" s="12">
        <v>129</v>
      </c>
      <c r="AD24" s="12">
        <v>178</v>
      </c>
      <c r="AE24" s="12">
        <v>178</v>
      </c>
      <c r="AF24" s="12">
        <v>141</v>
      </c>
    </row>
    <row r="25" spans="1:32">
      <c r="A25" s="19"/>
      <c r="B25" s="13" t="s">
        <v>583</v>
      </c>
      <c r="C25" s="14">
        <v>0.17</v>
      </c>
      <c r="D25" s="14">
        <v>0.19</v>
      </c>
      <c r="E25" s="14">
        <v>0.14000000000000001</v>
      </c>
      <c r="F25" s="14">
        <v>0.11</v>
      </c>
      <c r="G25" s="14">
        <v>0.17</v>
      </c>
      <c r="H25" s="14">
        <v>0.15</v>
      </c>
      <c r="I25" s="14">
        <v>0.16</v>
      </c>
      <c r="J25" s="14">
        <v>0.16</v>
      </c>
      <c r="K25" s="14">
        <v>0.13</v>
      </c>
      <c r="L25" s="14">
        <v>0.17</v>
      </c>
      <c r="M25" s="14">
        <v>0.2</v>
      </c>
      <c r="N25" s="14">
        <v>0.16</v>
      </c>
      <c r="O25" s="14">
        <v>0.18</v>
      </c>
      <c r="P25" s="14">
        <v>0.14000000000000001</v>
      </c>
      <c r="Q25" s="14">
        <v>0.16</v>
      </c>
      <c r="R25" s="14">
        <v>0.2</v>
      </c>
      <c r="S25" s="14">
        <v>0.11</v>
      </c>
      <c r="T25" s="14">
        <v>0.13</v>
      </c>
      <c r="U25" s="14">
        <v>0.16</v>
      </c>
      <c r="V25" s="14">
        <v>0.18</v>
      </c>
      <c r="W25" s="14">
        <v>0.1</v>
      </c>
      <c r="X25" s="14">
        <v>0.23</v>
      </c>
      <c r="Y25" s="14">
        <v>0.14000000000000001</v>
      </c>
      <c r="Z25" s="14">
        <v>0.17</v>
      </c>
      <c r="AA25" s="14">
        <v>0.12</v>
      </c>
      <c r="AB25" s="14">
        <v>0.21</v>
      </c>
      <c r="AC25" s="14">
        <v>0.13</v>
      </c>
      <c r="AD25" s="14">
        <v>0.18</v>
      </c>
      <c r="AE25" s="14">
        <v>0.18</v>
      </c>
      <c r="AF25" s="14">
        <v>0.14000000000000001</v>
      </c>
    </row>
    <row r="26" spans="1:32">
      <c r="A26" s="19"/>
      <c r="B26" s="11" t="s">
        <v>584</v>
      </c>
      <c r="C26" s="12">
        <v>5000</v>
      </c>
      <c r="D26" s="12">
        <v>216</v>
      </c>
      <c r="E26" s="12">
        <v>105</v>
      </c>
      <c r="F26" s="12">
        <v>147</v>
      </c>
      <c r="G26" s="12">
        <v>160</v>
      </c>
      <c r="H26" s="12">
        <v>154</v>
      </c>
      <c r="I26" s="12">
        <v>205</v>
      </c>
      <c r="J26" s="12">
        <v>51</v>
      </c>
      <c r="K26" s="12">
        <v>128</v>
      </c>
      <c r="L26" s="12">
        <v>199</v>
      </c>
      <c r="M26" s="12">
        <v>199</v>
      </c>
      <c r="N26" s="12">
        <v>197</v>
      </c>
      <c r="O26" s="12">
        <v>194</v>
      </c>
      <c r="P26" s="12">
        <v>188</v>
      </c>
      <c r="Q26" s="12">
        <v>251</v>
      </c>
      <c r="R26" s="12">
        <v>128</v>
      </c>
      <c r="S26" s="12">
        <v>139</v>
      </c>
      <c r="T26" s="12">
        <v>152</v>
      </c>
      <c r="U26" s="12">
        <v>84</v>
      </c>
      <c r="V26" s="12">
        <v>142</v>
      </c>
      <c r="W26" s="12">
        <v>70</v>
      </c>
      <c r="X26" s="12">
        <v>220</v>
      </c>
      <c r="Y26" s="12">
        <v>150</v>
      </c>
      <c r="Z26" s="12">
        <v>267</v>
      </c>
      <c r="AA26" s="12">
        <v>130</v>
      </c>
      <c r="AB26" s="12">
        <v>245</v>
      </c>
      <c r="AC26" s="12">
        <v>86</v>
      </c>
      <c r="AD26" s="12">
        <v>171</v>
      </c>
      <c r="AE26" s="12">
        <v>167</v>
      </c>
      <c r="AF26" s="12">
        <v>174</v>
      </c>
    </row>
    <row r="27" spans="1:32">
      <c r="A27" s="19"/>
      <c r="B27" s="13" t="s">
        <v>584</v>
      </c>
      <c r="C27" s="14">
        <v>0.19</v>
      </c>
      <c r="D27" s="14">
        <v>0.21</v>
      </c>
      <c r="E27" s="14">
        <v>0.1</v>
      </c>
      <c r="F27" s="14">
        <v>0.14000000000000001</v>
      </c>
      <c r="G27" s="14">
        <v>0.16</v>
      </c>
      <c r="H27" s="14">
        <v>0.13</v>
      </c>
      <c r="I27" s="14">
        <v>0.13</v>
      </c>
      <c r="J27" s="14">
        <v>0.17</v>
      </c>
      <c r="K27" s="14">
        <v>0.13</v>
      </c>
      <c r="L27" s="14">
        <v>0.2</v>
      </c>
      <c r="M27" s="14">
        <v>0.2</v>
      </c>
      <c r="N27" s="14">
        <v>0.2</v>
      </c>
      <c r="O27" s="14">
        <v>0.19</v>
      </c>
      <c r="P27" s="14">
        <v>0.19</v>
      </c>
      <c r="Q27" s="14">
        <v>0.24</v>
      </c>
      <c r="R27" s="14">
        <v>0.26</v>
      </c>
      <c r="S27" s="14">
        <v>0.14000000000000001</v>
      </c>
      <c r="T27" s="14">
        <v>0.15</v>
      </c>
      <c r="U27" s="14">
        <v>0.16</v>
      </c>
      <c r="V27" s="14">
        <v>0.14000000000000001</v>
      </c>
      <c r="W27" s="14">
        <v>0.14000000000000001</v>
      </c>
      <c r="X27" s="14">
        <v>0.22</v>
      </c>
      <c r="Y27" s="14">
        <v>0.15</v>
      </c>
      <c r="Z27" s="14">
        <v>0.26</v>
      </c>
      <c r="AA27" s="14">
        <v>0.13</v>
      </c>
      <c r="AB27" s="14">
        <v>0.24</v>
      </c>
      <c r="AC27" s="14">
        <v>0.09</v>
      </c>
      <c r="AD27" s="14">
        <v>0.17</v>
      </c>
      <c r="AE27" s="14">
        <v>0.17</v>
      </c>
      <c r="AF27" s="14">
        <v>0.17</v>
      </c>
    </row>
    <row r="28" spans="1:32">
      <c r="A28" s="19"/>
      <c r="B28" s="11" t="s">
        <v>585</v>
      </c>
      <c r="C28" s="12">
        <v>2763</v>
      </c>
      <c r="D28" s="12">
        <v>112</v>
      </c>
      <c r="E28" s="12">
        <v>70</v>
      </c>
      <c r="F28" s="12">
        <v>70</v>
      </c>
      <c r="G28" s="12">
        <v>56</v>
      </c>
      <c r="H28" s="12">
        <v>80</v>
      </c>
      <c r="I28" s="12">
        <v>104</v>
      </c>
      <c r="J28" s="12">
        <v>23</v>
      </c>
      <c r="K28" s="12">
        <v>91</v>
      </c>
      <c r="L28" s="12">
        <v>91</v>
      </c>
      <c r="M28" s="12">
        <v>109</v>
      </c>
      <c r="N28" s="12">
        <v>133</v>
      </c>
      <c r="O28" s="12">
        <v>77</v>
      </c>
      <c r="P28" s="12">
        <v>101</v>
      </c>
      <c r="Q28" s="12">
        <v>175</v>
      </c>
      <c r="R28" s="12">
        <v>45</v>
      </c>
      <c r="S28" s="12">
        <v>134</v>
      </c>
      <c r="T28" s="12">
        <v>84</v>
      </c>
      <c r="U28" s="12">
        <v>55</v>
      </c>
      <c r="V28" s="12">
        <v>72</v>
      </c>
      <c r="W28" s="12">
        <v>102</v>
      </c>
      <c r="X28" s="12">
        <v>79</v>
      </c>
      <c r="Y28" s="12">
        <v>80</v>
      </c>
      <c r="Z28" s="12">
        <v>152</v>
      </c>
      <c r="AA28" s="12">
        <v>158</v>
      </c>
      <c r="AB28" s="12">
        <v>99</v>
      </c>
      <c r="AC28" s="12">
        <v>54</v>
      </c>
      <c r="AD28" s="12">
        <v>100</v>
      </c>
      <c r="AE28" s="12">
        <v>125</v>
      </c>
      <c r="AF28" s="12">
        <v>68</v>
      </c>
    </row>
    <row r="29" spans="1:32">
      <c r="A29" s="19"/>
      <c r="B29" s="13" t="s">
        <v>585</v>
      </c>
      <c r="C29" s="14">
        <v>0.1</v>
      </c>
      <c r="D29" s="14">
        <v>0.11</v>
      </c>
      <c r="E29" s="14">
        <v>7.0000000000000007E-2</v>
      </c>
      <c r="F29" s="14">
        <v>7.0000000000000007E-2</v>
      </c>
      <c r="G29" s="14">
        <v>0.06</v>
      </c>
      <c r="H29" s="14">
        <v>7.0000000000000007E-2</v>
      </c>
      <c r="I29" s="14">
        <v>7.0000000000000007E-2</v>
      </c>
      <c r="J29" s="14">
        <v>0.08</v>
      </c>
      <c r="K29" s="14">
        <v>0.09</v>
      </c>
      <c r="L29" s="14">
        <v>0.09</v>
      </c>
      <c r="M29" s="14">
        <v>0.11</v>
      </c>
      <c r="N29" s="14">
        <v>0.13</v>
      </c>
      <c r="O29" s="14">
        <v>0.08</v>
      </c>
      <c r="P29" s="14">
        <v>0.1</v>
      </c>
      <c r="Q29" s="14">
        <v>0.17</v>
      </c>
      <c r="R29" s="14">
        <v>0.09</v>
      </c>
      <c r="S29" s="14">
        <v>0.13</v>
      </c>
      <c r="T29" s="14">
        <v>0.08</v>
      </c>
      <c r="U29" s="14">
        <v>0.11</v>
      </c>
      <c r="V29" s="14">
        <v>7.0000000000000007E-2</v>
      </c>
      <c r="W29" s="14">
        <v>0.2</v>
      </c>
      <c r="X29" s="14">
        <v>0.08</v>
      </c>
      <c r="Y29" s="14">
        <v>0.08</v>
      </c>
      <c r="Z29" s="14">
        <v>0.15</v>
      </c>
      <c r="AA29" s="14">
        <v>0.15</v>
      </c>
      <c r="AB29" s="14">
        <v>0.09</v>
      </c>
      <c r="AC29" s="14">
        <v>0.05</v>
      </c>
      <c r="AD29" s="14">
        <v>0.1</v>
      </c>
      <c r="AE29" s="14">
        <v>0.12</v>
      </c>
      <c r="AF29" s="14">
        <v>7.0000000000000007E-2</v>
      </c>
    </row>
    <row r="30" spans="1:32">
      <c r="A30" s="19"/>
      <c r="B30" s="11" t="s">
        <v>586</v>
      </c>
      <c r="C30" s="12">
        <v>3594</v>
      </c>
      <c r="D30" s="12">
        <v>110</v>
      </c>
      <c r="E30" s="12">
        <v>138</v>
      </c>
      <c r="F30" s="12">
        <v>126</v>
      </c>
      <c r="G30" s="12">
        <v>83</v>
      </c>
      <c r="H30" s="12">
        <v>152</v>
      </c>
      <c r="I30" s="12">
        <v>185</v>
      </c>
      <c r="J30" s="12">
        <v>33</v>
      </c>
      <c r="K30" s="12">
        <v>152</v>
      </c>
      <c r="L30" s="12">
        <v>168</v>
      </c>
      <c r="M30" s="12">
        <v>61</v>
      </c>
      <c r="N30" s="12">
        <v>154</v>
      </c>
      <c r="O30" s="12">
        <v>120</v>
      </c>
      <c r="P30" s="12">
        <v>204</v>
      </c>
      <c r="Q30" s="12">
        <v>190</v>
      </c>
      <c r="R30" s="12">
        <v>80</v>
      </c>
      <c r="S30" s="12">
        <v>206</v>
      </c>
      <c r="T30" s="12">
        <v>190</v>
      </c>
      <c r="U30" s="12">
        <v>82</v>
      </c>
      <c r="V30" s="12">
        <v>115</v>
      </c>
      <c r="W30" s="12">
        <v>101</v>
      </c>
      <c r="X30" s="12">
        <v>56</v>
      </c>
      <c r="Y30" s="12">
        <v>161</v>
      </c>
      <c r="Z30" s="12">
        <v>196</v>
      </c>
      <c r="AA30" s="12">
        <v>233</v>
      </c>
      <c r="AB30" s="12">
        <v>74</v>
      </c>
      <c r="AC30" s="12">
        <v>175</v>
      </c>
      <c r="AD30" s="12">
        <v>75</v>
      </c>
      <c r="AE30" s="12">
        <v>106</v>
      </c>
      <c r="AF30" s="12">
        <v>78</v>
      </c>
    </row>
    <row r="31" spans="1:32">
      <c r="A31" s="19"/>
      <c r="B31" s="13" t="s">
        <v>587</v>
      </c>
      <c r="C31" s="14">
        <v>0.14000000000000001</v>
      </c>
      <c r="D31" s="14">
        <v>0.11</v>
      </c>
      <c r="E31" s="14">
        <v>0.13</v>
      </c>
      <c r="F31" s="14">
        <v>0.12</v>
      </c>
      <c r="G31" s="14">
        <v>0.08</v>
      </c>
      <c r="H31" s="14">
        <v>0.12</v>
      </c>
      <c r="I31" s="14">
        <v>0.12</v>
      </c>
      <c r="J31" s="14">
        <v>0.11</v>
      </c>
      <c r="K31" s="14">
        <v>0.15</v>
      </c>
      <c r="L31" s="14">
        <v>0.17</v>
      </c>
      <c r="M31" s="14">
        <v>0.06</v>
      </c>
      <c r="N31" s="14">
        <v>0.15</v>
      </c>
      <c r="O31" s="14">
        <v>0.12</v>
      </c>
      <c r="P31" s="14">
        <v>0.2</v>
      </c>
      <c r="Q31" s="14">
        <v>0.19</v>
      </c>
      <c r="R31" s="14">
        <v>0.16</v>
      </c>
      <c r="S31" s="14">
        <v>0.21</v>
      </c>
      <c r="T31" s="14">
        <v>0.18</v>
      </c>
      <c r="U31" s="14">
        <v>0.16</v>
      </c>
      <c r="V31" s="14">
        <v>0.11</v>
      </c>
      <c r="W31" s="14">
        <v>0.2</v>
      </c>
      <c r="X31" s="14">
        <v>0.06</v>
      </c>
      <c r="Y31" s="14">
        <v>0.16</v>
      </c>
      <c r="Z31" s="14">
        <v>0.19</v>
      </c>
      <c r="AA31" s="14">
        <v>0.23</v>
      </c>
      <c r="AB31" s="14">
        <v>7.0000000000000007E-2</v>
      </c>
      <c r="AC31" s="14">
        <v>0.17</v>
      </c>
      <c r="AD31" s="14">
        <v>7.0000000000000007E-2</v>
      </c>
      <c r="AE31" s="14">
        <v>0.11</v>
      </c>
      <c r="AF31" s="14">
        <v>7.0000000000000007E-2</v>
      </c>
    </row>
    <row r="32" spans="1:32">
      <c r="A32" s="19"/>
      <c r="B32" s="11" t="s">
        <v>386</v>
      </c>
      <c r="C32" s="12">
        <v>329</v>
      </c>
      <c r="D32" s="12">
        <v>3</v>
      </c>
      <c r="E32" s="12">
        <v>30</v>
      </c>
      <c r="F32" s="12">
        <v>4</v>
      </c>
      <c r="G32" s="12">
        <v>16</v>
      </c>
      <c r="H32" s="12">
        <v>11</v>
      </c>
      <c r="I32" s="12">
        <v>12</v>
      </c>
      <c r="J32" s="12">
        <v>1</v>
      </c>
      <c r="K32" s="12">
        <v>11</v>
      </c>
      <c r="L32" s="12">
        <v>12</v>
      </c>
      <c r="M32" s="12">
        <v>20</v>
      </c>
      <c r="N32" s="12">
        <v>28</v>
      </c>
      <c r="O32" s="12">
        <v>17</v>
      </c>
      <c r="P32" s="12">
        <v>10</v>
      </c>
      <c r="Q32" s="12">
        <v>6</v>
      </c>
      <c r="R32" s="12">
        <v>6</v>
      </c>
      <c r="S32" s="12">
        <v>13</v>
      </c>
      <c r="T32" s="12">
        <v>7</v>
      </c>
      <c r="U32" s="12">
        <v>13</v>
      </c>
      <c r="V32" s="12">
        <v>13</v>
      </c>
      <c r="W32" s="12">
        <v>12</v>
      </c>
      <c r="X32" s="12">
        <v>1</v>
      </c>
      <c r="Y32" s="12">
        <v>1</v>
      </c>
      <c r="Z32" s="12">
        <v>5</v>
      </c>
      <c r="AA32" s="12">
        <v>31</v>
      </c>
      <c r="AB32" s="12">
        <v>31</v>
      </c>
      <c r="AC32" s="12">
        <v>5</v>
      </c>
      <c r="AD32" s="12">
        <v>6</v>
      </c>
      <c r="AE32" s="12">
        <v>7</v>
      </c>
      <c r="AF32" s="12">
        <v>0</v>
      </c>
    </row>
    <row r="33" spans="1:32">
      <c r="A33" s="19"/>
      <c r="B33" s="13" t="s">
        <v>399</v>
      </c>
      <c r="C33" s="14">
        <v>0.01</v>
      </c>
      <c r="D33" s="15" t="s">
        <v>375</v>
      </c>
      <c r="E33" s="14">
        <v>0.03</v>
      </c>
      <c r="F33" s="15" t="s">
        <v>375</v>
      </c>
      <c r="G33" s="14">
        <v>0.02</v>
      </c>
      <c r="H33" s="14">
        <v>0.01</v>
      </c>
      <c r="I33" s="14">
        <v>0.01</v>
      </c>
      <c r="J33" s="15" t="s">
        <v>375</v>
      </c>
      <c r="K33" s="14">
        <v>0.01</v>
      </c>
      <c r="L33" s="14">
        <v>0.01</v>
      </c>
      <c r="M33" s="14">
        <v>0.02</v>
      </c>
      <c r="N33" s="14">
        <v>0.03</v>
      </c>
      <c r="O33" s="14">
        <v>0.02</v>
      </c>
      <c r="P33" s="14">
        <v>0.01</v>
      </c>
      <c r="Q33" s="14">
        <v>0.01</v>
      </c>
      <c r="R33" s="14">
        <v>0.01</v>
      </c>
      <c r="S33" s="14">
        <v>0.01</v>
      </c>
      <c r="T33" s="14">
        <v>0.01</v>
      </c>
      <c r="U33" s="14">
        <v>0.03</v>
      </c>
      <c r="V33" s="14">
        <v>0.01</v>
      </c>
      <c r="W33" s="14">
        <v>0.03</v>
      </c>
      <c r="X33" s="15" t="s">
        <v>375</v>
      </c>
      <c r="Y33" s="15" t="s">
        <v>375</v>
      </c>
      <c r="Z33" s="14">
        <v>0.01</v>
      </c>
      <c r="AA33" s="14">
        <v>0.03</v>
      </c>
      <c r="AB33" s="14">
        <v>0.03</v>
      </c>
      <c r="AC33" s="14">
        <v>0.01</v>
      </c>
      <c r="AD33" s="14">
        <v>0.01</v>
      </c>
      <c r="AE33" s="14">
        <v>0.01</v>
      </c>
      <c r="AF33" s="15" t="s">
        <v>375</v>
      </c>
    </row>
    <row r="34" spans="1:32">
      <c r="A34" s="19"/>
      <c r="B34" s="11" t="s">
        <v>588</v>
      </c>
      <c r="C34" s="12">
        <v>4475</v>
      </c>
      <c r="D34" s="12">
        <v>146</v>
      </c>
      <c r="E34" s="12">
        <v>282</v>
      </c>
      <c r="F34" s="12">
        <v>331</v>
      </c>
      <c r="G34" s="12">
        <v>269</v>
      </c>
      <c r="H34" s="12">
        <v>325</v>
      </c>
      <c r="I34" s="12">
        <v>380</v>
      </c>
      <c r="J34" s="12">
        <v>55</v>
      </c>
      <c r="K34" s="12">
        <v>253</v>
      </c>
      <c r="L34" s="12">
        <v>184</v>
      </c>
      <c r="M34" s="12">
        <v>177</v>
      </c>
      <c r="N34" s="12">
        <v>138</v>
      </c>
      <c r="O34" s="12">
        <v>151</v>
      </c>
      <c r="P34" s="12">
        <v>157</v>
      </c>
      <c r="Q34" s="12">
        <v>98</v>
      </c>
      <c r="R34" s="12">
        <v>45</v>
      </c>
      <c r="S34" s="12">
        <v>229</v>
      </c>
      <c r="T34" s="12">
        <v>178</v>
      </c>
      <c r="U34" s="12">
        <v>77</v>
      </c>
      <c r="V34" s="12">
        <v>237</v>
      </c>
      <c r="W34" s="12">
        <v>72</v>
      </c>
      <c r="X34" s="12">
        <v>166</v>
      </c>
      <c r="Y34" s="12">
        <v>231</v>
      </c>
      <c r="Z34" s="12">
        <v>50</v>
      </c>
      <c r="AA34" s="12">
        <v>220</v>
      </c>
      <c r="AB34" s="12">
        <v>126</v>
      </c>
      <c r="AC34" s="12">
        <v>287</v>
      </c>
      <c r="AD34" s="12">
        <v>196</v>
      </c>
      <c r="AE34" s="12">
        <v>188</v>
      </c>
      <c r="AF34" s="12">
        <v>284</v>
      </c>
    </row>
    <row r="35" spans="1:32">
      <c r="A35" s="19"/>
      <c r="B35" s="13" t="s">
        <v>589</v>
      </c>
      <c r="C35" s="14">
        <v>0.17</v>
      </c>
      <c r="D35" s="14">
        <v>0.14000000000000001</v>
      </c>
      <c r="E35" s="14">
        <v>0.28000000000000003</v>
      </c>
      <c r="F35" s="14">
        <v>0.31</v>
      </c>
      <c r="G35" s="14">
        <v>0.26</v>
      </c>
      <c r="H35" s="14">
        <v>0.27</v>
      </c>
      <c r="I35" s="14">
        <v>0.25</v>
      </c>
      <c r="J35" s="14">
        <v>0.19</v>
      </c>
      <c r="K35" s="14">
        <v>0.26</v>
      </c>
      <c r="L35" s="14">
        <v>0.18</v>
      </c>
      <c r="M35" s="14">
        <v>0.17</v>
      </c>
      <c r="N35" s="14">
        <v>0.14000000000000001</v>
      </c>
      <c r="O35" s="14">
        <v>0.15</v>
      </c>
      <c r="P35" s="14">
        <v>0.16</v>
      </c>
      <c r="Q35" s="14">
        <v>0.09</v>
      </c>
      <c r="R35" s="14">
        <v>0.09</v>
      </c>
      <c r="S35" s="14">
        <v>0.23</v>
      </c>
      <c r="T35" s="14">
        <v>0.18</v>
      </c>
      <c r="U35" s="14">
        <v>0.15</v>
      </c>
      <c r="V35" s="14">
        <v>0.23</v>
      </c>
      <c r="W35" s="14">
        <v>0.15</v>
      </c>
      <c r="X35" s="14">
        <v>0.16</v>
      </c>
      <c r="Y35" s="14">
        <v>0.23</v>
      </c>
      <c r="Z35" s="14">
        <v>0.05</v>
      </c>
      <c r="AA35" s="14">
        <v>0.21</v>
      </c>
      <c r="AB35" s="14">
        <v>0.12</v>
      </c>
      <c r="AC35" s="14">
        <v>0.28999999999999998</v>
      </c>
      <c r="AD35" s="14">
        <v>0.2</v>
      </c>
      <c r="AE35" s="14">
        <v>0.18</v>
      </c>
      <c r="AF35" s="14">
        <v>0.27</v>
      </c>
    </row>
    <row r="36" spans="1:32">
      <c r="A36" s="19"/>
      <c r="B36" s="11" t="s">
        <v>590</v>
      </c>
      <c r="C36" s="12">
        <v>5879</v>
      </c>
      <c r="D36" s="12">
        <v>241</v>
      </c>
      <c r="E36" s="12">
        <v>269</v>
      </c>
      <c r="F36" s="12">
        <v>267</v>
      </c>
      <c r="G36" s="12">
        <v>259</v>
      </c>
      <c r="H36" s="12">
        <v>316</v>
      </c>
      <c r="I36" s="12">
        <v>401</v>
      </c>
      <c r="J36" s="12">
        <v>85</v>
      </c>
      <c r="K36" s="12">
        <v>237</v>
      </c>
      <c r="L36" s="12">
        <v>181</v>
      </c>
      <c r="M36" s="12">
        <v>244</v>
      </c>
      <c r="N36" s="12">
        <v>197</v>
      </c>
      <c r="O36" s="12">
        <v>263</v>
      </c>
      <c r="P36" s="12">
        <v>203</v>
      </c>
      <c r="Q36" s="12">
        <v>146</v>
      </c>
      <c r="R36" s="12">
        <v>96</v>
      </c>
      <c r="S36" s="12">
        <v>170</v>
      </c>
      <c r="T36" s="12">
        <v>280</v>
      </c>
      <c r="U36" s="12">
        <v>115</v>
      </c>
      <c r="V36" s="12">
        <v>265</v>
      </c>
      <c r="W36" s="12">
        <v>93</v>
      </c>
      <c r="X36" s="12">
        <v>257</v>
      </c>
      <c r="Y36" s="12">
        <v>239</v>
      </c>
      <c r="Z36" s="12">
        <v>171</v>
      </c>
      <c r="AA36" s="12">
        <v>136</v>
      </c>
      <c r="AB36" s="12">
        <v>249</v>
      </c>
      <c r="AC36" s="12">
        <v>269</v>
      </c>
      <c r="AD36" s="12">
        <v>277</v>
      </c>
      <c r="AE36" s="12">
        <v>229</v>
      </c>
      <c r="AF36" s="12">
        <v>288</v>
      </c>
    </row>
    <row r="37" spans="1:32">
      <c r="A37" s="19"/>
      <c r="B37" s="13" t="s">
        <v>591</v>
      </c>
      <c r="C37" s="14">
        <v>0.22</v>
      </c>
      <c r="D37" s="14">
        <v>0.24</v>
      </c>
      <c r="E37" s="14">
        <v>0.25</v>
      </c>
      <c r="F37" s="14">
        <v>0.25</v>
      </c>
      <c r="G37" s="14">
        <v>0.25</v>
      </c>
      <c r="H37" s="14">
        <v>0.25</v>
      </c>
      <c r="I37" s="14">
        <v>0.26</v>
      </c>
      <c r="J37" s="14">
        <v>0.28999999999999998</v>
      </c>
      <c r="K37" s="14">
        <v>0.23</v>
      </c>
      <c r="L37" s="14">
        <v>0.18</v>
      </c>
      <c r="M37" s="14">
        <v>0.24</v>
      </c>
      <c r="N37" s="14">
        <v>0.19</v>
      </c>
      <c r="O37" s="14">
        <v>0.26</v>
      </c>
      <c r="P37" s="14">
        <v>0.2</v>
      </c>
      <c r="Q37" s="14">
        <v>0.14000000000000001</v>
      </c>
      <c r="R37" s="14">
        <v>0.19</v>
      </c>
      <c r="S37" s="14">
        <v>0.17</v>
      </c>
      <c r="T37" s="14">
        <v>0.27</v>
      </c>
      <c r="U37" s="14">
        <v>0.23</v>
      </c>
      <c r="V37" s="14">
        <v>0.26</v>
      </c>
      <c r="W37" s="14">
        <v>0.18</v>
      </c>
      <c r="X37" s="14">
        <v>0.25</v>
      </c>
      <c r="Y37" s="14">
        <v>0.24</v>
      </c>
      <c r="Z37" s="14">
        <v>0.17</v>
      </c>
      <c r="AA37" s="14">
        <v>0.13</v>
      </c>
      <c r="AB37" s="14">
        <v>0.24</v>
      </c>
      <c r="AC37" s="14">
        <v>0.26</v>
      </c>
      <c r="AD37" s="14">
        <v>0.27</v>
      </c>
      <c r="AE37" s="14">
        <v>0.23</v>
      </c>
      <c r="AF37" s="14">
        <v>0.28000000000000003</v>
      </c>
    </row>
    <row r="38" spans="1:32">
      <c r="A38" s="19"/>
      <c r="B38" s="11" t="s">
        <v>592</v>
      </c>
      <c r="C38" s="12">
        <v>15772</v>
      </c>
      <c r="D38" s="12">
        <v>630</v>
      </c>
      <c r="E38" s="12">
        <v>464</v>
      </c>
      <c r="F38" s="12">
        <v>463</v>
      </c>
      <c r="G38" s="12">
        <v>472</v>
      </c>
      <c r="H38" s="12">
        <v>576</v>
      </c>
      <c r="I38" s="12">
        <v>732</v>
      </c>
      <c r="J38" s="12">
        <v>155</v>
      </c>
      <c r="K38" s="12">
        <v>505</v>
      </c>
      <c r="L38" s="12">
        <v>628</v>
      </c>
      <c r="M38" s="12">
        <v>566</v>
      </c>
      <c r="N38" s="12">
        <v>648</v>
      </c>
      <c r="O38" s="12">
        <v>572</v>
      </c>
      <c r="P38" s="12">
        <v>634</v>
      </c>
      <c r="Q38" s="12">
        <v>781</v>
      </c>
      <c r="R38" s="12">
        <v>352</v>
      </c>
      <c r="S38" s="12">
        <v>591</v>
      </c>
      <c r="T38" s="12">
        <v>558</v>
      </c>
      <c r="U38" s="12">
        <v>303</v>
      </c>
      <c r="V38" s="12">
        <v>510</v>
      </c>
      <c r="W38" s="12">
        <v>325</v>
      </c>
      <c r="X38" s="12">
        <v>585</v>
      </c>
      <c r="Y38" s="12">
        <v>532</v>
      </c>
      <c r="Z38" s="12">
        <v>791</v>
      </c>
      <c r="AA38" s="12">
        <v>650</v>
      </c>
      <c r="AB38" s="12">
        <v>635</v>
      </c>
      <c r="AC38" s="12">
        <v>444</v>
      </c>
      <c r="AD38" s="12">
        <v>524</v>
      </c>
      <c r="AE38" s="12">
        <v>576</v>
      </c>
      <c r="AF38" s="12">
        <v>461</v>
      </c>
    </row>
    <row r="39" spans="1:32">
      <c r="A39" s="19"/>
      <c r="B39" s="13" t="s">
        <v>593</v>
      </c>
      <c r="C39" s="14">
        <v>0.6</v>
      </c>
      <c r="D39" s="14">
        <v>0.62</v>
      </c>
      <c r="E39" s="14">
        <v>0.44</v>
      </c>
      <c r="F39" s="14">
        <v>0.44</v>
      </c>
      <c r="G39" s="14">
        <v>0.47</v>
      </c>
      <c r="H39" s="14">
        <v>0.47</v>
      </c>
      <c r="I39" s="14">
        <v>0.48</v>
      </c>
      <c r="J39" s="14">
        <v>0.52</v>
      </c>
      <c r="K39" s="14">
        <v>0.5</v>
      </c>
      <c r="L39" s="14">
        <v>0.63</v>
      </c>
      <c r="M39" s="14">
        <v>0.57000000000000006</v>
      </c>
      <c r="N39" s="14">
        <v>0.64</v>
      </c>
      <c r="O39" s="14">
        <v>0.57000000000000006</v>
      </c>
      <c r="P39" s="14">
        <v>0.63</v>
      </c>
      <c r="Q39" s="14">
        <v>0.76</v>
      </c>
      <c r="R39" s="14">
        <v>0.71</v>
      </c>
      <c r="S39" s="14">
        <v>0.59</v>
      </c>
      <c r="T39" s="14">
        <v>0.54</v>
      </c>
      <c r="U39" s="14">
        <v>0.59</v>
      </c>
      <c r="V39" s="14">
        <v>0.5</v>
      </c>
      <c r="W39" s="14">
        <v>0.64</v>
      </c>
      <c r="X39" s="14">
        <v>0.59</v>
      </c>
      <c r="Y39" s="14">
        <v>0.53</v>
      </c>
      <c r="Z39" s="14">
        <v>0.77</v>
      </c>
      <c r="AA39" s="14">
        <v>0.63</v>
      </c>
      <c r="AB39" s="14">
        <v>0.61</v>
      </c>
      <c r="AC39" s="14">
        <v>0.44</v>
      </c>
      <c r="AD39" s="14">
        <v>0.52</v>
      </c>
      <c r="AE39" s="14">
        <v>0.57999999999999996</v>
      </c>
      <c r="AF39" s="14">
        <v>0.45</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602</v>
      </c>
      <c r="C3" s="17"/>
      <c r="D3" s="17"/>
      <c r="E3" s="17"/>
      <c r="F3" s="17"/>
      <c r="H3" s="17" t="s">
        <v>603</v>
      </c>
      <c r="I3" s="17"/>
      <c r="J3" s="17"/>
      <c r="K3" s="17"/>
      <c r="L3" s="17"/>
    </row>
    <row r="4" spans="1:32" ht="27" customHeight="1">
      <c r="B4" s="17" t="s">
        <v>604</v>
      </c>
      <c r="C4" s="17"/>
      <c r="D4" s="17"/>
      <c r="E4" s="17"/>
      <c r="F4" s="17"/>
      <c r="H4" s="17" t="s">
        <v>605</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HYPERLINK("#Content!A32","&lt;&lt;Back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1015</v>
      </c>
      <c r="D12" s="12">
        <v>31</v>
      </c>
      <c r="E12" s="12">
        <v>69</v>
      </c>
      <c r="F12" s="12">
        <v>91</v>
      </c>
      <c r="G12" s="12">
        <v>69</v>
      </c>
      <c r="H12" s="12">
        <v>54</v>
      </c>
      <c r="I12" s="12">
        <v>67</v>
      </c>
      <c r="J12" s="12">
        <v>13</v>
      </c>
      <c r="K12" s="12">
        <v>98</v>
      </c>
      <c r="L12" s="12">
        <v>65</v>
      </c>
      <c r="M12" s="12">
        <v>8</v>
      </c>
      <c r="N12" s="12">
        <v>24</v>
      </c>
      <c r="O12" s="12">
        <v>44</v>
      </c>
      <c r="P12" s="12">
        <v>25</v>
      </c>
      <c r="Q12" s="12">
        <v>34</v>
      </c>
      <c r="R12" s="12">
        <v>9</v>
      </c>
      <c r="S12" s="12">
        <v>100</v>
      </c>
      <c r="T12" s="12">
        <v>97</v>
      </c>
      <c r="U12" s="12">
        <v>25</v>
      </c>
      <c r="V12" s="12">
        <v>28</v>
      </c>
      <c r="W12" s="12">
        <v>27</v>
      </c>
      <c r="X12" s="12">
        <v>32</v>
      </c>
      <c r="Y12" s="12">
        <v>72</v>
      </c>
      <c r="Z12" s="12">
        <v>1</v>
      </c>
      <c r="AA12" s="12">
        <v>58</v>
      </c>
      <c r="AB12" s="12">
        <v>43</v>
      </c>
      <c r="AC12" s="12">
        <v>110</v>
      </c>
      <c r="AD12" s="12">
        <v>74</v>
      </c>
      <c r="AE12" s="12">
        <v>72</v>
      </c>
      <c r="AF12" s="12">
        <v>22</v>
      </c>
    </row>
    <row r="13" spans="1:32">
      <c r="A13" s="19"/>
      <c r="B13" s="13" t="s">
        <v>577</v>
      </c>
      <c r="C13" s="14">
        <v>0.04</v>
      </c>
      <c r="D13" s="14">
        <v>0.03</v>
      </c>
      <c r="E13" s="14">
        <v>0.06</v>
      </c>
      <c r="F13" s="14">
        <v>0.09</v>
      </c>
      <c r="G13" s="14">
        <v>7.0000000000000007E-2</v>
      </c>
      <c r="H13" s="14">
        <v>0.04</v>
      </c>
      <c r="I13" s="14">
        <v>0.05</v>
      </c>
      <c r="J13" s="14">
        <v>0.05</v>
      </c>
      <c r="K13" s="14">
        <v>0.1</v>
      </c>
      <c r="L13" s="14">
        <v>7.0000000000000007E-2</v>
      </c>
      <c r="M13" s="14">
        <v>0.01</v>
      </c>
      <c r="N13" s="14">
        <v>0.02</v>
      </c>
      <c r="O13" s="14">
        <v>0.04</v>
      </c>
      <c r="P13" s="14">
        <v>0.02</v>
      </c>
      <c r="Q13" s="14">
        <v>0.03</v>
      </c>
      <c r="R13" s="14">
        <v>0.02</v>
      </c>
      <c r="S13" s="14">
        <v>0.1</v>
      </c>
      <c r="T13" s="14">
        <v>0.09</v>
      </c>
      <c r="U13" s="14">
        <v>0.05</v>
      </c>
      <c r="V13" s="14">
        <v>0.03</v>
      </c>
      <c r="W13" s="14">
        <v>0.05</v>
      </c>
      <c r="X13" s="14">
        <v>0.03</v>
      </c>
      <c r="Y13" s="14">
        <v>7.0000000000000007E-2</v>
      </c>
      <c r="Z13" s="15" t="s">
        <v>375</v>
      </c>
      <c r="AA13" s="14">
        <v>0.06</v>
      </c>
      <c r="AB13" s="14">
        <v>0.04</v>
      </c>
      <c r="AC13" s="14">
        <v>0.11</v>
      </c>
      <c r="AD13" s="14">
        <v>7.0000000000000007E-2</v>
      </c>
      <c r="AE13" s="14">
        <v>7.0000000000000007E-2</v>
      </c>
      <c r="AF13" s="14">
        <v>0.02</v>
      </c>
    </row>
    <row r="14" spans="1:32">
      <c r="A14" s="19"/>
      <c r="B14" s="11" t="s">
        <v>578</v>
      </c>
      <c r="C14" s="12">
        <v>1009</v>
      </c>
      <c r="D14" s="12">
        <v>28</v>
      </c>
      <c r="E14" s="12">
        <v>37</v>
      </c>
      <c r="F14" s="12">
        <v>58</v>
      </c>
      <c r="G14" s="12">
        <v>82</v>
      </c>
      <c r="H14" s="12">
        <v>106</v>
      </c>
      <c r="I14" s="12">
        <v>126</v>
      </c>
      <c r="J14" s="12">
        <v>20</v>
      </c>
      <c r="K14" s="12">
        <v>80</v>
      </c>
      <c r="L14" s="12">
        <v>31</v>
      </c>
      <c r="M14" s="12">
        <v>14</v>
      </c>
      <c r="N14" s="12">
        <v>11</v>
      </c>
      <c r="O14" s="12">
        <v>34</v>
      </c>
      <c r="P14" s="12">
        <v>26</v>
      </c>
      <c r="Q14" s="12">
        <v>12</v>
      </c>
      <c r="R14" s="12">
        <v>7</v>
      </c>
      <c r="S14" s="12">
        <v>32</v>
      </c>
      <c r="T14" s="12">
        <v>30</v>
      </c>
      <c r="U14" s="12">
        <v>24</v>
      </c>
      <c r="V14" s="12">
        <v>24</v>
      </c>
      <c r="W14" s="12">
        <v>13</v>
      </c>
      <c r="X14" s="12">
        <v>29</v>
      </c>
      <c r="Y14" s="12">
        <v>40</v>
      </c>
      <c r="Z14" s="12">
        <v>4</v>
      </c>
      <c r="AA14" s="12">
        <v>127</v>
      </c>
      <c r="AB14" s="12">
        <v>23</v>
      </c>
      <c r="AC14" s="12">
        <v>66</v>
      </c>
      <c r="AD14" s="12">
        <v>84</v>
      </c>
      <c r="AE14" s="12">
        <v>64</v>
      </c>
      <c r="AF14" s="12">
        <v>50</v>
      </c>
    </row>
    <row r="15" spans="1:32">
      <c r="A15" s="19"/>
      <c r="B15" s="13" t="s">
        <v>578</v>
      </c>
      <c r="C15" s="14">
        <v>0.04</v>
      </c>
      <c r="D15" s="14">
        <v>0.03</v>
      </c>
      <c r="E15" s="14">
        <v>0.03</v>
      </c>
      <c r="F15" s="14">
        <v>0.05</v>
      </c>
      <c r="G15" s="14">
        <v>0.08</v>
      </c>
      <c r="H15" s="14">
        <v>0.09</v>
      </c>
      <c r="I15" s="14">
        <v>0.08</v>
      </c>
      <c r="J15" s="14">
        <v>7.0000000000000007E-2</v>
      </c>
      <c r="K15" s="14">
        <v>0.08</v>
      </c>
      <c r="L15" s="14">
        <v>0.03</v>
      </c>
      <c r="M15" s="14">
        <v>0.01</v>
      </c>
      <c r="N15" s="14">
        <v>0.01</v>
      </c>
      <c r="O15" s="14">
        <v>0.03</v>
      </c>
      <c r="P15" s="14">
        <v>0.03</v>
      </c>
      <c r="Q15" s="14">
        <v>0.01</v>
      </c>
      <c r="R15" s="14">
        <v>0.02</v>
      </c>
      <c r="S15" s="14">
        <v>0.03</v>
      </c>
      <c r="T15" s="14">
        <v>0.03</v>
      </c>
      <c r="U15" s="14">
        <v>0.05</v>
      </c>
      <c r="V15" s="14">
        <v>0.02</v>
      </c>
      <c r="W15" s="14">
        <v>0.03</v>
      </c>
      <c r="X15" s="14">
        <v>0.03</v>
      </c>
      <c r="Y15" s="14">
        <v>0.04</v>
      </c>
      <c r="Z15" s="15" t="s">
        <v>375</v>
      </c>
      <c r="AA15" s="14">
        <v>0.12</v>
      </c>
      <c r="AB15" s="14">
        <v>0.02</v>
      </c>
      <c r="AC15" s="14">
        <v>7.0000000000000007E-2</v>
      </c>
      <c r="AD15" s="14">
        <v>0.08</v>
      </c>
      <c r="AE15" s="14">
        <v>7.0000000000000007E-2</v>
      </c>
      <c r="AF15" s="14">
        <v>0.05</v>
      </c>
    </row>
    <row r="16" spans="1:32">
      <c r="A16" s="19"/>
      <c r="B16" s="11" t="s">
        <v>579</v>
      </c>
      <c r="C16" s="12">
        <v>1331</v>
      </c>
      <c r="D16" s="12">
        <v>51</v>
      </c>
      <c r="E16" s="12">
        <v>91</v>
      </c>
      <c r="F16" s="12">
        <v>104</v>
      </c>
      <c r="G16" s="12">
        <v>92</v>
      </c>
      <c r="H16" s="12">
        <v>78</v>
      </c>
      <c r="I16" s="12">
        <v>104</v>
      </c>
      <c r="J16" s="12">
        <v>26</v>
      </c>
      <c r="K16" s="12">
        <v>86</v>
      </c>
      <c r="L16" s="12">
        <v>56</v>
      </c>
      <c r="M16" s="12">
        <v>35</v>
      </c>
      <c r="N16" s="12">
        <v>29</v>
      </c>
      <c r="O16" s="12">
        <v>52</v>
      </c>
      <c r="P16" s="12">
        <v>63</v>
      </c>
      <c r="Q16" s="12">
        <v>24</v>
      </c>
      <c r="R16" s="12">
        <v>12</v>
      </c>
      <c r="S16" s="12">
        <v>56</v>
      </c>
      <c r="T16" s="12">
        <v>83</v>
      </c>
      <c r="U16" s="12">
        <v>26</v>
      </c>
      <c r="V16" s="12">
        <v>67</v>
      </c>
      <c r="W16" s="12">
        <v>19</v>
      </c>
      <c r="X16" s="12">
        <v>60</v>
      </c>
      <c r="Y16" s="12">
        <v>75</v>
      </c>
      <c r="Z16" s="12">
        <v>25</v>
      </c>
      <c r="AA16" s="12">
        <v>35</v>
      </c>
      <c r="AB16" s="12">
        <v>37</v>
      </c>
      <c r="AC16" s="12">
        <v>90</v>
      </c>
      <c r="AD16" s="12">
        <v>116</v>
      </c>
      <c r="AE16" s="12">
        <v>102</v>
      </c>
      <c r="AF16" s="12">
        <v>79</v>
      </c>
    </row>
    <row r="17" spans="1:32">
      <c r="A17" s="19"/>
      <c r="B17" s="13" t="s">
        <v>579</v>
      </c>
      <c r="C17" s="14">
        <v>0.05</v>
      </c>
      <c r="D17" s="14">
        <v>0.05</v>
      </c>
      <c r="E17" s="14">
        <v>0.09</v>
      </c>
      <c r="F17" s="14">
        <v>0.1</v>
      </c>
      <c r="G17" s="14">
        <v>0.09</v>
      </c>
      <c r="H17" s="14">
        <v>0.06</v>
      </c>
      <c r="I17" s="14">
        <v>7.0000000000000007E-2</v>
      </c>
      <c r="J17" s="14">
        <v>0.09</v>
      </c>
      <c r="K17" s="14">
        <v>0.08</v>
      </c>
      <c r="L17" s="14">
        <v>0.06</v>
      </c>
      <c r="M17" s="14">
        <v>0.04</v>
      </c>
      <c r="N17" s="14">
        <v>0.03</v>
      </c>
      <c r="O17" s="14">
        <v>0.05</v>
      </c>
      <c r="P17" s="14">
        <v>0.06</v>
      </c>
      <c r="Q17" s="14">
        <v>0.02</v>
      </c>
      <c r="R17" s="14">
        <v>0.02</v>
      </c>
      <c r="S17" s="14">
        <v>0.06</v>
      </c>
      <c r="T17" s="14">
        <v>0.08</v>
      </c>
      <c r="U17" s="14">
        <v>0.05</v>
      </c>
      <c r="V17" s="14">
        <v>7.0000000000000007E-2</v>
      </c>
      <c r="W17" s="14">
        <v>0.04</v>
      </c>
      <c r="X17" s="14">
        <v>0.06</v>
      </c>
      <c r="Y17" s="14">
        <v>0.08</v>
      </c>
      <c r="Z17" s="14">
        <v>0.03</v>
      </c>
      <c r="AA17" s="14">
        <v>0.03</v>
      </c>
      <c r="AB17" s="14">
        <v>0.03</v>
      </c>
      <c r="AC17" s="14">
        <v>0.09</v>
      </c>
      <c r="AD17" s="14">
        <v>0.12</v>
      </c>
      <c r="AE17" s="14">
        <v>0.1</v>
      </c>
      <c r="AF17" s="14">
        <v>0.08</v>
      </c>
    </row>
    <row r="18" spans="1:32">
      <c r="A18" s="19"/>
      <c r="B18" s="11" t="s">
        <v>580</v>
      </c>
      <c r="C18" s="12">
        <v>1628</v>
      </c>
      <c r="D18" s="12">
        <v>79</v>
      </c>
      <c r="E18" s="12">
        <v>102</v>
      </c>
      <c r="F18" s="12">
        <v>109</v>
      </c>
      <c r="G18" s="12">
        <v>110</v>
      </c>
      <c r="H18" s="12">
        <v>107</v>
      </c>
      <c r="I18" s="12">
        <v>132</v>
      </c>
      <c r="J18" s="12">
        <v>26</v>
      </c>
      <c r="K18" s="12">
        <v>110</v>
      </c>
      <c r="L18" s="12">
        <v>62</v>
      </c>
      <c r="M18" s="12">
        <v>62</v>
      </c>
      <c r="N18" s="12">
        <v>35</v>
      </c>
      <c r="O18" s="12">
        <v>54</v>
      </c>
      <c r="P18" s="12">
        <v>72</v>
      </c>
      <c r="Q18" s="12">
        <v>42</v>
      </c>
      <c r="R18" s="12">
        <v>19</v>
      </c>
      <c r="S18" s="12">
        <v>82</v>
      </c>
      <c r="T18" s="12">
        <v>74</v>
      </c>
      <c r="U18" s="12">
        <v>51</v>
      </c>
      <c r="V18" s="12">
        <v>92</v>
      </c>
      <c r="W18" s="12">
        <v>23</v>
      </c>
      <c r="X18" s="12">
        <v>68</v>
      </c>
      <c r="Y18" s="12">
        <v>68</v>
      </c>
      <c r="Z18" s="12">
        <v>50</v>
      </c>
      <c r="AA18" s="12">
        <v>30</v>
      </c>
      <c r="AB18" s="12">
        <v>38</v>
      </c>
      <c r="AC18" s="12">
        <v>88</v>
      </c>
      <c r="AD18" s="12">
        <v>82</v>
      </c>
      <c r="AE18" s="12">
        <v>101</v>
      </c>
      <c r="AF18" s="12">
        <v>78</v>
      </c>
    </row>
    <row r="19" spans="1:32">
      <c r="A19" s="19"/>
      <c r="B19" s="13" t="s">
        <v>580</v>
      </c>
      <c r="C19" s="14">
        <v>0.06</v>
      </c>
      <c r="D19" s="14">
        <v>0.08</v>
      </c>
      <c r="E19" s="14">
        <v>0.1</v>
      </c>
      <c r="F19" s="14">
        <v>0.1</v>
      </c>
      <c r="G19" s="14">
        <v>0.11</v>
      </c>
      <c r="H19" s="14">
        <v>0.09</v>
      </c>
      <c r="I19" s="14">
        <v>0.09</v>
      </c>
      <c r="J19" s="14">
        <v>0.09</v>
      </c>
      <c r="K19" s="14">
        <v>0.11</v>
      </c>
      <c r="L19" s="14">
        <v>0.06</v>
      </c>
      <c r="M19" s="14">
        <v>0.06</v>
      </c>
      <c r="N19" s="14">
        <v>0.03</v>
      </c>
      <c r="O19" s="14">
        <v>0.05</v>
      </c>
      <c r="P19" s="14">
        <v>7.0000000000000007E-2</v>
      </c>
      <c r="Q19" s="14">
        <v>0.04</v>
      </c>
      <c r="R19" s="14">
        <v>0.04</v>
      </c>
      <c r="S19" s="14">
        <v>0.08</v>
      </c>
      <c r="T19" s="14">
        <v>7.0000000000000007E-2</v>
      </c>
      <c r="U19" s="14">
        <v>0.1</v>
      </c>
      <c r="V19" s="14">
        <v>0.09</v>
      </c>
      <c r="W19" s="14">
        <v>0.05</v>
      </c>
      <c r="X19" s="14">
        <v>7.0000000000000007E-2</v>
      </c>
      <c r="Y19" s="14">
        <v>7.0000000000000007E-2</v>
      </c>
      <c r="Z19" s="14">
        <v>0.05</v>
      </c>
      <c r="AA19" s="14">
        <v>0.03</v>
      </c>
      <c r="AB19" s="14">
        <v>0.04</v>
      </c>
      <c r="AC19" s="14">
        <v>0.09</v>
      </c>
      <c r="AD19" s="14">
        <v>0.08</v>
      </c>
      <c r="AE19" s="14">
        <v>0.1</v>
      </c>
      <c r="AF19" s="14">
        <v>0.08</v>
      </c>
    </row>
    <row r="20" spans="1:32">
      <c r="A20" s="19"/>
      <c r="B20" s="11" t="s">
        <v>581</v>
      </c>
      <c r="C20" s="12">
        <v>3095</v>
      </c>
      <c r="D20" s="12">
        <v>131</v>
      </c>
      <c r="E20" s="12">
        <v>133</v>
      </c>
      <c r="F20" s="12">
        <v>174</v>
      </c>
      <c r="G20" s="12">
        <v>121</v>
      </c>
      <c r="H20" s="12">
        <v>168</v>
      </c>
      <c r="I20" s="12">
        <v>217</v>
      </c>
      <c r="J20" s="12">
        <v>49</v>
      </c>
      <c r="K20" s="12">
        <v>170</v>
      </c>
      <c r="L20" s="12">
        <v>105</v>
      </c>
      <c r="M20" s="12">
        <v>134</v>
      </c>
      <c r="N20" s="12">
        <v>87</v>
      </c>
      <c r="O20" s="12">
        <v>155</v>
      </c>
      <c r="P20" s="12">
        <v>101</v>
      </c>
      <c r="Q20" s="12">
        <v>69</v>
      </c>
      <c r="R20" s="12">
        <v>47</v>
      </c>
      <c r="S20" s="12">
        <v>155</v>
      </c>
      <c r="T20" s="12">
        <v>182</v>
      </c>
      <c r="U20" s="12">
        <v>66</v>
      </c>
      <c r="V20" s="12">
        <v>146</v>
      </c>
      <c r="W20" s="12">
        <v>53</v>
      </c>
      <c r="X20" s="12">
        <v>119</v>
      </c>
      <c r="Y20" s="12">
        <v>124</v>
      </c>
      <c r="Z20" s="12">
        <v>89</v>
      </c>
      <c r="AA20" s="12">
        <v>80</v>
      </c>
      <c r="AB20" s="12">
        <v>103</v>
      </c>
      <c r="AC20" s="12">
        <v>191</v>
      </c>
      <c r="AD20" s="12">
        <v>124</v>
      </c>
      <c r="AE20" s="12">
        <v>126</v>
      </c>
      <c r="AF20" s="12">
        <v>137</v>
      </c>
    </row>
    <row r="21" spans="1:32">
      <c r="A21" s="19"/>
      <c r="B21" s="13" t="s">
        <v>581</v>
      </c>
      <c r="C21" s="14">
        <v>0.12</v>
      </c>
      <c r="D21" s="14">
        <v>0.13</v>
      </c>
      <c r="E21" s="14">
        <v>0.13</v>
      </c>
      <c r="F21" s="14">
        <v>0.16</v>
      </c>
      <c r="G21" s="14">
        <v>0.12</v>
      </c>
      <c r="H21" s="14">
        <v>0.14000000000000001</v>
      </c>
      <c r="I21" s="14">
        <v>0.14000000000000001</v>
      </c>
      <c r="J21" s="14">
        <v>0.16</v>
      </c>
      <c r="K21" s="14">
        <v>0.17</v>
      </c>
      <c r="L21" s="14">
        <v>0.1</v>
      </c>
      <c r="M21" s="14">
        <v>0.13</v>
      </c>
      <c r="N21" s="14">
        <v>0.09</v>
      </c>
      <c r="O21" s="14">
        <v>0.16</v>
      </c>
      <c r="P21" s="14">
        <v>0.1</v>
      </c>
      <c r="Q21" s="14">
        <v>7.0000000000000007E-2</v>
      </c>
      <c r="R21" s="14">
        <v>0.09</v>
      </c>
      <c r="S21" s="14">
        <v>0.15</v>
      </c>
      <c r="T21" s="14">
        <v>0.18</v>
      </c>
      <c r="U21" s="14">
        <v>0.13</v>
      </c>
      <c r="V21" s="14">
        <v>0.14000000000000001</v>
      </c>
      <c r="W21" s="14">
        <v>0.1</v>
      </c>
      <c r="X21" s="14">
        <v>0.12</v>
      </c>
      <c r="Y21" s="14">
        <v>0.12</v>
      </c>
      <c r="Z21" s="14">
        <v>0.09</v>
      </c>
      <c r="AA21" s="14">
        <v>0.08</v>
      </c>
      <c r="AB21" s="14">
        <v>0.1</v>
      </c>
      <c r="AC21" s="14">
        <v>0.19</v>
      </c>
      <c r="AD21" s="14">
        <v>0.12</v>
      </c>
      <c r="AE21" s="14">
        <v>0.13</v>
      </c>
      <c r="AF21" s="14">
        <v>0.13</v>
      </c>
    </row>
    <row r="22" spans="1:32">
      <c r="A22" s="19"/>
      <c r="B22" s="11" t="s">
        <v>582</v>
      </c>
      <c r="C22" s="12">
        <v>2965</v>
      </c>
      <c r="D22" s="12">
        <v>131</v>
      </c>
      <c r="E22" s="12">
        <v>123</v>
      </c>
      <c r="F22" s="12">
        <v>125</v>
      </c>
      <c r="G22" s="12">
        <v>95</v>
      </c>
      <c r="H22" s="12">
        <v>150</v>
      </c>
      <c r="I22" s="12">
        <v>185</v>
      </c>
      <c r="J22" s="12">
        <v>36</v>
      </c>
      <c r="K22" s="12">
        <v>108</v>
      </c>
      <c r="L22" s="12">
        <v>90</v>
      </c>
      <c r="M22" s="12">
        <v>147</v>
      </c>
      <c r="N22" s="12">
        <v>111</v>
      </c>
      <c r="O22" s="12">
        <v>102</v>
      </c>
      <c r="P22" s="12">
        <v>132</v>
      </c>
      <c r="Q22" s="12">
        <v>86</v>
      </c>
      <c r="R22" s="12">
        <v>61</v>
      </c>
      <c r="S22" s="12">
        <v>76</v>
      </c>
      <c r="T22" s="12">
        <v>125</v>
      </c>
      <c r="U22" s="12">
        <v>71</v>
      </c>
      <c r="V22" s="12">
        <v>150</v>
      </c>
      <c r="W22" s="12">
        <v>48</v>
      </c>
      <c r="X22" s="12">
        <v>153</v>
      </c>
      <c r="Y22" s="12">
        <v>118</v>
      </c>
      <c r="Z22" s="12">
        <v>122</v>
      </c>
      <c r="AA22" s="12">
        <v>63</v>
      </c>
      <c r="AB22" s="12">
        <v>136</v>
      </c>
      <c r="AC22" s="12">
        <v>95</v>
      </c>
      <c r="AD22" s="12">
        <v>111</v>
      </c>
      <c r="AE22" s="12">
        <v>134</v>
      </c>
      <c r="AF22" s="12">
        <v>115</v>
      </c>
    </row>
    <row r="23" spans="1:32">
      <c r="A23" s="19"/>
      <c r="B23" s="13" t="s">
        <v>582</v>
      </c>
      <c r="C23" s="14">
        <v>0.11</v>
      </c>
      <c r="D23" s="14">
        <v>0.13</v>
      </c>
      <c r="E23" s="14">
        <v>0.12</v>
      </c>
      <c r="F23" s="14">
        <v>0.12</v>
      </c>
      <c r="G23" s="14">
        <v>0.09</v>
      </c>
      <c r="H23" s="14">
        <v>0.12</v>
      </c>
      <c r="I23" s="14">
        <v>0.12</v>
      </c>
      <c r="J23" s="14">
        <v>0.12</v>
      </c>
      <c r="K23" s="14">
        <v>0.11</v>
      </c>
      <c r="L23" s="14">
        <v>0.09</v>
      </c>
      <c r="M23" s="14">
        <v>0.15</v>
      </c>
      <c r="N23" s="14">
        <v>0.11</v>
      </c>
      <c r="O23" s="14">
        <v>0.1</v>
      </c>
      <c r="P23" s="14">
        <v>0.13</v>
      </c>
      <c r="Q23" s="14">
        <v>0.08</v>
      </c>
      <c r="R23" s="14">
        <v>0.12</v>
      </c>
      <c r="S23" s="14">
        <v>0.08</v>
      </c>
      <c r="T23" s="14">
        <v>0.12</v>
      </c>
      <c r="U23" s="14">
        <v>0.14000000000000001</v>
      </c>
      <c r="V23" s="14">
        <v>0.15</v>
      </c>
      <c r="W23" s="14">
        <v>0.1</v>
      </c>
      <c r="X23" s="14">
        <v>0.15</v>
      </c>
      <c r="Y23" s="14">
        <v>0.12</v>
      </c>
      <c r="Z23" s="14">
        <v>0.12</v>
      </c>
      <c r="AA23" s="14">
        <v>0.06</v>
      </c>
      <c r="AB23" s="14">
        <v>0.13</v>
      </c>
      <c r="AC23" s="14">
        <v>0.09</v>
      </c>
      <c r="AD23" s="14">
        <v>0.11</v>
      </c>
      <c r="AE23" s="14">
        <v>0.13</v>
      </c>
      <c r="AF23" s="14">
        <v>0.11</v>
      </c>
    </row>
    <row r="24" spans="1:32">
      <c r="A24" s="19"/>
      <c r="B24" s="11" t="s">
        <v>583</v>
      </c>
      <c r="C24" s="12">
        <v>4376</v>
      </c>
      <c r="D24" s="12">
        <v>207</v>
      </c>
      <c r="E24" s="12">
        <v>120</v>
      </c>
      <c r="F24" s="12">
        <v>126</v>
      </c>
      <c r="G24" s="12">
        <v>161</v>
      </c>
      <c r="H24" s="12">
        <v>161</v>
      </c>
      <c r="I24" s="12">
        <v>201</v>
      </c>
      <c r="J24" s="12">
        <v>40</v>
      </c>
      <c r="K24" s="12">
        <v>108</v>
      </c>
      <c r="L24" s="12">
        <v>161</v>
      </c>
      <c r="M24" s="12">
        <v>188</v>
      </c>
      <c r="N24" s="12">
        <v>170</v>
      </c>
      <c r="O24" s="12">
        <v>168</v>
      </c>
      <c r="P24" s="12">
        <v>137</v>
      </c>
      <c r="Q24" s="12">
        <v>195</v>
      </c>
      <c r="R24" s="12">
        <v>90</v>
      </c>
      <c r="S24" s="12">
        <v>116</v>
      </c>
      <c r="T24" s="12">
        <v>124</v>
      </c>
      <c r="U24" s="12">
        <v>89</v>
      </c>
      <c r="V24" s="12">
        <v>182</v>
      </c>
      <c r="W24" s="12">
        <v>69</v>
      </c>
      <c r="X24" s="12">
        <v>224</v>
      </c>
      <c r="Y24" s="12">
        <v>131</v>
      </c>
      <c r="Z24" s="12">
        <v>196</v>
      </c>
      <c r="AA24" s="12">
        <v>134</v>
      </c>
      <c r="AB24" s="12">
        <v>206</v>
      </c>
      <c r="AC24" s="12">
        <v>119</v>
      </c>
      <c r="AD24" s="12">
        <v>140</v>
      </c>
      <c r="AE24" s="12">
        <v>142</v>
      </c>
      <c r="AF24" s="12">
        <v>187</v>
      </c>
    </row>
    <row r="25" spans="1:32">
      <c r="A25" s="19"/>
      <c r="B25" s="13" t="s">
        <v>583</v>
      </c>
      <c r="C25" s="14">
        <v>0.16</v>
      </c>
      <c r="D25" s="14">
        <v>0.2</v>
      </c>
      <c r="E25" s="14">
        <v>0.11</v>
      </c>
      <c r="F25" s="14">
        <v>0.12</v>
      </c>
      <c r="G25" s="14">
        <v>0.16</v>
      </c>
      <c r="H25" s="14">
        <v>0.13</v>
      </c>
      <c r="I25" s="14">
        <v>0.13</v>
      </c>
      <c r="J25" s="14">
        <v>0.13</v>
      </c>
      <c r="K25" s="14">
        <v>0.11</v>
      </c>
      <c r="L25" s="14">
        <v>0.16</v>
      </c>
      <c r="M25" s="14">
        <v>0.19</v>
      </c>
      <c r="N25" s="14">
        <v>0.17</v>
      </c>
      <c r="O25" s="14">
        <v>0.17</v>
      </c>
      <c r="P25" s="14">
        <v>0.14000000000000001</v>
      </c>
      <c r="Q25" s="14">
        <v>0.19</v>
      </c>
      <c r="R25" s="14">
        <v>0.18</v>
      </c>
      <c r="S25" s="14">
        <v>0.12</v>
      </c>
      <c r="T25" s="14">
        <v>0.12</v>
      </c>
      <c r="U25" s="14">
        <v>0.17</v>
      </c>
      <c r="V25" s="14">
        <v>0.18</v>
      </c>
      <c r="W25" s="14">
        <v>0.14000000000000001</v>
      </c>
      <c r="X25" s="14">
        <v>0.22</v>
      </c>
      <c r="Y25" s="14">
        <v>0.13</v>
      </c>
      <c r="Z25" s="14">
        <v>0.19</v>
      </c>
      <c r="AA25" s="14">
        <v>0.13</v>
      </c>
      <c r="AB25" s="14">
        <v>0.2</v>
      </c>
      <c r="AC25" s="14">
        <v>0.12</v>
      </c>
      <c r="AD25" s="14">
        <v>0.14000000000000001</v>
      </c>
      <c r="AE25" s="14">
        <v>0.14000000000000001</v>
      </c>
      <c r="AF25" s="14">
        <v>0.18</v>
      </c>
    </row>
    <row r="26" spans="1:32">
      <c r="A26" s="19"/>
      <c r="B26" s="11" t="s">
        <v>584</v>
      </c>
      <c r="C26" s="12">
        <v>4838</v>
      </c>
      <c r="D26" s="12">
        <v>205</v>
      </c>
      <c r="E26" s="12">
        <v>122</v>
      </c>
      <c r="F26" s="12">
        <v>121</v>
      </c>
      <c r="G26" s="12">
        <v>116</v>
      </c>
      <c r="H26" s="12">
        <v>181</v>
      </c>
      <c r="I26" s="12">
        <v>219</v>
      </c>
      <c r="J26" s="12">
        <v>37</v>
      </c>
      <c r="K26" s="12">
        <v>102</v>
      </c>
      <c r="L26" s="12">
        <v>183</v>
      </c>
      <c r="M26" s="12">
        <v>223</v>
      </c>
      <c r="N26" s="12">
        <v>212</v>
      </c>
      <c r="O26" s="12">
        <v>187</v>
      </c>
      <c r="P26" s="12">
        <v>162</v>
      </c>
      <c r="Q26" s="12">
        <v>222</v>
      </c>
      <c r="R26" s="12">
        <v>110</v>
      </c>
      <c r="S26" s="12">
        <v>124</v>
      </c>
      <c r="T26" s="12">
        <v>111</v>
      </c>
      <c r="U26" s="12">
        <v>69</v>
      </c>
      <c r="V26" s="12">
        <v>134</v>
      </c>
      <c r="W26" s="12">
        <v>94</v>
      </c>
      <c r="X26" s="12">
        <v>187</v>
      </c>
      <c r="Y26" s="12">
        <v>165</v>
      </c>
      <c r="Z26" s="12">
        <v>252</v>
      </c>
      <c r="AA26" s="12">
        <v>138</v>
      </c>
      <c r="AB26" s="12">
        <v>238</v>
      </c>
      <c r="AC26" s="12">
        <v>90</v>
      </c>
      <c r="AD26" s="12">
        <v>146</v>
      </c>
      <c r="AE26" s="12">
        <v>153</v>
      </c>
      <c r="AF26" s="12">
        <v>167</v>
      </c>
    </row>
    <row r="27" spans="1:32">
      <c r="A27" s="19"/>
      <c r="B27" s="13" t="s">
        <v>584</v>
      </c>
      <c r="C27" s="14">
        <v>0.18</v>
      </c>
      <c r="D27" s="14">
        <v>0.2</v>
      </c>
      <c r="E27" s="14">
        <v>0.12</v>
      </c>
      <c r="F27" s="14">
        <v>0.11</v>
      </c>
      <c r="G27" s="14">
        <v>0.11</v>
      </c>
      <c r="H27" s="14">
        <v>0.15</v>
      </c>
      <c r="I27" s="14">
        <v>0.14000000000000001</v>
      </c>
      <c r="J27" s="14">
        <v>0.13</v>
      </c>
      <c r="K27" s="14">
        <v>0.1</v>
      </c>
      <c r="L27" s="14">
        <v>0.18</v>
      </c>
      <c r="M27" s="14">
        <v>0.22</v>
      </c>
      <c r="N27" s="14">
        <v>0.21</v>
      </c>
      <c r="O27" s="14">
        <v>0.19</v>
      </c>
      <c r="P27" s="14">
        <v>0.16</v>
      </c>
      <c r="Q27" s="14">
        <v>0.22</v>
      </c>
      <c r="R27" s="14">
        <v>0.22</v>
      </c>
      <c r="S27" s="14">
        <v>0.12</v>
      </c>
      <c r="T27" s="14">
        <v>0.11</v>
      </c>
      <c r="U27" s="14">
        <v>0.14000000000000001</v>
      </c>
      <c r="V27" s="14">
        <v>0.13</v>
      </c>
      <c r="W27" s="14">
        <v>0.19</v>
      </c>
      <c r="X27" s="14">
        <v>0.19</v>
      </c>
      <c r="Y27" s="14">
        <v>0.16</v>
      </c>
      <c r="Z27" s="14">
        <v>0.25</v>
      </c>
      <c r="AA27" s="14">
        <v>0.13</v>
      </c>
      <c r="AB27" s="14">
        <v>0.23</v>
      </c>
      <c r="AC27" s="14">
        <v>0.09</v>
      </c>
      <c r="AD27" s="14">
        <v>0.15</v>
      </c>
      <c r="AE27" s="14">
        <v>0.15</v>
      </c>
      <c r="AF27" s="14">
        <v>0.16</v>
      </c>
    </row>
    <row r="28" spans="1:32">
      <c r="A28" s="19"/>
      <c r="B28" s="11" t="s">
        <v>585</v>
      </c>
      <c r="C28" s="12">
        <v>2537</v>
      </c>
      <c r="D28" s="12">
        <v>90</v>
      </c>
      <c r="E28" s="12">
        <v>66</v>
      </c>
      <c r="F28" s="12">
        <v>61</v>
      </c>
      <c r="G28" s="12">
        <v>70</v>
      </c>
      <c r="H28" s="12">
        <v>73</v>
      </c>
      <c r="I28" s="12">
        <v>92</v>
      </c>
      <c r="J28" s="12">
        <v>19</v>
      </c>
      <c r="K28" s="12">
        <v>41</v>
      </c>
      <c r="L28" s="12">
        <v>81</v>
      </c>
      <c r="M28" s="12">
        <v>110</v>
      </c>
      <c r="N28" s="12">
        <v>135</v>
      </c>
      <c r="O28" s="12">
        <v>67</v>
      </c>
      <c r="P28" s="12">
        <v>97</v>
      </c>
      <c r="Q28" s="12">
        <v>179</v>
      </c>
      <c r="R28" s="12">
        <v>55</v>
      </c>
      <c r="S28" s="12">
        <v>81</v>
      </c>
      <c r="T28" s="12">
        <v>68</v>
      </c>
      <c r="U28" s="12">
        <v>34</v>
      </c>
      <c r="V28" s="12">
        <v>76</v>
      </c>
      <c r="W28" s="12">
        <v>66</v>
      </c>
      <c r="X28" s="12">
        <v>76</v>
      </c>
      <c r="Y28" s="12">
        <v>92</v>
      </c>
      <c r="Z28" s="12">
        <v>104</v>
      </c>
      <c r="AA28" s="12">
        <v>147</v>
      </c>
      <c r="AB28" s="12">
        <v>99</v>
      </c>
      <c r="AC28" s="12">
        <v>36</v>
      </c>
      <c r="AD28" s="12">
        <v>63</v>
      </c>
      <c r="AE28" s="12">
        <v>43</v>
      </c>
      <c r="AF28" s="12">
        <v>77</v>
      </c>
    </row>
    <row r="29" spans="1:32">
      <c r="A29" s="19"/>
      <c r="B29" s="13" t="s">
        <v>585</v>
      </c>
      <c r="C29" s="14">
        <v>0.1</v>
      </c>
      <c r="D29" s="14">
        <v>0.09</v>
      </c>
      <c r="E29" s="14">
        <v>0.06</v>
      </c>
      <c r="F29" s="14">
        <v>0.06</v>
      </c>
      <c r="G29" s="14">
        <v>7.0000000000000007E-2</v>
      </c>
      <c r="H29" s="14">
        <v>0.06</v>
      </c>
      <c r="I29" s="14">
        <v>0.06</v>
      </c>
      <c r="J29" s="14">
        <v>0.06</v>
      </c>
      <c r="K29" s="14">
        <v>0.04</v>
      </c>
      <c r="L29" s="14">
        <v>0.08</v>
      </c>
      <c r="M29" s="14">
        <v>0.11</v>
      </c>
      <c r="N29" s="14">
        <v>0.13</v>
      </c>
      <c r="O29" s="14">
        <v>7.0000000000000007E-2</v>
      </c>
      <c r="P29" s="14">
        <v>0.1</v>
      </c>
      <c r="Q29" s="14">
        <v>0.17</v>
      </c>
      <c r="R29" s="14">
        <v>0.11</v>
      </c>
      <c r="S29" s="14">
        <v>0.08</v>
      </c>
      <c r="T29" s="14">
        <v>7.0000000000000007E-2</v>
      </c>
      <c r="U29" s="14">
        <v>7.0000000000000007E-2</v>
      </c>
      <c r="V29" s="14">
        <v>7.0000000000000007E-2</v>
      </c>
      <c r="W29" s="14">
        <v>0.13</v>
      </c>
      <c r="X29" s="14">
        <v>7.0000000000000007E-2</v>
      </c>
      <c r="Y29" s="14">
        <v>0.09</v>
      </c>
      <c r="Z29" s="14">
        <v>0.1</v>
      </c>
      <c r="AA29" s="14">
        <v>0.14000000000000001</v>
      </c>
      <c r="AB29" s="14">
        <v>0.1</v>
      </c>
      <c r="AC29" s="14">
        <v>0.04</v>
      </c>
      <c r="AD29" s="14">
        <v>0.06</v>
      </c>
      <c r="AE29" s="14">
        <v>0.04</v>
      </c>
      <c r="AF29" s="14">
        <v>0.08</v>
      </c>
    </row>
    <row r="30" spans="1:32">
      <c r="A30" s="19"/>
      <c r="B30" s="11" t="s">
        <v>586</v>
      </c>
      <c r="C30" s="12">
        <v>3238</v>
      </c>
      <c r="D30" s="12">
        <v>65</v>
      </c>
      <c r="E30" s="12">
        <v>153</v>
      </c>
      <c r="F30" s="12">
        <v>88</v>
      </c>
      <c r="G30" s="12">
        <v>88</v>
      </c>
      <c r="H30" s="12">
        <v>138</v>
      </c>
      <c r="I30" s="12">
        <v>169</v>
      </c>
      <c r="J30" s="12">
        <v>31</v>
      </c>
      <c r="K30" s="12">
        <v>80</v>
      </c>
      <c r="L30" s="12">
        <v>159</v>
      </c>
      <c r="M30" s="12">
        <v>65</v>
      </c>
      <c r="N30" s="12">
        <v>172</v>
      </c>
      <c r="O30" s="12">
        <v>105</v>
      </c>
      <c r="P30" s="12">
        <v>175</v>
      </c>
      <c r="Q30" s="12">
        <v>162</v>
      </c>
      <c r="R30" s="12">
        <v>83</v>
      </c>
      <c r="S30" s="12">
        <v>153</v>
      </c>
      <c r="T30" s="12">
        <v>98</v>
      </c>
      <c r="U30" s="12">
        <v>45</v>
      </c>
      <c r="V30" s="12">
        <v>124</v>
      </c>
      <c r="W30" s="12">
        <v>83</v>
      </c>
      <c r="X30" s="12">
        <v>59</v>
      </c>
      <c r="Y30" s="12">
        <v>108</v>
      </c>
      <c r="Z30" s="12">
        <v>166</v>
      </c>
      <c r="AA30" s="12">
        <v>181</v>
      </c>
      <c r="AB30" s="12">
        <v>84</v>
      </c>
      <c r="AC30" s="12">
        <v>106</v>
      </c>
      <c r="AD30" s="12">
        <v>56</v>
      </c>
      <c r="AE30" s="12">
        <v>58</v>
      </c>
      <c r="AF30" s="12">
        <v>117</v>
      </c>
    </row>
    <row r="31" spans="1:32">
      <c r="A31" s="19"/>
      <c r="B31" s="13" t="s">
        <v>587</v>
      </c>
      <c r="C31" s="14">
        <v>0.12</v>
      </c>
      <c r="D31" s="14">
        <v>0.06</v>
      </c>
      <c r="E31" s="14">
        <v>0.15</v>
      </c>
      <c r="F31" s="14">
        <v>0.08</v>
      </c>
      <c r="G31" s="14">
        <v>0.09</v>
      </c>
      <c r="H31" s="14">
        <v>0.11</v>
      </c>
      <c r="I31" s="14">
        <v>0.11</v>
      </c>
      <c r="J31" s="14">
        <v>0.1</v>
      </c>
      <c r="K31" s="14">
        <v>0.08</v>
      </c>
      <c r="L31" s="14">
        <v>0.16</v>
      </c>
      <c r="M31" s="14">
        <v>0.06</v>
      </c>
      <c r="N31" s="14">
        <v>0.17</v>
      </c>
      <c r="O31" s="14">
        <v>0.11</v>
      </c>
      <c r="P31" s="14">
        <v>0.18</v>
      </c>
      <c r="Q31" s="14">
        <v>0.16</v>
      </c>
      <c r="R31" s="14">
        <v>0.17</v>
      </c>
      <c r="S31" s="14">
        <v>0.15</v>
      </c>
      <c r="T31" s="14">
        <v>0.1</v>
      </c>
      <c r="U31" s="14">
        <v>0.09</v>
      </c>
      <c r="V31" s="14">
        <v>0.12</v>
      </c>
      <c r="W31" s="14">
        <v>0.16</v>
      </c>
      <c r="X31" s="14">
        <v>0.06</v>
      </c>
      <c r="Y31" s="14">
        <v>0.11</v>
      </c>
      <c r="Z31" s="14">
        <v>0.16</v>
      </c>
      <c r="AA31" s="14">
        <v>0.18</v>
      </c>
      <c r="AB31" s="14">
        <v>0.08</v>
      </c>
      <c r="AC31" s="14">
        <v>0.1</v>
      </c>
      <c r="AD31" s="14">
        <v>0.06</v>
      </c>
      <c r="AE31" s="14">
        <v>0.06</v>
      </c>
      <c r="AF31" s="14">
        <v>0.11</v>
      </c>
    </row>
    <row r="32" spans="1:32">
      <c r="A32" s="19"/>
      <c r="B32" s="11" t="s">
        <v>386</v>
      </c>
      <c r="C32" s="12">
        <v>422</v>
      </c>
      <c r="D32" s="12">
        <v>4</v>
      </c>
      <c r="E32" s="12">
        <v>29</v>
      </c>
      <c r="F32" s="12">
        <v>6</v>
      </c>
      <c r="G32" s="12">
        <v>12</v>
      </c>
      <c r="H32" s="12">
        <v>15</v>
      </c>
      <c r="I32" s="12">
        <v>15</v>
      </c>
      <c r="J32" s="12">
        <v>0</v>
      </c>
      <c r="K32" s="12">
        <v>21</v>
      </c>
      <c r="L32" s="12">
        <v>14</v>
      </c>
      <c r="M32" s="12">
        <v>20</v>
      </c>
      <c r="N32" s="12">
        <v>25</v>
      </c>
      <c r="O32" s="12">
        <v>34</v>
      </c>
      <c r="P32" s="12">
        <v>11</v>
      </c>
      <c r="Q32" s="12">
        <v>7</v>
      </c>
      <c r="R32" s="12">
        <v>7</v>
      </c>
      <c r="S32" s="12">
        <v>29</v>
      </c>
      <c r="T32" s="12">
        <v>29</v>
      </c>
      <c r="U32" s="12">
        <v>7</v>
      </c>
      <c r="V32" s="12">
        <v>3</v>
      </c>
      <c r="W32" s="12">
        <v>7</v>
      </c>
      <c r="X32" s="12">
        <v>3</v>
      </c>
      <c r="Y32" s="12">
        <v>10</v>
      </c>
      <c r="Z32" s="12">
        <v>7</v>
      </c>
      <c r="AA32" s="12">
        <v>45</v>
      </c>
      <c r="AB32" s="12">
        <v>33</v>
      </c>
      <c r="AC32" s="12">
        <v>13</v>
      </c>
      <c r="AD32" s="12">
        <v>6</v>
      </c>
      <c r="AE32" s="12">
        <v>6</v>
      </c>
      <c r="AF32" s="12">
        <v>2</v>
      </c>
    </row>
    <row r="33" spans="1:32">
      <c r="A33" s="19"/>
      <c r="B33" s="13" t="s">
        <v>399</v>
      </c>
      <c r="C33" s="14">
        <v>0.02</v>
      </c>
      <c r="D33" s="15" t="s">
        <v>375</v>
      </c>
      <c r="E33" s="14">
        <v>0.03</v>
      </c>
      <c r="F33" s="14">
        <v>0.01</v>
      </c>
      <c r="G33" s="14">
        <v>0.01</v>
      </c>
      <c r="H33" s="14">
        <v>0.01</v>
      </c>
      <c r="I33" s="14">
        <v>0.01</v>
      </c>
      <c r="J33" s="15" t="s">
        <v>375</v>
      </c>
      <c r="K33" s="14">
        <v>0.02</v>
      </c>
      <c r="L33" s="14">
        <v>0.01</v>
      </c>
      <c r="M33" s="14">
        <v>0.02</v>
      </c>
      <c r="N33" s="14">
        <v>0.03</v>
      </c>
      <c r="O33" s="14">
        <v>0.03</v>
      </c>
      <c r="P33" s="14">
        <v>0.01</v>
      </c>
      <c r="Q33" s="14">
        <v>0.01</v>
      </c>
      <c r="R33" s="14">
        <v>0.01</v>
      </c>
      <c r="S33" s="14">
        <v>0.03</v>
      </c>
      <c r="T33" s="14">
        <v>0.03</v>
      </c>
      <c r="U33" s="14">
        <v>0.01</v>
      </c>
      <c r="V33" s="15" t="s">
        <v>375</v>
      </c>
      <c r="W33" s="14">
        <v>0.01</v>
      </c>
      <c r="X33" s="15" t="s">
        <v>375</v>
      </c>
      <c r="Y33" s="14">
        <v>0.01</v>
      </c>
      <c r="Z33" s="14">
        <v>0.01</v>
      </c>
      <c r="AA33" s="14">
        <v>0.04</v>
      </c>
      <c r="AB33" s="14">
        <v>0.03</v>
      </c>
      <c r="AC33" s="14">
        <v>0.01</v>
      </c>
      <c r="AD33" s="14">
        <v>0.01</v>
      </c>
      <c r="AE33" s="14">
        <v>0.01</v>
      </c>
      <c r="AF33" s="15" t="s">
        <v>375</v>
      </c>
    </row>
    <row r="34" spans="1:32">
      <c r="A34" s="19"/>
      <c r="B34" s="11" t="s">
        <v>588</v>
      </c>
      <c r="C34" s="12">
        <v>4983</v>
      </c>
      <c r="D34" s="12">
        <v>189</v>
      </c>
      <c r="E34" s="12">
        <v>299</v>
      </c>
      <c r="F34" s="12">
        <v>362</v>
      </c>
      <c r="G34" s="12">
        <v>353</v>
      </c>
      <c r="H34" s="12">
        <v>345</v>
      </c>
      <c r="I34" s="12">
        <v>429</v>
      </c>
      <c r="J34" s="12">
        <v>85</v>
      </c>
      <c r="K34" s="12">
        <v>374</v>
      </c>
      <c r="L34" s="12">
        <v>214</v>
      </c>
      <c r="M34" s="12">
        <v>119</v>
      </c>
      <c r="N34" s="12">
        <v>99</v>
      </c>
      <c r="O34" s="12">
        <v>184</v>
      </c>
      <c r="P34" s="12">
        <v>186</v>
      </c>
      <c r="Q34" s="12">
        <v>112</v>
      </c>
      <c r="R34" s="12">
        <v>47</v>
      </c>
      <c r="S34" s="12">
        <v>270</v>
      </c>
      <c r="T34" s="12">
        <v>284</v>
      </c>
      <c r="U34" s="12">
        <v>126</v>
      </c>
      <c r="V34" s="12">
        <v>211</v>
      </c>
      <c r="W34" s="12">
        <v>82</v>
      </c>
      <c r="X34" s="12">
        <v>189</v>
      </c>
      <c r="Y34" s="12">
        <v>255</v>
      </c>
      <c r="Z34" s="12">
        <v>80</v>
      </c>
      <c r="AA34" s="12">
        <v>250</v>
      </c>
      <c r="AB34" s="12">
        <v>141</v>
      </c>
      <c r="AC34" s="12">
        <v>354</v>
      </c>
      <c r="AD34" s="12">
        <v>356</v>
      </c>
      <c r="AE34" s="12">
        <v>339</v>
      </c>
      <c r="AF34" s="12">
        <v>229</v>
      </c>
    </row>
    <row r="35" spans="1:32">
      <c r="A35" s="19"/>
      <c r="B35" s="13" t="s">
        <v>589</v>
      </c>
      <c r="C35" s="14">
        <v>0.19</v>
      </c>
      <c r="D35" s="14">
        <v>0.19</v>
      </c>
      <c r="E35" s="14">
        <v>0.28000000000000003</v>
      </c>
      <c r="F35" s="14">
        <v>0.34</v>
      </c>
      <c r="G35" s="14">
        <v>0.35</v>
      </c>
      <c r="H35" s="14">
        <v>0.28000000000000003</v>
      </c>
      <c r="I35" s="14">
        <v>0.28999999999999998</v>
      </c>
      <c r="J35" s="14">
        <v>0.3</v>
      </c>
      <c r="K35" s="14">
        <v>0.37</v>
      </c>
      <c r="L35" s="14">
        <v>0.22</v>
      </c>
      <c r="M35" s="14">
        <v>0.12</v>
      </c>
      <c r="N35" s="14">
        <v>0.09</v>
      </c>
      <c r="O35" s="14">
        <v>0.17</v>
      </c>
      <c r="P35" s="14">
        <v>0.18</v>
      </c>
      <c r="Q35" s="14">
        <v>0.1</v>
      </c>
      <c r="R35" s="14">
        <v>0.1</v>
      </c>
      <c r="S35" s="14">
        <v>0.27</v>
      </c>
      <c r="T35" s="14">
        <v>0.27</v>
      </c>
      <c r="U35" s="14">
        <v>0.25</v>
      </c>
      <c r="V35" s="14">
        <v>0.21</v>
      </c>
      <c r="W35" s="14">
        <v>0.17</v>
      </c>
      <c r="X35" s="14">
        <v>0.19</v>
      </c>
      <c r="Y35" s="14">
        <v>0.26</v>
      </c>
      <c r="Z35" s="14">
        <v>0.08</v>
      </c>
      <c r="AA35" s="14">
        <v>0.24</v>
      </c>
      <c r="AB35" s="14">
        <v>0.13</v>
      </c>
      <c r="AC35" s="14">
        <v>0.36</v>
      </c>
      <c r="AD35" s="14">
        <v>0.35</v>
      </c>
      <c r="AE35" s="14">
        <v>0.34</v>
      </c>
      <c r="AF35" s="14">
        <v>0.23</v>
      </c>
    </row>
    <row r="36" spans="1:32">
      <c r="A36" s="19"/>
      <c r="B36" s="11" t="s">
        <v>590</v>
      </c>
      <c r="C36" s="12">
        <v>6060</v>
      </c>
      <c r="D36" s="12">
        <v>262</v>
      </c>
      <c r="E36" s="12">
        <v>256</v>
      </c>
      <c r="F36" s="12">
        <v>299</v>
      </c>
      <c r="G36" s="12">
        <v>216</v>
      </c>
      <c r="H36" s="12">
        <v>318</v>
      </c>
      <c r="I36" s="12">
        <v>402</v>
      </c>
      <c r="J36" s="12">
        <v>85</v>
      </c>
      <c r="K36" s="12">
        <v>278</v>
      </c>
      <c r="L36" s="12">
        <v>195</v>
      </c>
      <c r="M36" s="12">
        <v>281</v>
      </c>
      <c r="N36" s="12">
        <v>198</v>
      </c>
      <c r="O36" s="12">
        <v>257</v>
      </c>
      <c r="P36" s="12">
        <v>233</v>
      </c>
      <c r="Q36" s="12">
        <v>155</v>
      </c>
      <c r="R36" s="12">
        <v>108</v>
      </c>
      <c r="S36" s="12">
        <v>231</v>
      </c>
      <c r="T36" s="12">
        <v>307</v>
      </c>
      <c r="U36" s="12">
        <v>137</v>
      </c>
      <c r="V36" s="12">
        <v>296</v>
      </c>
      <c r="W36" s="12">
        <v>101</v>
      </c>
      <c r="X36" s="12">
        <v>272</v>
      </c>
      <c r="Y36" s="12">
        <v>242</v>
      </c>
      <c r="Z36" s="12">
        <v>211</v>
      </c>
      <c r="AA36" s="12">
        <v>143</v>
      </c>
      <c r="AB36" s="12">
        <v>239</v>
      </c>
      <c r="AC36" s="12">
        <v>286</v>
      </c>
      <c r="AD36" s="12">
        <v>235</v>
      </c>
      <c r="AE36" s="12">
        <v>260</v>
      </c>
      <c r="AF36" s="12">
        <v>252</v>
      </c>
    </row>
    <row r="37" spans="1:32">
      <c r="A37" s="19"/>
      <c r="B37" s="13" t="s">
        <v>591</v>
      </c>
      <c r="C37" s="14">
        <v>0.23</v>
      </c>
      <c r="D37" s="14">
        <v>0.26</v>
      </c>
      <c r="E37" s="14">
        <v>0.25</v>
      </c>
      <c r="F37" s="14">
        <v>0.28000000000000003</v>
      </c>
      <c r="G37" s="14">
        <v>0.21</v>
      </c>
      <c r="H37" s="14">
        <v>0.26</v>
      </c>
      <c r="I37" s="14">
        <v>0.26</v>
      </c>
      <c r="J37" s="14">
        <v>0.28000000000000003</v>
      </c>
      <c r="K37" s="14">
        <v>0.28000000000000003</v>
      </c>
      <c r="L37" s="14">
        <v>0.19</v>
      </c>
      <c r="M37" s="14">
        <v>0.28000000000000003</v>
      </c>
      <c r="N37" s="14">
        <v>0.2</v>
      </c>
      <c r="O37" s="14">
        <v>0.26</v>
      </c>
      <c r="P37" s="14">
        <v>0.23</v>
      </c>
      <c r="Q37" s="14">
        <v>0.15</v>
      </c>
      <c r="R37" s="14">
        <v>0.21</v>
      </c>
      <c r="S37" s="14">
        <v>0.23</v>
      </c>
      <c r="T37" s="14">
        <v>0.3</v>
      </c>
      <c r="U37" s="14">
        <v>0.27</v>
      </c>
      <c r="V37" s="14">
        <v>0.28999999999999998</v>
      </c>
      <c r="W37" s="14">
        <v>0.2</v>
      </c>
      <c r="X37" s="14">
        <v>0.27</v>
      </c>
      <c r="Y37" s="14">
        <v>0.24</v>
      </c>
      <c r="Z37" s="14">
        <v>0.21</v>
      </c>
      <c r="AA37" s="14">
        <v>0.14000000000000001</v>
      </c>
      <c r="AB37" s="14">
        <v>0.23</v>
      </c>
      <c r="AC37" s="14">
        <v>0.28000000000000003</v>
      </c>
      <c r="AD37" s="14">
        <v>0.23</v>
      </c>
      <c r="AE37" s="14">
        <v>0.26</v>
      </c>
      <c r="AF37" s="14">
        <v>0.24</v>
      </c>
    </row>
    <row r="38" spans="1:32">
      <c r="A38" s="19"/>
      <c r="B38" s="11" t="s">
        <v>592</v>
      </c>
      <c r="C38" s="12">
        <v>14989</v>
      </c>
      <c r="D38" s="12">
        <v>567</v>
      </c>
      <c r="E38" s="12">
        <v>461</v>
      </c>
      <c r="F38" s="12">
        <v>396</v>
      </c>
      <c r="G38" s="12">
        <v>435</v>
      </c>
      <c r="H38" s="12">
        <v>553</v>
      </c>
      <c r="I38" s="12">
        <v>681</v>
      </c>
      <c r="J38" s="12">
        <v>127</v>
      </c>
      <c r="K38" s="12">
        <v>331</v>
      </c>
      <c r="L38" s="12">
        <v>584</v>
      </c>
      <c r="M38" s="12">
        <v>586</v>
      </c>
      <c r="N38" s="12">
        <v>689</v>
      </c>
      <c r="O38" s="12">
        <v>527</v>
      </c>
      <c r="P38" s="12">
        <v>571</v>
      </c>
      <c r="Q38" s="12">
        <v>758</v>
      </c>
      <c r="R38" s="12">
        <v>338</v>
      </c>
      <c r="S38" s="12">
        <v>474</v>
      </c>
      <c r="T38" s="12">
        <v>401</v>
      </c>
      <c r="U38" s="12">
        <v>237</v>
      </c>
      <c r="V38" s="12">
        <v>516</v>
      </c>
      <c r="W38" s="12">
        <v>312</v>
      </c>
      <c r="X38" s="12">
        <v>546</v>
      </c>
      <c r="Y38" s="12">
        <v>496</v>
      </c>
      <c r="Z38" s="12">
        <v>718</v>
      </c>
      <c r="AA38" s="12">
        <v>600</v>
      </c>
      <c r="AB38" s="12">
        <v>627</v>
      </c>
      <c r="AC38" s="12">
        <v>351</v>
      </c>
      <c r="AD38" s="12">
        <v>405</v>
      </c>
      <c r="AE38" s="12">
        <v>396</v>
      </c>
      <c r="AF38" s="12">
        <v>548</v>
      </c>
    </row>
    <row r="39" spans="1:32">
      <c r="A39" s="19"/>
      <c r="B39" s="13" t="s">
        <v>593</v>
      </c>
      <c r="C39" s="14">
        <v>0.56000000000000005</v>
      </c>
      <c r="D39" s="14">
        <v>0.55000000000000004</v>
      </c>
      <c r="E39" s="14">
        <v>0.44</v>
      </c>
      <c r="F39" s="14">
        <v>0.37</v>
      </c>
      <c r="G39" s="14">
        <v>0.43</v>
      </c>
      <c r="H39" s="14">
        <v>0.45</v>
      </c>
      <c r="I39" s="14">
        <v>0.44</v>
      </c>
      <c r="J39" s="14">
        <v>0.42</v>
      </c>
      <c r="K39" s="14">
        <v>0.33</v>
      </c>
      <c r="L39" s="14">
        <v>0.57999999999999996</v>
      </c>
      <c r="M39" s="14">
        <v>0.57999999999999996</v>
      </c>
      <c r="N39" s="14">
        <v>0.68</v>
      </c>
      <c r="O39" s="14">
        <v>0.54</v>
      </c>
      <c r="P39" s="14">
        <v>0.57999999999999996</v>
      </c>
      <c r="Q39" s="14">
        <v>0.74</v>
      </c>
      <c r="R39" s="14">
        <v>0.68</v>
      </c>
      <c r="S39" s="14">
        <v>0.47</v>
      </c>
      <c r="T39" s="14">
        <v>0.4</v>
      </c>
      <c r="U39" s="14">
        <v>0.47</v>
      </c>
      <c r="V39" s="14">
        <v>0.5</v>
      </c>
      <c r="W39" s="14">
        <v>0.62</v>
      </c>
      <c r="X39" s="14">
        <v>0.54</v>
      </c>
      <c r="Y39" s="14">
        <v>0.49</v>
      </c>
      <c r="Z39" s="14">
        <v>0.70000000000000007</v>
      </c>
      <c r="AA39" s="14">
        <v>0.57999999999999996</v>
      </c>
      <c r="AB39" s="14">
        <v>0.61</v>
      </c>
      <c r="AC39" s="14">
        <v>0.35</v>
      </c>
      <c r="AD39" s="14">
        <v>0.41</v>
      </c>
      <c r="AE39" s="14">
        <v>0.39</v>
      </c>
      <c r="AF39" s="14">
        <v>0.53</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606</v>
      </c>
      <c r="C3" s="17"/>
      <c r="D3" s="17"/>
      <c r="E3" s="17"/>
      <c r="F3" s="17"/>
      <c r="H3" s="17" t="s">
        <v>607</v>
      </c>
      <c r="I3" s="17"/>
      <c r="J3" s="17"/>
      <c r="K3" s="17"/>
      <c r="L3" s="17"/>
    </row>
    <row r="4" spans="1:32" ht="27" customHeight="1">
      <c r="B4" s="17" t="s">
        <v>608</v>
      </c>
      <c r="C4" s="17"/>
      <c r="D4" s="17"/>
      <c r="E4" s="17"/>
      <c r="F4" s="17"/>
      <c r="H4" s="17" t="s">
        <v>609</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HYPERLINK("#Content!A33","&lt;&lt;Back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572</v>
      </c>
      <c r="D12" s="12">
        <v>18</v>
      </c>
      <c r="E12" s="12">
        <v>54</v>
      </c>
      <c r="F12" s="12">
        <v>57</v>
      </c>
      <c r="G12" s="12">
        <v>52</v>
      </c>
      <c r="H12" s="12">
        <v>18</v>
      </c>
      <c r="I12" s="12">
        <v>24</v>
      </c>
      <c r="J12" s="12">
        <v>6</v>
      </c>
      <c r="K12" s="12">
        <v>34</v>
      </c>
      <c r="L12" s="12">
        <v>45</v>
      </c>
      <c r="M12" s="12">
        <v>9</v>
      </c>
      <c r="N12" s="12">
        <v>16</v>
      </c>
      <c r="O12" s="12">
        <v>24</v>
      </c>
      <c r="P12" s="12">
        <v>17</v>
      </c>
      <c r="Q12" s="12">
        <v>29</v>
      </c>
      <c r="R12" s="12">
        <v>5</v>
      </c>
      <c r="S12" s="12">
        <v>75</v>
      </c>
      <c r="T12" s="12">
        <v>70</v>
      </c>
      <c r="U12" s="12">
        <v>6</v>
      </c>
      <c r="V12" s="12">
        <v>14</v>
      </c>
      <c r="W12" s="12">
        <v>15</v>
      </c>
      <c r="X12" s="12">
        <v>13</v>
      </c>
      <c r="Y12" s="12">
        <v>41</v>
      </c>
      <c r="Z12" s="12">
        <v>2</v>
      </c>
      <c r="AA12" s="12">
        <v>4</v>
      </c>
      <c r="AB12" s="12">
        <v>24</v>
      </c>
      <c r="AC12" s="12">
        <v>69</v>
      </c>
      <c r="AD12" s="12">
        <v>49</v>
      </c>
      <c r="AE12" s="12">
        <v>18</v>
      </c>
      <c r="AF12" s="12">
        <v>26</v>
      </c>
    </row>
    <row r="13" spans="1:32">
      <c r="A13" s="19"/>
      <c r="B13" s="13" t="s">
        <v>577</v>
      </c>
      <c r="C13" s="14">
        <v>0.02</v>
      </c>
      <c r="D13" s="14">
        <v>0.02</v>
      </c>
      <c r="E13" s="14">
        <v>0.05</v>
      </c>
      <c r="F13" s="14">
        <v>0.05</v>
      </c>
      <c r="G13" s="14">
        <v>0.05</v>
      </c>
      <c r="H13" s="14">
        <v>0.01</v>
      </c>
      <c r="I13" s="14">
        <v>0.01</v>
      </c>
      <c r="J13" s="14">
        <v>0.02</v>
      </c>
      <c r="K13" s="14">
        <v>0.03</v>
      </c>
      <c r="L13" s="14">
        <v>0.05</v>
      </c>
      <c r="M13" s="14">
        <v>0.01</v>
      </c>
      <c r="N13" s="14">
        <v>0.02</v>
      </c>
      <c r="O13" s="14">
        <v>0.02</v>
      </c>
      <c r="P13" s="14">
        <v>0.02</v>
      </c>
      <c r="Q13" s="14">
        <v>0.03</v>
      </c>
      <c r="R13" s="14">
        <v>0.01</v>
      </c>
      <c r="S13" s="14">
        <v>7.0000000000000007E-2</v>
      </c>
      <c r="T13" s="14">
        <v>7.0000000000000007E-2</v>
      </c>
      <c r="U13" s="14">
        <v>0.01</v>
      </c>
      <c r="V13" s="14">
        <v>0.01</v>
      </c>
      <c r="W13" s="14">
        <v>0.03</v>
      </c>
      <c r="X13" s="14">
        <v>0.01</v>
      </c>
      <c r="Y13" s="14">
        <v>0.04</v>
      </c>
      <c r="Z13" s="15" t="s">
        <v>375</v>
      </c>
      <c r="AA13" s="15" t="s">
        <v>375</v>
      </c>
      <c r="AB13" s="14">
        <v>0.02</v>
      </c>
      <c r="AC13" s="14">
        <v>7.0000000000000007E-2</v>
      </c>
      <c r="AD13" s="14">
        <v>0.05</v>
      </c>
      <c r="AE13" s="14">
        <v>0.02</v>
      </c>
      <c r="AF13" s="14">
        <v>0.03</v>
      </c>
    </row>
    <row r="14" spans="1:32">
      <c r="A14" s="19"/>
      <c r="B14" s="11" t="s">
        <v>578</v>
      </c>
      <c r="C14" s="12">
        <v>632</v>
      </c>
      <c r="D14" s="12">
        <v>19</v>
      </c>
      <c r="E14" s="12">
        <v>33</v>
      </c>
      <c r="F14" s="12">
        <v>33</v>
      </c>
      <c r="G14" s="12">
        <v>46</v>
      </c>
      <c r="H14" s="12">
        <v>81</v>
      </c>
      <c r="I14" s="12">
        <v>89</v>
      </c>
      <c r="J14" s="12">
        <v>8</v>
      </c>
      <c r="K14" s="12">
        <v>28</v>
      </c>
      <c r="L14" s="12">
        <v>23</v>
      </c>
      <c r="M14" s="12">
        <v>12</v>
      </c>
      <c r="N14" s="12">
        <v>9</v>
      </c>
      <c r="O14" s="12">
        <v>23</v>
      </c>
      <c r="P14" s="12">
        <v>13</v>
      </c>
      <c r="Q14" s="12">
        <v>8</v>
      </c>
      <c r="R14" s="12">
        <v>10</v>
      </c>
      <c r="S14" s="12">
        <v>30</v>
      </c>
      <c r="T14" s="12">
        <v>30</v>
      </c>
      <c r="U14" s="12">
        <v>2</v>
      </c>
      <c r="V14" s="12">
        <v>17</v>
      </c>
      <c r="W14" s="12">
        <v>9</v>
      </c>
      <c r="X14" s="12">
        <v>11</v>
      </c>
      <c r="Y14" s="12">
        <v>14</v>
      </c>
      <c r="Z14" s="12">
        <v>4</v>
      </c>
      <c r="AA14" s="12">
        <v>4</v>
      </c>
      <c r="AB14" s="12">
        <v>15</v>
      </c>
      <c r="AC14" s="12">
        <v>35</v>
      </c>
      <c r="AD14" s="12">
        <v>29</v>
      </c>
      <c r="AE14" s="12">
        <v>40</v>
      </c>
      <c r="AF14" s="12">
        <v>54</v>
      </c>
    </row>
    <row r="15" spans="1:32">
      <c r="A15" s="19"/>
      <c r="B15" s="13" t="s">
        <v>578</v>
      </c>
      <c r="C15" s="14">
        <v>0.02</v>
      </c>
      <c r="D15" s="14">
        <v>0.02</v>
      </c>
      <c r="E15" s="14">
        <v>0.03</v>
      </c>
      <c r="F15" s="14">
        <v>0.03</v>
      </c>
      <c r="G15" s="14">
        <v>0.04</v>
      </c>
      <c r="H15" s="14">
        <v>0.06</v>
      </c>
      <c r="I15" s="14">
        <v>0.06</v>
      </c>
      <c r="J15" s="14">
        <v>0.03</v>
      </c>
      <c r="K15" s="14">
        <v>0.03</v>
      </c>
      <c r="L15" s="14">
        <v>0.02</v>
      </c>
      <c r="M15" s="14">
        <v>0.01</v>
      </c>
      <c r="N15" s="14">
        <v>0.01</v>
      </c>
      <c r="O15" s="14">
        <v>0.02</v>
      </c>
      <c r="P15" s="14">
        <v>0.01</v>
      </c>
      <c r="Q15" s="14">
        <v>0.01</v>
      </c>
      <c r="R15" s="14">
        <v>0.02</v>
      </c>
      <c r="S15" s="14">
        <v>0.03</v>
      </c>
      <c r="T15" s="14">
        <v>0.03</v>
      </c>
      <c r="U15" s="15" t="s">
        <v>375</v>
      </c>
      <c r="V15" s="14">
        <v>0.02</v>
      </c>
      <c r="W15" s="14">
        <v>0.02</v>
      </c>
      <c r="X15" s="14">
        <v>0.01</v>
      </c>
      <c r="Y15" s="14">
        <v>0.01</v>
      </c>
      <c r="Z15" s="15" t="s">
        <v>375</v>
      </c>
      <c r="AA15" s="15" t="s">
        <v>375</v>
      </c>
      <c r="AB15" s="14">
        <v>0.01</v>
      </c>
      <c r="AC15" s="14">
        <v>0.03</v>
      </c>
      <c r="AD15" s="14">
        <v>0.03</v>
      </c>
      <c r="AE15" s="14">
        <v>0.04</v>
      </c>
      <c r="AF15" s="14">
        <v>0.05</v>
      </c>
    </row>
    <row r="16" spans="1:32">
      <c r="A16" s="19"/>
      <c r="B16" s="11" t="s">
        <v>579</v>
      </c>
      <c r="C16" s="12">
        <v>823</v>
      </c>
      <c r="D16" s="12">
        <v>23</v>
      </c>
      <c r="E16" s="12">
        <v>68</v>
      </c>
      <c r="F16" s="12">
        <v>68</v>
      </c>
      <c r="G16" s="12">
        <v>90</v>
      </c>
      <c r="H16" s="12">
        <v>70</v>
      </c>
      <c r="I16" s="12">
        <v>78</v>
      </c>
      <c r="J16" s="12">
        <v>8</v>
      </c>
      <c r="K16" s="12">
        <v>83</v>
      </c>
      <c r="L16" s="12">
        <v>28</v>
      </c>
      <c r="M16" s="12">
        <v>27</v>
      </c>
      <c r="N16" s="12">
        <v>12</v>
      </c>
      <c r="O16" s="12">
        <v>20</v>
      </c>
      <c r="P16" s="12">
        <v>24</v>
      </c>
      <c r="Q16" s="12">
        <v>11</v>
      </c>
      <c r="R16" s="12">
        <v>7</v>
      </c>
      <c r="S16" s="12">
        <v>71</v>
      </c>
      <c r="T16" s="12">
        <v>49</v>
      </c>
      <c r="U16" s="12">
        <v>10</v>
      </c>
      <c r="V16" s="12">
        <v>58</v>
      </c>
      <c r="W16" s="12">
        <v>14</v>
      </c>
      <c r="X16" s="12">
        <v>45</v>
      </c>
      <c r="Y16" s="12">
        <v>42</v>
      </c>
      <c r="Z16" s="12">
        <v>7</v>
      </c>
      <c r="AA16" s="12">
        <v>7</v>
      </c>
      <c r="AB16" s="12">
        <v>34</v>
      </c>
      <c r="AC16" s="12">
        <v>69</v>
      </c>
      <c r="AD16" s="12">
        <v>30</v>
      </c>
      <c r="AE16" s="12">
        <v>53</v>
      </c>
      <c r="AF16" s="12">
        <v>96</v>
      </c>
    </row>
    <row r="17" spans="1:32">
      <c r="A17" s="19"/>
      <c r="B17" s="13" t="s">
        <v>579</v>
      </c>
      <c r="C17" s="14">
        <v>0.03</v>
      </c>
      <c r="D17" s="14">
        <v>0.02</v>
      </c>
      <c r="E17" s="14">
        <v>7.0000000000000007E-2</v>
      </c>
      <c r="F17" s="14">
        <v>0.06</v>
      </c>
      <c r="G17" s="14">
        <v>0.09</v>
      </c>
      <c r="H17" s="14">
        <v>0.06</v>
      </c>
      <c r="I17" s="14">
        <v>0.05</v>
      </c>
      <c r="J17" s="14">
        <v>0.03</v>
      </c>
      <c r="K17" s="14">
        <v>0.08</v>
      </c>
      <c r="L17" s="14">
        <v>0.03</v>
      </c>
      <c r="M17" s="14">
        <v>0.03</v>
      </c>
      <c r="N17" s="14">
        <v>0.01</v>
      </c>
      <c r="O17" s="14">
        <v>0.02</v>
      </c>
      <c r="P17" s="14">
        <v>0.02</v>
      </c>
      <c r="Q17" s="14">
        <v>0.01</v>
      </c>
      <c r="R17" s="14">
        <v>0.01</v>
      </c>
      <c r="S17" s="14">
        <v>7.0000000000000007E-2</v>
      </c>
      <c r="T17" s="14">
        <v>0.05</v>
      </c>
      <c r="U17" s="14">
        <v>0.02</v>
      </c>
      <c r="V17" s="14">
        <v>0.06</v>
      </c>
      <c r="W17" s="14">
        <v>0.03</v>
      </c>
      <c r="X17" s="14">
        <v>0.05</v>
      </c>
      <c r="Y17" s="14">
        <v>0.04</v>
      </c>
      <c r="Z17" s="14">
        <v>0.01</v>
      </c>
      <c r="AA17" s="14">
        <v>0.01</v>
      </c>
      <c r="AB17" s="14">
        <v>0.03</v>
      </c>
      <c r="AC17" s="14">
        <v>7.0000000000000007E-2</v>
      </c>
      <c r="AD17" s="14">
        <v>0.03</v>
      </c>
      <c r="AE17" s="14">
        <v>0.05</v>
      </c>
      <c r="AF17" s="14">
        <v>0.09</v>
      </c>
    </row>
    <row r="18" spans="1:32">
      <c r="A18" s="19"/>
      <c r="B18" s="11" t="s">
        <v>580</v>
      </c>
      <c r="C18" s="12">
        <v>1341</v>
      </c>
      <c r="D18" s="12">
        <v>62</v>
      </c>
      <c r="E18" s="12">
        <v>92</v>
      </c>
      <c r="F18" s="12">
        <v>102</v>
      </c>
      <c r="G18" s="12">
        <v>110</v>
      </c>
      <c r="H18" s="12">
        <v>87</v>
      </c>
      <c r="I18" s="12">
        <v>105</v>
      </c>
      <c r="J18" s="12">
        <v>18</v>
      </c>
      <c r="K18" s="12">
        <v>97</v>
      </c>
      <c r="L18" s="12">
        <v>32</v>
      </c>
      <c r="M18" s="12">
        <v>52</v>
      </c>
      <c r="N18" s="12">
        <v>21</v>
      </c>
      <c r="O18" s="12">
        <v>39</v>
      </c>
      <c r="P18" s="12">
        <v>66</v>
      </c>
      <c r="Q18" s="12">
        <v>35</v>
      </c>
      <c r="R18" s="12">
        <v>20</v>
      </c>
      <c r="S18" s="12">
        <v>71</v>
      </c>
      <c r="T18" s="12">
        <v>89</v>
      </c>
      <c r="U18" s="12">
        <v>27</v>
      </c>
      <c r="V18" s="12">
        <v>100</v>
      </c>
      <c r="W18" s="12">
        <v>23</v>
      </c>
      <c r="X18" s="12">
        <v>63</v>
      </c>
      <c r="Y18" s="12">
        <v>68</v>
      </c>
      <c r="Z18" s="12">
        <v>35</v>
      </c>
      <c r="AA18" s="12">
        <v>25</v>
      </c>
      <c r="AB18" s="12">
        <v>39</v>
      </c>
      <c r="AC18" s="12">
        <v>76</v>
      </c>
      <c r="AD18" s="12">
        <v>52</v>
      </c>
      <c r="AE18" s="12">
        <v>88</v>
      </c>
      <c r="AF18" s="12">
        <v>103</v>
      </c>
    </row>
    <row r="19" spans="1:32">
      <c r="A19" s="19"/>
      <c r="B19" s="13" t="s">
        <v>580</v>
      </c>
      <c r="C19" s="14">
        <v>0.05</v>
      </c>
      <c r="D19" s="14">
        <v>0.06</v>
      </c>
      <c r="E19" s="14">
        <v>0.09</v>
      </c>
      <c r="F19" s="14">
        <v>0.1</v>
      </c>
      <c r="G19" s="14">
        <v>0.11</v>
      </c>
      <c r="H19" s="14">
        <v>7.0000000000000007E-2</v>
      </c>
      <c r="I19" s="14">
        <v>7.0000000000000007E-2</v>
      </c>
      <c r="J19" s="14">
        <v>0.06</v>
      </c>
      <c r="K19" s="14">
        <v>0.1</v>
      </c>
      <c r="L19" s="14">
        <v>0.03</v>
      </c>
      <c r="M19" s="14">
        <v>0.05</v>
      </c>
      <c r="N19" s="14">
        <v>0.02</v>
      </c>
      <c r="O19" s="14">
        <v>0.04</v>
      </c>
      <c r="P19" s="14">
        <v>7.0000000000000007E-2</v>
      </c>
      <c r="Q19" s="14">
        <v>0.03</v>
      </c>
      <c r="R19" s="14">
        <v>0.04</v>
      </c>
      <c r="S19" s="14">
        <v>7.0000000000000007E-2</v>
      </c>
      <c r="T19" s="14">
        <v>0.09</v>
      </c>
      <c r="U19" s="14">
        <v>0.05</v>
      </c>
      <c r="V19" s="14">
        <v>0.1</v>
      </c>
      <c r="W19" s="14">
        <v>0.04</v>
      </c>
      <c r="X19" s="14">
        <v>0.06</v>
      </c>
      <c r="Y19" s="14">
        <v>7.0000000000000007E-2</v>
      </c>
      <c r="Z19" s="14">
        <v>0.03</v>
      </c>
      <c r="AA19" s="14">
        <v>0.03</v>
      </c>
      <c r="AB19" s="14">
        <v>0.04</v>
      </c>
      <c r="AC19" s="14">
        <v>0.08</v>
      </c>
      <c r="AD19" s="14">
        <v>0.05</v>
      </c>
      <c r="AE19" s="14">
        <v>0.09</v>
      </c>
      <c r="AF19" s="14">
        <v>0.1</v>
      </c>
    </row>
    <row r="20" spans="1:32">
      <c r="A20" s="19"/>
      <c r="B20" s="11" t="s">
        <v>581</v>
      </c>
      <c r="C20" s="12">
        <v>3047</v>
      </c>
      <c r="D20" s="12">
        <v>106</v>
      </c>
      <c r="E20" s="12">
        <v>132</v>
      </c>
      <c r="F20" s="12">
        <v>173</v>
      </c>
      <c r="G20" s="12">
        <v>199</v>
      </c>
      <c r="H20" s="12">
        <v>174</v>
      </c>
      <c r="I20" s="12">
        <v>206</v>
      </c>
      <c r="J20" s="12">
        <v>32</v>
      </c>
      <c r="K20" s="12">
        <v>175</v>
      </c>
      <c r="L20" s="12">
        <v>91</v>
      </c>
      <c r="M20" s="12">
        <v>72</v>
      </c>
      <c r="N20" s="12">
        <v>66</v>
      </c>
      <c r="O20" s="12">
        <v>155</v>
      </c>
      <c r="P20" s="12">
        <v>98</v>
      </c>
      <c r="Q20" s="12">
        <v>50</v>
      </c>
      <c r="R20" s="12">
        <v>59</v>
      </c>
      <c r="S20" s="12">
        <v>180</v>
      </c>
      <c r="T20" s="12">
        <v>208</v>
      </c>
      <c r="U20" s="12">
        <v>50</v>
      </c>
      <c r="V20" s="12">
        <v>126</v>
      </c>
      <c r="W20" s="12">
        <v>55</v>
      </c>
      <c r="X20" s="12">
        <v>134</v>
      </c>
      <c r="Y20" s="12">
        <v>154</v>
      </c>
      <c r="Z20" s="12">
        <v>85</v>
      </c>
      <c r="AA20" s="12">
        <v>196</v>
      </c>
      <c r="AB20" s="12">
        <v>131</v>
      </c>
      <c r="AC20" s="12">
        <v>163</v>
      </c>
      <c r="AD20" s="12">
        <v>147</v>
      </c>
      <c r="AE20" s="12">
        <v>115</v>
      </c>
      <c r="AF20" s="12">
        <v>177</v>
      </c>
    </row>
    <row r="21" spans="1:32">
      <c r="A21" s="19"/>
      <c r="B21" s="13" t="s">
        <v>581</v>
      </c>
      <c r="C21" s="14">
        <v>0.12</v>
      </c>
      <c r="D21" s="14">
        <v>0.1</v>
      </c>
      <c r="E21" s="14">
        <v>0.13</v>
      </c>
      <c r="F21" s="14">
        <v>0.16</v>
      </c>
      <c r="G21" s="14">
        <v>0.2</v>
      </c>
      <c r="H21" s="14">
        <v>0.14000000000000001</v>
      </c>
      <c r="I21" s="14">
        <v>0.13</v>
      </c>
      <c r="J21" s="14">
        <v>0.11</v>
      </c>
      <c r="K21" s="14">
        <v>0.17</v>
      </c>
      <c r="L21" s="14">
        <v>0.09</v>
      </c>
      <c r="M21" s="14">
        <v>7.0000000000000007E-2</v>
      </c>
      <c r="N21" s="14">
        <v>7.0000000000000007E-2</v>
      </c>
      <c r="O21" s="14">
        <v>0.15</v>
      </c>
      <c r="P21" s="14">
        <v>0.1</v>
      </c>
      <c r="Q21" s="14">
        <v>0.05</v>
      </c>
      <c r="R21" s="14">
        <v>0.12</v>
      </c>
      <c r="S21" s="14">
        <v>0.18</v>
      </c>
      <c r="T21" s="14">
        <v>0.2</v>
      </c>
      <c r="U21" s="14">
        <v>0.1</v>
      </c>
      <c r="V21" s="14">
        <v>0.12</v>
      </c>
      <c r="W21" s="14">
        <v>0.11</v>
      </c>
      <c r="X21" s="14">
        <v>0.13</v>
      </c>
      <c r="Y21" s="14">
        <v>0.15</v>
      </c>
      <c r="Z21" s="14">
        <v>0.08</v>
      </c>
      <c r="AA21" s="14">
        <v>0.19</v>
      </c>
      <c r="AB21" s="14">
        <v>0.13</v>
      </c>
      <c r="AC21" s="14">
        <v>0.16</v>
      </c>
      <c r="AD21" s="14">
        <v>0.15</v>
      </c>
      <c r="AE21" s="14">
        <v>0.12</v>
      </c>
      <c r="AF21" s="14">
        <v>0.17</v>
      </c>
    </row>
    <row r="22" spans="1:32">
      <c r="A22" s="19"/>
      <c r="B22" s="11" t="s">
        <v>582</v>
      </c>
      <c r="C22" s="12">
        <v>3346</v>
      </c>
      <c r="D22" s="12">
        <v>148</v>
      </c>
      <c r="E22" s="12">
        <v>137</v>
      </c>
      <c r="F22" s="12">
        <v>133</v>
      </c>
      <c r="G22" s="12">
        <v>117</v>
      </c>
      <c r="H22" s="12">
        <v>179</v>
      </c>
      <c r="I22" s="12">
        <v>219</v>
      </c>
      <c r="J22" s="12">
        <v>40</v>
      </c>
      <c r="K22" s="12">
        <v>117</v>
      </c>
      <c r="L22" s="12">
        <v>83</v>
      </c>
      <c r="M22" s="12">
        <v>109</v>
      </c>
      <c r="N22" s="12">
        <v>97</v>
      </c>
      <c r="O22" s="12">
        <v>142</v>
      </c>
      <c r="P22" s="12">
        <v>126</v>
      </c>
      <c r="Q22" s="12">
        <v>94</v>
      </c>
      <c r="R22" s="12">
        <v>41</v>
      </c>
      <c r="S22" s="12">
        <v>108</v>
      </c>
      <c r="T22" s="12">
        <v>132</v>
      </c>
      <c r="U22" s="12">
        <v>81</v>
      </c>
      <c r="V22" s="12">
        <v>165</v>
      </c>
      <c r="W22" s="12">
        <v>63</v>
      </c>
      <c r="X22" s="12">
        <v>172</v>
      </c>
      <c r="Y22" s="12">
        <v>126</v>
      </c>
      <c r="Z22" s="12">
        <v>138</v>
      </c>
      <c r="AA22" s="12">
        <v>101</v>
      </c>
      <c r="AB22" s="12">
        <v>144</v>
      </c>
      <c r="AC22" s="12">
        <v>110</v>
      </c>
      <c r="AD22" s="12">
        <v>135</v>
      </c>
      <c r="AE22" s="12">
        <v>150</v>
      </c>
      <c r="AF22" s="12">
        <v>131</v>
      </c>
    </row>
    <row r="23" spans="1:32">
      <c r="A23" s="19"/>
      <c r="B23" s="13" t="s">
        <v>582</v>
      </c>
      <c r="C23" s="14">
        <v>0.13</v>
      </c>
      <c r="D23" s="14">
        <v>0.15</v>
      </c>
      <c r="E23" s="14">
        <v>0.13</v>
      </c>
      <c r="F23" s="14">
        <v>0.13</v>
      </c>
      <c r="G23" s="14">
        <v>0.11</v>
      </c>
      <c r="H23" s="14">
        <v>0.14000000000000001</v>
      </c>
      <c r="I23" s="14">
        <v>0.14000000000000001</v>
      </c>
      <c r="J23" s="14">
        <v>0.14000000000000001</v>
      </c>
      <c r="K23" s="14">
        <v>0.12</v>
      </c>
      <c r="L23" s="14">
        <v>0.08</v>
      </c>
      <c r="M23" s="14">
        <v>0.11</v>
      </c>
      <c r="N23" s="14">
        <v>0.1</v>
      </c>
      <c r="O23" s="14">
        <v>0.14000000000000001</v>
      </c>
      <c r="P23" s="14">
        <v>0.12</v>
      </c>
      <c r="Q23" s="14">
        <v>0.09</v>
      </c>
      <c r="R23" s="14">
        <v>0.08</v>
      </c>
      <c r="S23" s="14">
        <v>0.11</v>
      </c>
      <c r="T23" s="14">
        <v>0.13</v>
      </c>
      <c r="U23" s="14">
        <v>0.16</v>
      </c>
      <c r="V23" s="14">
        <v>0.16</v>
      </c>
      <c r="W23" s="14">
        <v>0.13</v>
      </c>
      <c r="X23" s="14">
        <v>0.17</v>
      </c>
      <c r="Y23" s="14">
        <v>0.13</v>
      </c>
      <c r="Z23" s="14">
        <v>0.14000000000000001</v>
      </c>
      <c r="AA23" s="14">
        <v>0.1</v>
      </c>
      <c r="AB23" s="14">
        <v>0.14000000000000001</v>
      </c>
      <c r="AC23" s="14">
        <v>0.11</v>
      </c>
      <c r="AD23" s="14">
        <v>0.14000000000000001</v>
      </c>
      <c r="AE23" s="14">
        <v>0.15</v>
      </c>
      <c r="AF23" s="14">
        <v>0.13</v>
      </c>
    </row>
    <row r="24" spans="1:32">
      <c r="A24" s="19"/>
      <c r="B24" s="11" t="s">
        <v>583</v>
      </c>
      <c r="C24" s="12">
        <v>4892</v>
      </c>
      <c r="D24" s="12">
        <v>252</v>
      </c>
      <c r="E24" s="12">
        <v>137</v>
      </c>
      <c r="F24" s="12">
        <v>158</v>
      </c>
      <c r="G24" s="12">
        <v>164</v>
      </c>
      <c r="H24" s="12">
        <v>207</v>
      </c>
      <c r="I24" s="12">
        <v>254</v>
      </c>
      <c r="J24" s="12">
        <v>47</v>
      </c>
      <c r="K24" s="12">
        <v>135</v>
      </c>
      <c r="L24" s="12">
        <v>181</v>
      </c>
      <c r="M24" s="12">
        <v>214</v>
      </c>
      <c r="N24" s="12">
        <v>174</v>
      </c>
      <c r="O24" s="12">
        <v>218</v>
      </c>
      <c r="P24" s="12">
        <v>151</v>
      </c>
      <c r="Q24" s="12">
        <v>183</v>
      </c>
      <c r="R24" s="12">
        <v>94</v>
      </c>
      <c r="S24" s="12">
        <v>136</v>
      </c>
      <c r="T24" s="12">
        <v>129</v>
      </c>
      <c r="U24" s="12">
        <v>118</v>
      </c>
      <c r="V24" s="12">
        <v>197</v>
      </c>
      <c r="W24" s="12">
        <v>84</v>
      </c>
      <c r="X24" s="12">
        <v>256</v>
      </c>
      <c r="Y24" s="12">
        <v>141</v>
      </c>
      <c r="Z24" s="12">
        <v>188</v>
      </c>
      <c r="AA24" s="12">
        <v>138</v>
      </c>
      <c r="AB24" s="12">
        <v>200</v>
      </c>
      <c r="AC24" s="12">
        <v>160</v>
      </c>
      <c r="AD24" s="12">
        <v>248</v>
      </c>
      <c r="AE24" s="12">
        <v>198</v>
      </c>
      <c r="AF24" s="12">
        <v>191</v>
      </c>
    </row>
    <row r="25" spans="1:32">
      <c r="A25" s="19"/>
      <c r="B25" s="13" t="s">
        <v>583</v>
      </c>
      <c r="C25" s="14">
        <v>0.19</v>
      </c>
      <c r="D25" s="14">
        <v>0.25</v>
      </c>
      <c r="E25" s="14">
        <v>0.13</v>
      </c>
      <c r="F25" s="14">
        <v>0.15</v>
      </c>
      <c r="G25" s="14">
        <v>0.16</v>
      </c>
      <c r="H25" s="14">
        <v>0.17</v>
      </c>
      <c r="I25" s="14">
        <v>0.17</v>
      </c>
      <c r="J25" s="14">
        <v>0.16</v>
      </c>
      <c r="K25" s="14">
        <v>0.14000000000000001</v>
      </c>
      <c r="L25" s="14">
        <v>0.18</v>
      </c>
      <c r="M25" s="14">
        <v>0.21</v>
      </c>
      <c r="N25" s="14">
        <v>0.17</v>
      </c>
      <c r="O25" s="14">
        <v>0.22</v>
      </c>
      <c r="P25" s="14">
        <v>0.15</v>
      </c>
      <c r="Q25" s="14">
        <v>0.18</v>
      </c>
      <c r="R25" s="14">
        <v>0.19</v>
      </c>
      <c r="S25" s="14">
        <v>0.14000000000000001</v>
      </c>
      <c r="T25" s="14">
        <v>0.12</v>
      </c>
      <c r="U25" s="14">
        <v>0.23</v>
      </c>
      <c r="V25" s="14">
        <v>0.19</v>
      </c>
      <c r="W25" s="14">
        <v>0.17</v>
      </c>
      <c r="X25" s="14">
        <v>0.25</v>
      </c>
      <c r="Y25" s="14">
        <v>0.14000000000000001</v>
      </c>
      <c r="Z25" s="14">
        <v>0.19</v>
      </c>
      <c r="AA25" s="14">
        <v>0.13</v>
      </c>
      <c r="AB25" s="14">
        <v>0.19</v>
      </c>
      <c r="AC25" s="14">
        <v>0.16</v>
      </c>
      <c r="AD25" s="14">
        <v>0.25</v>
      </c>
      <c r="AE25" s="14">
        <v>0.2</v>
      </c>
      <c r="AF25" s="14">
        <v>0.19</v>
      </c>
    </row>
    <row r="26" spans="1:32">
      <c r="A26" s="19"/>
      <c r="B26" s="11" t="s">
        <v>584</v>
      </c>
      <c r="C26" s="12">
        <v>5513</v>
      </c>
      <c r="D26" s="12">
        <v>211</v>
      </c>
      <c r="E26" s="12">
        <v>148</v>
      </c>
      <c r="F26" s="12">
        <v>166</v>
      </c>
      <c r="G26" s="12">
        <v>131</v>
      </c>
      <c r="H26" s="12">
        <v>204</v>
      </c>
      <c r="I26" s="12">
        <v>265</v>
      </c>
      <c r="J26" s="12">
        <v>61</v>
      </c>
      <c r="K26" s="12">
        <v>113</v>
      </c>
      <c r="L26" s="12">
        <v>215</v>
      </c>
      <c r="M26" s="12">
        <v>298</v>
      </c>
      <c r="N26" s="12">
        <v>235</v>
      </c>
      <c r="O26" s="12">
        <v>208</v>
      </c>
      <c r="P26" s="12">
        <v>208</v>
      </c>
      <c r="Q26" s="12">
        <v>267</v>
      </c>
      <c r="R26" s="12">
        <v>120</v>
      </c>
      <c r="S26" s="12">
        <v>135</v>
      </c>
      <c r="T26" s="12">
        <v>119</v>
      </c>
      <c r="U26" s="12">
        <v>79</v>
      </c>
      <c r="V26" s="12">
        <v>165</v>
      </c>
      <c r="W26" s="12">
        <v>92</v>
      </c>
      <c r="X26" s="12">
        <v>197</v>
      </c>
      <c r="Y26" s="12">
        <v>175</v>
      </c>
      <c r="Z26" s="12">
        <v>274</v>
      </c>
      <c r="AA26" s="12">
        <v>168</v>
      </c>
      <c r="AB26" s="12">
        <v>234</v>
      </c>
      <c r="AC26" s="12">
        <v>140</v>
      </c>
      <c r="AD26" s="12">
        <v>183</v>
      </c>
      <c r="AE26" s="12">
        <v>192</v>
      </c>
      <c r="AF26" s="12">
        <v>127</v>
      </c>
    </row>
    <row r="27" spans="1:32">
      <c r="A27" s="19"/>
      <c r="B27" s="13" t="s">
        <v>584</v>
      </c>
      <c r="C27" s="14">
        <v>0.21</v>
      </c>
      <c r="D27" s="14">
        <v>0.21</v>
      </c>
      <c r="E27" s="14">
        <v>0.14000000000000001</v>
      </c>
      <c r="F27" s="14">
        <v>0.16</v>
      </c>
      <c r="G27" s="14">
        <v>0.13</v>
      </c>
      <c r="H27" s="14">
        <v>0.17</v>
      </c>
      <c r="I27" s="14">
        <v>0.17</v>
      </c>
      <c r="J27" s="14">
        <v>0.2</v>
      </c>
      <c r="K27" s="14">
        <v>0.11</v>
      </c>
      <c r="L27" s="14">
        <v>0.21</v>
      </c>
      <c r="M27" s="14">
        <v>0.3</v>
      </c>
      <c r="N27" s="14">
        <v>0.23</v>
      </c>
      <c r="O27" s="14">
        <v>0.21</v>
      </c>
      <c r="P27" s="14">
        <v>0.21</v>
      </c>
      <c r="Q27" s="14">
        <v>0.26</v>
      </c>
      <c r="R27" s="14">
        <v>0.24</v>
      </c>
      <c r="S27" s="14">
        <v>0.13</v>
      </c>
      <c r="T27" s="14">
        <v>0.12</v>
      </c>
      <c r="U27" s="14">
        <v>0.16</v>
      </c>
      <c r="V27" s="14">
        <v>0.16</v>
      </c>
      <c r="W27" s="14">
        <v>0.18</v>
      </c>
      <c r="X27" s="14">
        <v>0.2</v>
      </c>
      <c r="Y27" s="14">
        <v>0.18</v>
      </c>
      <c r="Z27" s="14">
        <v>0.27</v>
      </c>
      <c r="AA27" s="14">
        <v>0.16</v>
      </c>
      <c r="AB27" s="14">
        <v>0.23</v>
      </c>
      <c r="AC27" s="14">
        <v>0.14000000000000001</v>
      </c>
      <c r="AD27" s="14">
        <v>0.18</v>
      </c>
      <c r="AE27" s="14">
        <v>0.19</v>
      </c>
      <c r="AF27" s="14">
        <v>0.12</v>
      </c>
    </row>
    <row r="28" spans="1:32">
      <c r="A28" s="19"/>
      <c r="B28" s="11" t="s">
        <v>585</v>
      </c>
      <c r="C28" s="12">
        <v>2686</v>
      </c>
      <c r="D28" s="12">
        <v>95</v>
      </c>
      <c r="E28" s="12">
        <v>70</v>
      </c>
      <c r="F28" s="12">
        <v>80</v>
      </c>
      <c r="G28" s="12">
        <v>47</v>
      </c>
      <c r="H28" s="12">
        <v>70</v>
      </c>
      <c r="I28" s="12">
        <v>101</v>
      </c>
      <c r="J28" s="12">
        <v>31</v>
      </c>
      <c r="K28" s="12">
        <v>74</v>
      </c>
      <c r="L28" s="12">
        <v>101</v>
      </c>
      <c r="M28" s="12">
        <v>140</v>
      </c>
      <c r="N28" s="12">
        <v>146</v>
      </c>
      <c r="O28" s="12">
        <v>69</v>
      </c>
      <c r="P28" s="12">
        <v>101</v>
      </c>
      <c r="Q28" s="12">
        <v>172</v>
      </c>
      <c r="R28" s="12">
        <v>58</v>
      </c>
      <c r="S28" s="12">
        <v>84</v>
      </c>
      <c r="T28" s="12">
        <v>68</v>
      </c>
      <c r="U28" s="12">
        <v>47</v>
      </c>
      <c r="V28" s="12">
        <v>75</v>
      </c>
      <c r="W28" s="12">
        <v>60</v>
      </c>
      <c r="X28" s="12">
        <v>70</v>
      </c>
      <c r="Y28" s="12">
        <v>115</v>
      </c>
      <c r="Z28" s="12">
        <v>130</v>
      </c>
      <c r="AA28" s="12">
        <v>164</v>
      </c>
      <c r="AB28" s="12">
        <v>104</v>
      </c>
      <c r="AC28" s="12">
        <v>33</v>
      </c>
      <c r="AD28" s="12">
        <v>74</v>
      </c>
      <c r="AE28" s="12">
        <v>79</v>
      </c>
      <c r="AF28" s="12">
        <v>51</v>
      </c>
    </row>
    <row r="29" spans="1:32">
      <c r="A29" s="19"/>
      <c r="B29" s="13" t="s">
        <v>585</v>
      </c>
      <c r="C29" s="14">
        <v>0.1</v>
      </c>
      <c r="D29" s="14">
        <v>0.09</v>
      </c>
      <c r="E29" s="14">
        <v>7.0000000000000007E-2</v>
      </c>
      <c r="F29" s="14">
        <v>0.08</v>
      </c>
      <c r="G29" s="14">
        <v>0.05</v>
      </c>
      <c r="H29" s="14">
        <v>0.06</v>
      </c>
      <c r="I29" s="14">
        <v>7.0000000000000007E-2</v>
      </c>
      <c r="J29" s="14">
        <v>0.1</v>
      </c>
      <c r="K29" s="14">
        <v>7.0000000000000007E-2</v>
      </c>
      <c r="L29" s="14">
        <v>0.1</v>
      </c>
      <c r="M29" s="14">
        <v>0.14000000000000001</v>
      </c>
      <c r="N29" s="14">
        <v>0.14000000000000001</v>
      </c>
      <c r="O29" s="14">
        <v>7.0000000000000007E-2</v>
      </c>
      <c r="P29" s="14">
        <v>0.1</v>
      </c>
      <c r="Q29" s="14">
        <v>0.17</v>
      </c>
      <c r="R29" s="14">
        <v>0.11</v>
      </c>
      <c r="S29" s="14">
        <v>0.08</v>
      </c>
      <c r="T29" s="14">
        <v>7.0000000000000007E-2</v>
      </c>
      <c r="U29" s="14">
        <v>0.09</v>
      </c>
      <c r="V29" s="14">
        <v>7.0000000000000007E-2</v>
      </c>
      <c r="W29" s="14">
        <v>0.12</v>
      </c>
      <c r="X29" s="14">
        <v>7.0000000000000007E-2</v>
      </c>
      <c r="Y29" s="14">
        <v>0.11</v>
      </c>
      <c r="Z29" s="14">
        <v>0.13</v>
      </c>
      <c r="AA29" s="14">
        <v>0.16</v>
      </c>
      <c r="AB29" s="14">
        <v>0.1</v>
      </c>
      <c r="AC29" s="14">
        <v>0.03</v>
      </c>
      <c r="AD29" s="14">
        <v>7.0000000000000007E-2</v>
      </c>
      <c r="AE29" s="14">
        <v>0.08</v>
      </c>
      <c r="AF29" s="14">
        <v>0.05</v>
      </c>
    </row>
    <row r="30" spans="1:32">
      <c r="A30" s="19"/>
      <c r="B30" s="11" t="s">
        <v>586</v>
      </c>
      <c r="C30" s="12">
        <v>3281</v>
      </c>
      <c r="D30" s="12">
        <v>81</v>
      </c>
      <c r="E30" s="12">
        <v>141</v>
      </c>
      <c r="F30" s="12">
        <v>89</v>
      </c>
      <c r="G30" s="12">
        <v>36</v>
      </c>
      <c r="H30" s="12">
        <v>131</v>
      </c>
      <c r="I30" s="12">
        <v>177</v>
      </c>
      <c r="J30" s="12">
        <v>46</v>
      </c>
      <c r="K30" s="12">
        <v>122</v>
      </c>
      <c r="L30" s="12">
        <v>195</v>
      </c>
      <c r="M30" s="12">
        <v>60</v>
      </c>
      <c r="N30" s="12">
        <v>210</v>
      </c>
      <c r="O30" s="12">
        <v>90</v>
      </c>
      <c r="P30" s="12">
        <v>190</v>
      </c>
      <c r="Q30" s="12">
        <v>175</v>
      </c>
      <c r="R30" s="12">
        <v>79</v>
      </c>
      <c r="S30" s="12">
        <v>89</v>
      </c>
      <c r="T30" s="12">
        <v>85</v>
      </c>
      <c r="U30" s="12">
        <v>84</v>
      </c>
      <c r="V30" s="12">
        <v>102</v>
      </c>
      <c r="W30" s="12">
        <v>83</v>
      </c>
      <c r="X30" s="12">
        <v>41</v>
      </c>
      <c r="Y30" s="12">
        <v>126</v>
      </c>
      <c r="Z30" s="12">
        <v>146</v>
      </c>
      <c r="AA30" s="12">
        <v>200</v>
      </c>
      <c r="AB30" s="12">
        <v>84</v>
      </c>
      <c r="AC30" s="12">
        <v>142</v>
      </c>
      <c r="AD30" s="12">
        <v>53</v>
      </c>
      <c r="AE30" s="12">
        <v>54</v>
      </c>
      <c r="AF30" s="12">
        <v>73</v>
      </c>
    </row>
    <row r="31" spans="1:32">
      <c r="A31" s="19"/>
      <c r="B31" s="13" t="s">
        <v>587</v>
      </c>
      <c r="C31" s="14">
        <v>0.12</v>
      </c>
      <c r="D31" s="14">
        <v>0.08</v>
      </c>
      <c r="E31" s="14">
        <v>0.13</v>
      </c>
      <c r="F31" s="14">
        <v>0.08</v>
      </c>
      <c r="G31" s="14">
        <v>0.04</v>
      </c>
      <c r="H31" s="14">
        <v>0.11</v>
      </c>
      <c r="I31" s="14">
        <v>0.12</v>
      </c>
      <c r="J31" s="14">
        <v>0.15</v>
      </c>
      <c r="K31" s="14">
        <v>0.12</v>
      </c>
      <c r="L31" s="14">
        <v>0.2</v>
      </c>
      <c r="M31" s="14">
        <v>0.06</v>
      </c>
      <c r="N31" s="14">
        <v>0.21</v>
      </c>
      <c r="O31" s="14">
        <v>0.09</v>
      </c>
      <c r="P31" s="14">
        <v>0.19</v>
      </c>
      <c r="Q31" s="14">
        <v>0.17</v>
      </c>
      <c r="R31" s="14">
        <v>0.16</v>
      </c>
      <c r="S31" s="14">
        <v>0.09</v>
      </c>
      <c r="T31" s="14">
        <v>0.08</v>
      </c>
      <c r="U31" s="14">
        <v>0.17</v>
      </c>
      <c r="V31" s="14">
        <v>0.1</v>
      </c>
      <c r="W31" s="14">
        <v>0.16</v>
      </c>
      <c r="X31" s="14">
        <v>0.04</v>
      </c>
      <c r="Y31" s="14">
        <v>0.13</v>
      </c>
      <c r="Z31" s="14">
        <v>0.14000000000000001</v>
      </c>
      <c r="AA31" s="14">
        <v>0.19</v>
      </c>
      <c r="AB31" s="14">
        <v>0.08</v>
      </c>
      <c r="AC31" s="14">
        <v>0.14000000000000001</v>
      </c>
      <c r="AD31" s="14">
        <v>0.05</v>
      </c>
      <c r="AE31" s="14">
        <v>0.05</v>
      </c>
      <c r="AF31" s="14">
        <v>7.0000000000000007E-2</v>
      </c>
    </row>
    <row r="32" spans="1:32">
      <c r="A32" s="19"/>
      <c r="B32" s="11" t="s">
        <v>386</v>
      </c>
      <c r="C32" s="12">
        <v>320</v>
      </c>
      <c r="D32" s="12">
        <v>5</v>
      </c>
      <c r="E32" s="12">
        <v>33</v>
      </c>
      <c r="F32" s="12">
        <v>5</v>
      </c>
      <c r="G32" s="12">
        <v>22</v>
      </c>
      <c r="H32" s="12">
        <v>8</v>
      </c>
      <c r="I32" s="12">
        <v>9</v>
      </c>
      <c r="J32" s="12">
        <v>1</v>
      </c>
      <c r="K32" s="12">
        <v>27</v>
      </c>
      <c r="L32" s="12">
        <v>12</v>
      </c>
      <c r="M32" s="12">
        <v>14</v>
      </c>
      <c r="N32" s="12">
        <v>23</v>
      </c>
      <c r="O32" s="12">
        <v>16</v>
      </c>
      <c r="P32" s="12">
        <v>9</v>
      </c>
      <c r="Q32" s="12">
        <v>6</v>
      </c>
      <c r="R32" s="12">
        <v>10</v>
      </c>
      <c r="S32" s="12">
        <v>26</v>
      </c>
      <c r="T32" s="12">
        <v>44</v>
      </c>
      <c r="U32" s="12">
        <v>4</v>
      </c>
      <c r="V32" s="12">
        <v>9</v>
      </c>
      <c r="W32" s="12">
        <v>6</v>
      </c>
      <c r="X32" s="12">
        <v>7</v>
      </c>
      <c r="Y32" s="12">
        <v>2</v>
      </c>
      <c r="Z32" s="12">
        <v>7</v>
      </c>
      <c r="AA32" s="12">
        <v>30</v>
      </c>
      <c r="AB32" s="12">
        <v>32</v>
      </c>
      <c r="AC32" s="12">
        <v>8</v>
      </c>
      <c r="AD32" s="12">
        <v>3</v>
      </c>
      <c r="AE32" s="12">
        <v>13</v>
      </c>
      <c r="AF32" s="12">
        <v>2</v>
      </c>
    </row>
    <row r="33" spans="1:32">
      <c r="A33" s="19"/>
      <c r="B33" s="13" t="s">
        <v>399</v>
      </c>
      <c r="C33" s="14">
        <v>0.01</v>
      </c>
      <c r="D33" s="15" t="s">
        <v>375</v>
      </c>
      <c r="E33" s="14">
        <v>0.03</v>
      </c>
      <c r="F33" s="15" t="s">
        <v>375</v>
      </c>
      <c r="G33" s="14">
        <v>0.02</v>
      </c>
      <c r="H33" s="14">
        <v>0.01</v>
      </c>
      <c r="I33" s="14">
        <v>0.01</v>
      </c>
      <c r="J33" s="15" t="s">
        <v>375</v>
      </c>
      <c r="K33" s="14">
        <v>0.03</v>
      </c>
      <c r="L33" s="14">
        <v>0.01</v>
      </c>
      <c r="M33" s="14">
        <v>0.01</v>
      </c>
      <c r="N33" s="14">
        <v>0.02</v>
      </c>
      <c r="O33" s="14">
        <v>0.02</v>
      </c>
      <c r="P33" s="14">
        <v>0.01</v>
      </c>
      <c r="Q33" s="15" t="s">
        <v>375</v>
      </c>
      <c r="R33" s="14">
        <v>0.02</v>
      </c>
      <c r="S33" s="14">
        <v>0.03</v>
      </c>
      <c r="T33" s="14">
        <v>0.04</v>
      </c>
      <c r="U33" s="14">
        <v>0.01</v>
      </c>
      <c r="V33" s="14">
        <v>0.01</v>
      </c>
      <c r="W33" s="14">
        <v>0.01</v>
      </c>
      <c r="X33" s="14">
        <v>0.01</v>
      </c>
      <c r="Y33" s="15" t="s">
        <v>375</v>
      </c>
      <c r="Z33" s="14">
        <v>0.01</v>
      </c>
      <c r="AA33" s="14">
        <v>0.03</v>
      </c>
      <c r="AB33" s="14">
        <v>0.03</v>
      </c>
      <c r="AC33" s="14">
        <v>0.01</v>
      </c>
      <c r="AD33" s="15" t="s">
        <v>375</v>
      </c>
      <c r="AE33" s="14">
        <v>0.01</v>
      </c>
      <c r="AF33" s="15" t="s">
        <v>375</v>
      </c>
    </row>
    <row r="34" spans="1:32">
      <c r="A34" s="19"/>
      <c r="B34" s="11" t="s">
        <v>588</v>
      </c>
      <c r="C34" s="12">
        <v>3368</v>
      </c>
      <c r="D34" s="12">
        <v>122</v>
      </c>
      <c r="E34" s="12">
        <v>247</v>
      </c>
      <c r="F34" s="12">
        <v>260</v>
      </c>
      <c r="G34" s="12">
        <v>298</v>
      </c>
      <c r="H34" s="12">
        <v>256</v>
      </c>
      <c r="I34" s="12">
        <v>296</v>
      </c>
      <c r="J34" s="12">
        <v>40</v>
      </c>
      <c r="K34" s="12">
        <v>242</v>
      </c>
      <c r="L34" s="12">
        <v>128</v>
      </c>
      <c r="M34" s="12">
        <v>100</v>
      </c>
      <c r="N34" s="12">
        <v>58</v>
      </c>
      <c r="O34" s="12">
        <v>106</v>
      </c>
      <c r="P34" s="12">
        <v>120</v>
      </c>
      <c r="Q34" s="12">
        <v>83</v>
      </c>
      <c r="R34" s="12">
        <v>42</v>
      </c>
      <c r="S34" s="12">
        <v>247</v>
      </c>
      <c r="T34" s="12">
        <v>238</v>
      </c>
      <c r="U34" s="12">
        <v>45</v>
      </c>
      <c r="V34" s="12">
        <v>189</v>
      </c>
      <c r="W34" s="12">
        <v>61</v>
      </c>
      <c r="X34" s="12">
        <v>132</v>
      </c>
      <c r="Y34" s="12">
        <v>165</v>
      </c>
      <c r="Z34" s="12">
        <v>48</v>
      </c>
      <c r="AA34" s="12">
        <v>40</v>
      </c>
      <c r="AB34" s="12">
        <v>112</v>
      </c>
      <c r="AC34" s="12">
        <v>249</v>
      </c>
      <c r="AD34" s="12">
        <v>160</v>
      </c>
      <c r="AE34" s="12">
        <v>199</v>
      </c>
      <c r="AF34" s="12">
        <v>279</v>
      </c>
    </row>
    <row r="35" spans="1:32">
      <c r="A35" s="19"/>
      <c r="B35" s="13" t="s">
        <v>589</v>
      </c>
      <c r="C35" s="14">
        <v>0.12</v>
      </c>
      <c r="D35" s="14">
        <v>0.12</v>
      </c>
      <c r="E35" s="14">
        <v>0.24</v>
      </c>
      <c r="F35" s="14">
        <v>0.24</v>
      </c>
      <c r="G35" s="14">
        <v>0.28999999999999998</v>
      </c>
      <c r="H35" s="14">
        <v>0.2</v>
      </c>
      <c r="I35" s="14">
        <v>0.19</v>
      </c>
      <c r="J35" s="14">
        <v>0.14000000000000001</v>
      </c>
      <c r="K35" s="14">
        <v>0.24</v>
      </c>
      <c r="L35" s="14">
        <v>0.13</v>
      </c>
      <c r="M35" s="14">
        <v>0.1</v>
      </c>
      <c r="N35" s="14">
        <v>0.06</v>
      </c>
      <c r="O35" s="14">
        <v>0.1</v>
      </c>
      <c r="P35" s="14">
        <v>0.12</v>
      </c>
      <c r="Q35" s="14">
        <v>0.08</v>
      </c>
      <c r="R35" s="14">
        <v>0.08</v>
      </c>
      <c r="S35" s="14">
        <v>0.24</v>
      </c>
      <c r="T35" s="14">
        <v>0.24</v>
      </c>
      <c r="U35" s="14">
        <v>0.08</v>
      </c>
      <c r="V35" s="14">
        <v>0.19</v>
      </c>
      <c r="W35" s="14">
        <v>0.12</v>
      </c>
      <c r="X35" s="14">
        <v>0.13</v>
      </c>
      <c r="Y35" s="14">
        <v>0.16</v>
      </c>
      <c r="Z35" s="14">
        <v>0.04</v>
      </c>
      <c r="AA35" s="14">
        <v>0.04</v>
      </c>
      <c r="AB35" s="14">
        <v>0.1</v>
      </c>
      <c r="AC35" s="14">
        <v>0.25</v>
      </c>
      <c r="AD35" s="14">
        <v>0.16</v>
      </c>
      <c r="AE35" s="14">
        <v>0.2</v>
      </c>
      <c r="AF35" s="14">
        <v>0.27</v>
      </c>
    </row>
    <row r="36" spans="1:32">
      <c r="A36" s="19"/>
      <c r="B36" s="11" t="s">
        <v>590</v>
      </c>
      <c r="C36" s="12">
        <v>6393</v>
      </c>
      <c r="D36" s="12">
        <v>254</v>
      </c>
      <c r="E36" s="12">
        <v>269</v>
      </c>
      <c r="F36" s="12">
        <v>306</v>
      </c>
      <c r="G36" s="12">
        <v>316</v>
      </c>
      <c r="H36" s="12">
        <v>353</v>
      </c>
      <c r="I36" s="12">
        <v>425</v>
      </c>
      <c r="J36" s="12">
        <v>72</v>
      </c>
      <c r="K36" s="12">
        <v>292</v>
      </c>
      <c r="L36" s="12">
        <v>174</v>
      </c>
      <c r="M36" s="12">
        <v>181</v>
      </c>
      <c r="N36" s="12">
        <v>163</v>
      </c>
      <c r="O36" s="12">
        <v>297</v>
      </c>
      <c r="P36" s="12">
        <v>224</v>
      </c>
      <c r="Q36" s="12">
        <v>144</v>
      </c>
      <c r="R36" s="12">
        <v>100</v>
      </c>
      <c r="S36" s="12">
        <v>288</v>
      </c>
      <c r="T36" s="12">
        <v>340</v>
      </c>
      <c r="U36" s="12">
        <v>131</v>
      </c>
      <c r="V36" s="12">
        <v>291</v>
      </c>
      <c r="W36" s="12">
        <v>118</v>
      </c>
      <c r="X36" s="12">
        <v>306</v>
      </c>
      <c r="Y36" s="12">
        <v>280</v>
      </c>
      <c r="Z36" s="12">
        <v>223</v>
      </c>
      <c r="AA36" s="12">
        <v>297</v>
      </c>
      <c r="AB36" s="12">
        <v>275</v>
      </c>
      <c r="AC36" s="12">
        <v>273</v>
      </c>
      <c r="AD36" s="12">
        <v>282</v>
      </c>
      <c r="AE36" s="12">
        <v>265</v>
      </c>
      <c r="AF36" s="12">
        <v>308</v>
      </c>
    </row>
    <row r="37" spans="1:32">
      <c r="A37" s="19"/>
      <c r="B37" s="13" t="s">
        <v>591</v>
      </c>
      <c r="C37" s="14">
        <v>0.25</v>
      </c>
      <c r="D37" s="14">
        <v>0.25</v>
      </c>
      <c r="E37" s="14">
        <v>0.26</v>
      </c>
      <c r="F37" s="14">
        <v>0.28999999999999998</v>
      </c>
      <c r="G37" s="14">
        <v>0.31</v>
      </c>
      <c r="H37" s="14">
        <v>0.28000000000000003</v>
      </c>
      <c r="I37" s="14">
        <v>0.27</v>
      </c>
      <c r="J37" s="14">
        <v>0.25</v>
      </c>
      <c r="K37" s="14">
        <v>0.28999999999999998</v>
      </c>
      <c r="L37" s="14">
        <v>0.17</v>
      </c>
      <c r="M37" s="14">
        <v>0.18</v>
      </c>
      <c r="N37" s="14">
        <v>0.17</v>
      </c>
      <c r="O37" s="14">
        <v>0.28999999999999998</v>
      </c>
      <c r="P37" s="14">
        <v>0.22</v>
      </c>
      <c r="Q37" s="14">
        <v>0.14000000000000001</v>
      </c>
      <c r="R37" s="14">
        <v>0.2</v>
      </c>
      <c r="S37" s="14">
        <v>0.28999999999999998</v>
      </c>
      <c r="T37" s="14">
        <v>0.33</v>
      </c>
      <c r="U37" s="14">
        <v>0.26</v>
      </c>
      <c r="V37" s="14">
        <v>0.28000000000000003</v>
      </c>
      <c r="W37" s="14">
        <v>0.24</v>
      </c>
      <c r="X37" s="14">
        <v>0.3</v>
      </c>
      <c r="Y37" s="14">
        <v>0.28000000000000003</v>
      </c>
      <c r="Z37" s="14">
        <v>0.22</v>
      </c>
      <c r="AA37" s="14">
        <v>0.28999999999999998</v>
      </c>
      <c r="AB37" s="14">
        <v>0.27</v>
      </c>
      <c r="AC37" s="14">
        <v>0.27</v>
      </c>
      <c r="AD37" s="14">
        <v>0.28999999999999998</v>
      </c>
      <c r="AE37" s="14">
        <v>0.27</v>
      </c>
      <c r="AF37" s="14">
        <v>0.3</v>
      </c>
    </row>
    <row r="38" spans="1:32">
      <c r="A38" s="19"/>
      <c r="B38" s="11" t="s">
        <v>592</v>
      </c>
      <c r="C38" s="12">
        <v>16372</v>
      </c>
      <c r="D38" s="12">
        <v>639</v>
      </c>
      <c r="E38" s="12">
        <v>496</v>
      </c>
      <c r="F38" s="12">
        <v>493</v>
      </c>
      <c r="G38" s="12">
        <v>378</v>
      </c>
      <c r="H38" s="12">
        <v>612</v>
      </c>
      <c r="I38" s="12">
        <v>797</v>
      </c>
      <c r="J38" s="12">
        <v>185</v>
      </c>
      <c r="K38" s="12">
        <v>444</v>
      </c>
      <c r="L38" s="12">
        <v>692</v>
      </c>
      <c r="M38" s="12">
        <v>712</v>
      </c>
      <c r="N38" s="12">
        <v>765</v>
      </c>
      <c r="O38" s="12">
        <v>585</v>
      </c>
      <c r="P38" s="12">
        <v>650</v>
      </c>
      <c r="Q38" s="12">
        <v>797</v>
      </c>
      <c r="R38" s="12">
        <v>351</v>
      </c>
      <c r="S38" s="12">
        <v>444</v>
      </c>
      <c r="T38" s="12">
        <v>401</v>
      </c>
      <c r="U38" s="12">
        <v>328</v>
      </c>
      <c r="V38" s="12">
        <v>539</v>
      </c>
      <c r="W38" s="12">
        <v>319</v>
      </c>
      <c r="X38" s="12">
        <v>564</v>
      </c>
      <c r="Y38" s="12">
        <v>557</v>
      </c>
      <c r="Z38" s="12">
        <v>738</v>
      </c>
      <c r="AA38" s="12">
        <v>670</v>
      </c>
      <c r="AB38" s="12">
        <v>622</v>
      </c>
      <c r="AC38" s="12">
        <v>475</v>
      </c>
      <c r="AD38" s="12">
        <v>558</v>
      </c>
      <c r="AE38" s="12">
        <v>523</v>
      </c>
      <c r="AF38" s="12">
        <v>442</v>
      </c>
    </row>
    <row r="39" spans="1:32">
      <c r="A39" s="19"/>
      <c r="B39" s="13" t="s">
        <v>593</v>
      </c>
      <c r="C39" s="14">
        <v>0.62</v>
      </c>
      <c r="D39" s="14">
        <v>0.63</v>
      </c>
      <c r="E39" s="14">
        <v>0.47</v>
      </c>
      <c r="F39" s="14">
        <v>0.47</v>
      </c>
      <c r="G39" s="14">
        <v>0.38</v>
      </c>
      <c r="H39" s="14">
        <v>0.51</v>
      </c>
      <c r="I39" s="14">
        <v>0.53</v>
      </c>
      <c r="J39" s="14">
        <v>0.61</v>
      </c>
      <c r="K39" s="14">
        <v>0.44</v>
      </c>
      <c r="L39" s="14">
        <v>0.69000000000000006</v>
      </c>
      <c r="M39" s="14">
        <v>0.71</v>
      </c>
      <c r="N39" s="14">
        <v>0.75</v>
      </c>
      <c r="O39" s="14">
        <v>0.59</v>
      </c>
      <c r="P39" s="14">
        <v>0.65</v>
      </c>
      <c r="Q39" s="14">
        <v>0.78</v>
      </c>
      <c r="R39" s="14">
        <v>0.70000000000000007</v>
      </c>
      <c r="S39" s="14">
        <v>0.44</v>
      </c>
      <c r="T39" s="14">
        <v>0.39</v>
      </c>
      <c r="U39" s="14">
        <v>0.65</v>
      </c>
      <c r="V39" s="14">
        <v>0.52</v>
      </c>
      <c r="W39" s="14">
        <v>0.63</v>
      </c>
      <c r="X39" s="14">
        <v>0.56000000000000005</v>
      </c>
      <c r="Y39" s="14">
        <v>0.56000000000000005</v>
      </c>
      <c r="Z39" s="14">
        <v>0.73</v>
      </c>
      <c r="AA39" s="14">
        <v>0.64</v>
      </c>
      <c r="AB39" s="14">
        <v>0.6</v>
      </c>
      <c r="AC39" s="14">
        <v>0.47</v>
      </c>
      <c r="AD39" s="14">
        <v>0.55000000000000004</v>
      </c>
      <c r="AE39" s="14">
        <v>0.52</v>
      </c>
      <c r="AF39" s="14">
        <v>0.43</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610</v>
      </c>
      <c r="C3" s="17"/>
      <c r="D3" s="17"/>
      <c r="E3" s="17"/>
      <c r="F3" s="17"/>
      <c r="H3" s="17" t="s">
        <v>611</v>
      </c>
      <c r="I3" s="17"/>
      <c r="J3" s="17"/>
      <c r="K3" s="17"/>
      <c r="L3" s="17"/>
    </row>
    <row r="4" spans="1:32" ht="27" customHeight="1">
      <c r="B4" s="17" t="s">
        <v>612</v>
      </c>
      <c r="C4" s="17"/>
      <c r="D4" s="17"/>
      <c r="E4" s="17"/>
      <c r="F4" s="17"/>
      <c r="H4" s="17" t="s">
        <v>613</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HYPERLINK("#Content!A34","&lt;&lt;Back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655</v>
      </c>
      <c r="D12" s="12">
        <v>17</v>
      </c>
      <c r="E12" s="12">
        <v>54</v>
      </c>
      <c r="F12" s="12">
        <v>53</v>
      </c>
      <c r="G12" s="12">
        <v>34</v>
      </c>
      <c r="H12" s="12">
        <v>26</v>
      </c>
      <c r="I12" s="12">
        <v>39</v>
      </c>
      <c r="J12" s="12">
        <v>13</v>
      </c>
      <c r="K12" s="12">
        <v>49</v>
      </c>
      <c r="L12" s="12">
        <v>62</v>
      </c>
      <c r="M12" s="12">
        <v>14</v>
      </c>
      <c r="N12" s="12">
        <v>19</v>
      </c>
      <c r="O12" s="12">
        <v>34</v>
      </c>
      <c r="P12" s="12">
        <v>14</v>
      </c>
      <c r="Q12" s="12">
        <v>18</v>
      </c>
      <c r="R12" s="12">
        <v>8</v>
      </c>
      <c r="S12" s="12">
        <v>77</v>
      </c>
      <c r="T12" s="12">
        <v>61</v>
      </c>
      <c r="U12" s="12">
        <v>7</v>
      </c>
      <c r="V12" s="12">
        <v>18</v>
      </c>
      <c r="W12" s="12">
        <v>16</v>
      </c>
      <c r="X12" s="12">
        <v>16</v>
      </c>
      <c r="Y12" s="12">
        <v>38</v>
      </c>
      <c r="Z12" s="12">
        <v>3</v>
      </c>
      <c r="AA12" s="12">
        <v>3</v>
      </c>
      <c r="AB12" s="12">
        <v>31</v>
      </c>
      <c r="AC12" s="12">
        <v>95</v>
      </c>
      <c r="AD12" s="12">
        <v>61</v>
      </c>
      <c r="AE12" s="12">
        <v>22</v>
      </c>
      <c r="AF12" s="12">
        <v>36</v>
      </c>
    </row>
    <row r="13" spans="1:32">
      <c r="A13" s="19"/>
      <c r="B13" s="13" t="s">
        <v>577</v>
      </c>
      <c r="C13" s="14">
        <v>0.02</v>
      </c>
      <c r="D13" s="14">
        <v>0.02</v>
      </c>
      <c r="E13" s="14">
        <v>0.05</v>
      </c>
      <c r="F13" s="14">
        <v>0.05</v>
      </c>
      <c r="G13" s="14">
        <v>0.03</v>
      </c>
      <c r="H13" s="14">
        <v>0.02</v>
      </c>
      <c r="I13" s="14">
        <v>0.03</v>
      </c>
      <c r="J13" s="14">
        <v>0.05</v>
      </c>
      <c r="K13" s="14">
        <v>0.05</v>
      </c>
      <c r="L13" s="14">
        <v>0.06</v>
      </c>
      <c r="M13" s="14">
        <v>0.01</v>
      </c>
      <c r="N13" s="14">
        <v>0.02</v>
      </c>
      <c r="O13" s="14">
        <v>0.03</v>
      </c>
      <c r="P13" s="14">
        <v>0.01</v>
      </c>
      <c r="Q13" s="14">
        <v>0.02</v>
      </c>
      <c r="R13" s="14">
        <v>0.02</v>
      </c>
      <c r="S13" s="14">
        <v>0.08</v>
      </c>
      <c r="T13" s="14">
        <v>0.06</v>
      </c>
      <c r="U13" s="14">
        <v>0.01</v>
      </c>
      <c r="V13" s="14">
        <v>0.02</v>
      </c>
      <c r="W13" s="14">
        <v>0.03</v>
      </c>
      <c r="X13" s="14">
        <v>0.01</v>
      </c>
      <c r="Y13" s="14">
        <v>0.04</v>
      </c>
      <c r="Z13" s="15" t="s">
        <v>375</v>
      </c>
      <c r="AA13" s="15" t="s">
        <v>375</v>
      </c>
      <c r="AB13" s="14">
        <v>0.03</v>
      </c>
      <c r="AC13" s="14">
        <v>0.09</v>
      </c>
      <c r="AD13" s="14">
        <v>0.06</v>
      </c>
      <c r="AE13" s="14">
        <v>0.02</v>
      </c>
      <c r="AF13" s="14">
        <v>0.03</v>
      </c>
    </row>
    <row r="14" spans="1:32">
      <c r="A14" s="19"/>
      <c r="B14" s="11" t="s">
        <v>578</v>
      </c>
      <c r="C14" s="12">
        <v>683</v>
      </c>
      <c r="D14" s="12">
        <v>13</v>
      </c>
      <c r="E14" s="12">
        <v>30</v>
      </c>
      <c r="F14" s="12">
        <v>24</v>
      </c>
      <c r="G14" s="12">
        <v>31</v>
      </c>
      <c r="H14" s="12">
        <v>79</v>
      </c>
      <c r="I14" s="12">
        <v>93</v>
      </c>
      <c r="J14" s="12">
        <v>15</v>
      </c>
      <c r="K14" s="12">
        <v>53</v>
      </c>
      <c r="L14" s="12">
        <v>25</v>
      </c>
      <c r="M14" s="12">
        <v>16</v>
      </c>
      <c r="N14" s="12">
        <v>10</v>
      </c>
      <c r="O14" s="12">
        <v>25</v>
      </c>
      <c r="P14" s="12">
        <v>21</v>
      </c>
      <c r="Q14" s="12">
        <v>10</v>
      </c>
      <c r="R14" s="12">
        <v>4</v>
      </c>
      <c r="S14" s="12">
        <v>30</v>
      </c>
      <c r="T14" s="12">
        <v>25</v>
      </c>
      <c r="U14" s="12">
        <v>9</v>
      </c>
      <c r="V14" s="12">
        <v>24</v>
      </c>
      <c r="W14" s="12">
        <v>5</v>
      </c>
      <c r="X14" s="12">
        <v>29</v>
      </c>
      <c r="Y14" s="12">
        <v>27</v>
      </c>
      <c r="Z14" s="12">
        <v>5</v>
      </c>
      <c r="AA14" s="12">
        <v>3</v>
      </c>
      <c r="AB14" s="12">
        <v>13</v>
      </c>
      <c r="AC14" s="12">
        <v>44</v>
      </c>
      <c r="AD14" s="12">
        <v>24</v>
      </c>
      <c r="AE14" s="12">
        <v>19</v>
      </c>
      <c r="AF14" s="12">
        <v>65</v>
      </c>
    </row>
    <row r="15" spans="1:32">
      <c r="A15" s="19"/>
      <c r="B15" s="13" t="s">
        <v>578</v>
      </c>
      <c r="C15" s="14">
        <v>0.02</v>
      </c>
      <c r="D15" s="14">
        <v>0.01</v>
      </c>
      <c r="E15" s="14">
        <v>0.03</v>
      </c>
      <c r="F15" s="14">
        <v>0.02</v>
      </c>
      <c r="G15" s="14">
        <v>0.03</v>
      </c>
      <c r="H15" s="14">
        <v>0.06</v>
      </c>
      <c r="I15" s="14">
        <v>0.06</v>
      </c>
      <c r="J15" s="14">
        <v>0.05</v>
      </c>
      <c r="K15" s="14">
        <v>0.05</v>
      </c>
      <c r="L15" s="14">
        <v>0.02</v>
      </c>
      <c r="M15" s="14">
        <v>0.02</v>
      </c>
      <c r="N15" s="14">
        <v>0.01</v>
      </c>
      <c r="O15" s="14">
        <v>0.02</v>
      </c>
      <c r="P15" s="14">
        <v>0.02</v>
      </c>
      <c r="Q15" s="14">
        <v>0.01</v>
      </c>
      <c r="R15" s="14">
        <v>0.01</v>
      </c>
      <c r="S15" s="14">
        <v>0.03</v>
      </c>
      <c r="T15" s="14">
        <v>0.03</v>
      </c>
      <c r="U15" s="14">
        <v>0.02</v>
      </c>
      <c r="V15" s="14">
        <v>0.02</v>
      </c>
      <c r="W15" s="14">
        <v>0.01</v>
      </c>
      <c r="X15" s="14">
        <v>0.03</v>
      </c>
      <c r="Y15" s="14">
        <v>0.03</v>
      </c>
      <c r="Z15" s="14">
        <v>0.01</v>
      </c>
      <c r="AA15" s="15" t="s">
        <v>375</v>
      </c>
      <c r="AB15" s="14">
        <v>0.01</v>
      </c>
      <c r="AC15" s="14">
        <v>0.04</v>
      </c>
      <c r="AD15" s="14">
        <v>0.03</v>
      </c>
      <c r="AE15" s="14">
        <v>0.02</v>
      </c>
      <c r="AF15" s="14">
        <v>0.06</v>
      </c>
    </row>
    <row r="16" spans="1:32">
      <c r="A16" s="19"/>
      <c r="B16" s="11" t="s">
        <v>579</v>
      </c>
      <c r="C16" s="12">
        <v>980</v>
      </c>
      <c r="D16" s="12">
        <v>40</v>
      </c>
      <c r="E16" s="12">
        <v>83</v>
      </c>
      <c r="F16" s="12">
        <v>80</v>
      </c>
      <c r="G16" s="12">
        <v>76</v>
      </c>
      <c r="H16" s="12">
        <v>76</v>
      </c>
      <c r="I16" s="12">
        <v>89</v>
      </c>
      <c r="J16" s="12">
        <v>13</v>
      </c>
      <c r="K16" s="12">
        <v>80</v>
      </c>
      <c r="L16" s="12">
        <v>31</v>
      </c>
      <c r="M16" s="12">
        <v>31</v>
      </c>
      <c r="N16" s="12">
        <v>23</v>
      </c>
      <c r="O16" s="12">
        <v>33</v>
      </c>
      <c r="P16" s="12">
        <v>38</v>
      </c>
      <c r="Q16" s="12">
        <v>16</v>
      </c>
      <c r="R16" s="12">
        <v>14</v>
      </c>
      <c r="S16" s="12">
        <v>56</v>
      </c>
      <c r="T16" s="12">
        <v>52</v>
      </c>
      <c r="U16" s="12">
        <v>12</v>
      </c>
      <c r="V16" s="12">
        <v>60</v>
      </c>
      <c r="W16" s="12">
        <v>17</v>
      </c>
      <c r="X16" s="12">
        <v>39</v>
      </c>
      <c r="Y16" s="12">
        <v>46</v>
      </c>
      <c r="Z16" s="12">
        <v>12</v>
      </c>
      <c r="AA16" s="12">
        <v>7</v>
      </c>
      <c r="AB16" s="12">
        <v>28</v>
      </c>
      <c r="AC16" s="12">
        <v>84</v>
      </c>
      <c r="AD16" s="12">
        <v>49</v>
      </c>
      <c r="AE16" s="12">
        <v>45</v>
      </c>
      <c r="AF16" s="12">
        <v>84</v>
      </c>
    </row>
    <row r="17" spans="1:32">
      <c r="A17" s="19"/>
      <c r="B17" s="13" t="s">
        <v>579</v>
      </c>
      <c r="C17" s="14">
        <v>0.04</v>
      </c>
      <c r="D17" s="14">
        <v>0.04</v>
      </c>
      <c r="E17" s="14">
        <v>0.08</v>
      </c>
      <c r="F17" s="14">
        <v>0.08</v>
      </c>
      <c r="G17" s="14">
        <v>0.08</v>
      </c>
      <c r="H17" s="14">
        <v>0.06</v>
      </c>
      <c r="I17" s="14">
        <v>0.06</v>
      </c>
      <c r="J17" s="14">
        <v>0.04</v>
      </c>
      <c r="K17" s="14">
        <v>0.08</v>
      </c>
      <c r="L17" s="14">
        <v>0.03</v>
      </c>
      <c r="M17" s="14">
        <v>0.03</v>
      </c>
      <c r="N17" s="14">
        <v>0.02</v>
      </c>
      <c r="O17" s="14">
        <v>0.03</v>
      </c>
      <c r="P17" s="14">
        <v>0.04</v>
      </c>
      <c r="Q17" s="14">
        <v>0.01</v>
      </c>
      <c r="R17" s="14">
        <v>0.03</v>
      </c>
      <c r="S17" s="14">
        <v>0.06</v>
      </c>
      <c r="T17" s="14">
        <v>0.05</v>
      </c>
      <c r="U17" s="14">
        <v>0.02</v>
      </c>
      <c r="V17" s="14">
        <v>0.06</v>
      </c>
      <c r="W17" s="14">
        <v>0.03</v>
      </c>
      <c r="X17" s="14">
        <v>0.04</v>
      </c>
      <c r="Y17" s="14">
        <v>0.05</v>
      </c>
      <c r="Z17" s="14">
        <v>0.01</v>
      </c>
      <c r="AA17" s="14">
        <v>0.01</v>
      </c>
      <c r="AB17" s="14">
        <v>0.03</v>
      </c>
      <c r="AC17" s="14">
        <v>0.08</v>
      </c>
      <c r="AD17" s="14">
        <v>0.05</v>
      </c>
      <c r="AE17" s="14">
        <v>0.05</v>
      </c>
      <c r="AF17" s="14">
        <v>0.08</v>
      </c>
    </row>
    <row r="18" spans="1:32">
      <c r="A18" s="19"/>
      <c r="B18" s="11" t="s">
        <v>580</v>
      </c>
      <c r="C18" s="12">
        <v>1516</v>
      </c>
      <c r="D18" s="12">
        <v>59</v>
      </c>
      <c r="E18" s="12">
        <v>89</v>
      </c>
      <c r="F18" s="12">
        <v>106</v>
      </c>
      <c r="G18" s="12">
        <v>88</v>
      </c>
      <c r="H18" s="12">
        <v>104</v>
      </c>
      <c r="I18" s="12">
        <v>127</v>
      </c>
      <c r="J18" s="12">
        <v>22</v>
      </c>
      <c r="K18" s="12">
        <v>110</v>
      </c>
      <c r="L18" s="12">
        <v>44</v>
      </c>
      <c r="M18" s="12">
        <v>31</v>
      </c>
      <c r="N18" s="12">
        <v>26</v>
      </c>
      <c r="O18" s="12">
        <v>54</v>
      </c>
      <c r="P18" s="12">
        <v>54</v>
      </c>
      <c r="Q18" s="12">
        <v>41</v>
      </c>
      <c r="R18" s="12">
        <v>17</v>
      </c>
      <c r="S18" s="12">
        <v>74</v>
      </c>
      <c r="T18" s="12">
        <v>63</v>
      </c>
      <c r="U18" s="12">
        <v>16</v>
      </c>
      <c r="V18" s="12">
        <v>98</v>
      </c>
      <c r="W18" s="12">
        <v>20</v>
      </c>
      <c r="X18" s="12">
        <v>50</v>
      </c>
      <c r="Y18" s="12">
        <v>72</v>
      </c>
      <c r="Z18" s="12">
        <v>42</v>
      </c>
      <c r="AA18" s="12">
        <v>51</v>
      </c>
      <c r="AB18" s="12">
        <v>45</v>
      </c>
      <c r="AC18" s="12">
        <v>96</v>
      </c>
      <c r="AD18" s="12">
        <v>62</v>
      </c>
      <c r="AE18" s="12">
        <v>71</v>
      </c>
      <c r="AF18" s="12">
        <v>114</v>
      </c>
    </row>
    <row r="19" spans="1:32">
      <c r="A19" s="19"/>
      <c r="B19" s="13" t="s">
        <v>580</v>
      </c>
      <c r="C19" s="14">
        <v>0.06</v>
      </c>
      <c r="D19" s="14">
        <v>0.06</v>
      </c>
      <c r="E19" s="14">
        <v>0.09</v>
      </c>
      <c r="F19" s="14">
        <v>0.1</v>
      </c>
      <c r="G19" s="14">
        <v>0.09</v>
      </c>
      <c r="H19" s="14">
        <v>0.08</v>
      </c>
      <c r="I19" s="14">
        <v>0.08</v>
      </c>
      <c r="J19" s="14">
        <v>0.08</v>
      </c>
      <c r="K19" s="14">
        <v>0.11</v>
      </c>
      <c r="L19" s="14">
        <v>0.04</v>
      </c>
      <c r="M19" s="14">
        <v>0.03</v>
      </c>
      <c r="N19" s="14">
        <v>0.03</v>
      </c>
      <c r="O19" s="14">
        <v>0.05</v>
      </c>
      <c r="P19" s="14">
        <v>0.05</v>
      </c>
      <c r="Q19" s="14">
        <v>0.04</v>
      </c>
      <c r="R19" s="14">
        <v>0.03</v>
      </c>
      <c r="S19" s="14">
        <v>7.0000000000000007E-2</v>
      </c>
      <c r="T19" s="14">
        <v>0.06</v>
      </c>
      <c r="U19" s="14">
        <v>0.03</v>
      </c>
      <c r="V19" s="14">
        <v>0.1</v>
      </c>
      <c r="W19" s="14">
        <v>0.04</v>
      </c>
      <c r="X19" s="14">
        <v>0.05</v>
      </c>
      <c r="Y19" s="14">
        <v>7.0000000000000007E-2</v>
      </c>
      <c r="Z19" s="14">
        <v>0.04</v>
      </c>
      <c r="AA19" s="14">
        <v>0.05</v>
      </c>
      <c r="AB19" s="14">
        <v>0.04</v>
      </c>
      <c r="AC19" s="14">
        <v>0.1</v>
      </c>
      <c r="AD19" s="14">
        <v>0.06</v>
      </c>
      <c r="AE19" s="14">
        <v>7.0000000000000007E-2</v>
      </c>
      <c r="AF19" s="14">
        <v>0.11</v>
      </c>
    </row>
    <row r="20" spans="1:32">
      <c r="A20" s="19"/>
      <c r="B20" s="11" t="s">
        <v>581</v>
      </c>
      <c r="C20" s="12">
        <v>3375</v>
      </c>
      <c r="D20" s="12">
        <v>132</v>
      </c>
      <c r="E20" s="12">
        <v>156</v>
      </c>
      <c r="F20" s="12">
        <v>206</v>
      </c>
      <c r="G20" s="12">
        <v>172</v>
      </c>
      <c r="H20" s="12">
        <v>186</v>
      </c>
      <c r="I20" s="12">
        <v>224</v>
      </c>
      <c r="J20" s="12">
        <v>37</v>
      </c>
      <c r="K20" s="12">
        <v>143</v>
      </c>
      <c r="L20" s="12">
        <v>93</v>
      </c>
      <c r="M20" s="12">
        <v>119</v>
      </c>
      <c r="N20" s="12">
        <v>83</v>
      </c>
      <c r="O20" s="12">
        <v>166</v>
      </c>
      <c r="P20" s="12">
        <v>126</v>
      </c>
      <c r="Q20" s="12">
        <v>66</v>
      </c>
      <c r="R20" s="12">
        <v>51</v>
      </c>
      <c r="S20" s="12">
        <v>207</v>
      </c>
      <c r="T20" s="12">
        <v>209</v>
      </c>
      <c r="U20" s="12">
        <v>67</v>
      </c>
      <c r="V20" s="12">
        <v>162</v>
      </c>
      <c r="W20" s="12">
        <v>40</v>
      </c>
      <c r="X20" s="12">
        <v>164</v>
      </c>
      <c r="Y20" s="12">
        <v>127</v>
      </c>
      <c r="Z20" s="12">
        <v>103</v>
      </c>
      <c r="AA20" s="12">
        <v>184</v>
      </c>
      <c r="AB20" s="12">
        <v>103</v>
      </c>
      <c r="AC20" s="12">
        <v>188</v>
      </c>
      <c r="AD20" s="12">
        <v>162</v>
      </c>
      <c r="AE20" s="12">
        <v>154</v>
      </c>
      <c r="AF20" s="12">
        <v>179</v>
      </c>
    </row>
    <row r="21" spans="1:32">
      <c r="A21" s="19"/>
      <c r="B21" s="13" t="s">
        <v>581</v>
      </c>
      <c r="C21" s="14">
        <v>0.13</v>
      </c>
      <c r="D21" s="14">
        <v>0.13</v>
      </c>
      <c r="E21" s="14">
        <v>0.15</v>
      </c>
      <c r="F21" s="14">
        <v>0.19</v>
      </c>
      <c r="G21" s="14">
        <v>0.17</v>
      </c>
      <c r="H21" s="14">
        <v>0.15</v>
      </c>
      <c r="I21" s="14">
        <v>0.15</v>
      </c>
      <c r="J21" s="14">
        <v>0.13</v>
      </c>
      <c r="K21" s="14">
        <v>0.14000000000000001</v>
      </c>
      <c r="L21" s="14">
        <v>0.09</v>
      </c>
      <c r="M21" s="14">
        <v>0.12</v>
      </c>
      <c r="N21" s="14">
        <v>0.08</v>
      </c>
      <c r="O21" s="14">
        <v>0.17</v>
      </c>
      <c r="P21" s="14">
        <v>0.13</v>
      </c>
      <c r="Q21" s="14">
        <v>0.06</v>
      </c>
      <c r="R21" s="14">
        <v>0.1</v>
      </c>
      <c r="S21" s="14">
        <v>0.21</v>
      </c>
      <c r="T21" s="14">
        <v>0.2</v>
      </c>
      <c r="U21" s="14">
        <v>0.13</v>
      </c>
      <c r="V21" s="14">
        <v>0.16</v>
      </c>
      <c r="W21" s="14">
        <v>0.08</v>
      </c>
      <c r="X21" s="14">
        <v>0.16</v>
      </c>
      <c r="Y21" s="14">
        <v>0.13</v>
      </c>
      <c r="Z21" s="14">
        <v>0.1</v>
      </c>
      <c r="AA21" s="14">
        <v>0.18</v>
      </c>
      <c r="AB21" s="14">
        <v>0.1</v>
      </c>
      <c r="AC21" s="14">
        <v>0.19</v>
      </c>
      <c r="AD21" s="14">
        <v>0.16</v>
      </c>
      <c r="AE21" s="14">
        <v>0.15</v>
      </c>
      <c r="AF21" s="14">
        <v>0.17</v>
      </c>
    </row>
    <row r="22" spans="1:32">
      <c r="A22" s="19"/>
      <c r="B22" s="11" t="s">
        <v>582</v>
      </c>
      <c r="C22" s="12">
        <v>3354</v>
      </c>
      <c r="D22" s="12">
        <v>167</v>
      </c>
      <c r="E22" s="12">
        <v>119</v>
      </c>
      <c r="F22" s="12">
        <v>145</v>
      </c>
      <c r="G22" s="12">
        <v>145</v>
      </c>
      <c r="H22" s="12">
        <v>168</v>
      </c>
      <c r="I22" s="12">
        <v>204</v>
      </c>
      <c r="J22" s="12">
        <v>36</v>
      </c>
      <c r="K22" s="12">
        <v>128</v>
      </c>
      <c r="L22" s="12">
        <v>96</v>
      </c>
      <c r="M22" s="12">
        <v>94</v>
      </c>
      <c r="N22" s="12">
        <v>112</v>
      </c>
      <c r="O22" s="12">
        <v>137</v>
      </c>
      <c r="P22" s="12">
        <v>141</v>
      </c>
      <c r="Q22" s="12">
        <v>103</v>
      </c>
      <c r="R22" s="12">
        <v>39</v>
      </c>
      <c r="S22" s="12">
        <v>114</v>
      </c>
      <c r="T22" s="12">
        <v>126</v>
      </c>
      <c r="U22" s="12">
        <v>79</v>
      </c>
      <c r="V22" s="12">
        <v>159</v>
      </c>
      <c r="W22" s="12">
        <v>80</v>
      </c>
      <c r="X22" s="12">
        <v>168</v>
      </c>
      <c r="Y22" s="12">
        <v>146</v>
      </c>
      <c r="Z22" s="12">
        <v>133</v>
      </c>
      <c r="AA22" s="12">
        <v>80</v>
      </c>
      <c r="AB22" s="12">
        <v>149</v>
      </c>
      <c r="AC22" s="12">
        <v>85</v>
      </c>
      <c r="AD22" s="12">
        <v>134</v>
      </c>
      <c r="AE22" s="12">
        <v>141</v>
      </c>
      <c r="AF22" s="12">
        <v>135</v>
      </c>
    </row>
    <row r="23" spans="1:32">
      <c r="A23" s="19"/>
      <c r="B23" s="13" t="s">
        <v>582</v>
      </c>
      <c r="C23" s="14">
        <v>0.13</v>
      </c>
      <c r="D23" s="14">
        <v>0.16</v>
      </c>
      <c r="E23" s="14">
        <v>0.11</v>
      </c>
      <c r="F23" s="14">
        <v>0.14000000000000001</v>
      </c>
      <c r="G23" s="14">
        <v>0.14000000000000001</v>
      </c>
      <c r="H23" s="14">
        <v>0.14000000000000001</v>
      </c>
      <c r="I23" s="14">
        <v>0.13</v>
      </c>
      <c r="J23" s="14">
        <v>0.12</v>
      </c>
      <c r="K23" s="14">
        <v>0.13</v>
      </c>
      <c r="L23" s="14">
        <v>0.1</v>
      </c>
      <c r="M23" s="14">
        <v>0.09</v>
      </c>
      <c r="N23" s="14">
        <v>0.11</v>
      </c>
      <c r="O23" s="14">
        <v>0.14000000000000001</v>
      </c>
      <c r="P23" s="14">
        <v>0.14000000000000001</v>
      </c>
      <c r="Q23" s="14">
        <v>0.1</v>
      </c>
      <c r="R23" s="14">
        <v>0.08</v>
      </c>
      <c r="S23" s="14">
        <v>0.11</v>
      </c>
      <c r="T23" s="14">
        <v>0.12</v>
      </c>
      <c r="U23" s="14">
        <v>0.16</v>
      </c>
      <c r="V23" s="14">
        <v>0.16</v>
      </c>
      <c r="W23" s="14">
        <v>0.16</v>
      </c>
      <c r="X23" s="14">
        <v>0.17</v>
      </c>
      <c r="Y23" s="14">
        <v>0.14000000000000001</v>
      </c>
      <c r="Z23" s="14">
        <v>0.13</v>
      </c>
      <c r="AA23" s="14">
        <v>0.08</v>
      </c>
      <c r="AB23" s="14">
        <v>0.14000000000000001</v>
      </c>
      <c r="AC23" s="14">
        <v>0.09</v>
      </c>
      <c r="AD23" s="14">
        <v>0.13</v>
      </c>
      <c r="AE23" s="14">
        <v>0.14000000000000001</v>
      </c>
      <c r="AF23" s="14">
        <v>0.13</v>
      </c>
    </row>
    <row r="24" spans="1:32">
      <c r="A24" s="19"/>
      <c r="B24" s="11" t="s">
        <v>583</v>
      </c>
      <c r="C24" s="12">
        <v>4670</v>
      </c>
      <c r="D24" s="12">
        <v>205</v>
      </c>
      <c r="E24" s="12">
        <v>152</v>
      </c>
      <c r="F24" s="12">
        <v>140</v>
      </c>
      <c r="G24" s="12">
        <v>195</v>
      </c>
      <c r="H24" s="12">
        <v>204</v>
      </c>
      <c r="I24" s="12">
        <v>252</v>
      </c>
      <c r="J24" s="12">
        <v>48</v>
      </c>
      <c r="K24" s="12">
        <v>139</v>
      </c>
      <c r="L24" s="12">
        <v>189</v>
      </c>
      <c r="M24" s="12">
        <v>198</v>
      </c>
      <c r="N24" s="12">
        <v>160</v>
      </c>
      <c r="O24" s="12">
        <v>195</v>
      </c>
      <c r="P24" s="12">
        <v>150</v>
      </c>
      <c r="Q24" s="12">
        <v>172</v>
      </c>
      <c r="R24" s="12">
        <v>101</v>
      </c>
      <c r="S24" s="12">
        <v>137</v>
      </c>
      <c r="T24" s="12">
        <v>123</v>
      </c>
      <c r="U24" s="12">
        <v>101</v>
      </c>
      <c r="V24" s="12">
        <v>189</v>
      </c>
      <c r="W24" s="12">
        <v>68</v>
      </c>
      <c r="X24" s="12">
        <v>249</v>
      </c>
      <c r="Y24" s="12">
        <v>147</v>
      </c>
      <c r="Z24" s="12">
        <v>195</v>
      </c>
      <c r="AA24" s="12">
        <v>123</v>
      </c>
      <c r="AB24" s="12">
        <v>213</v>
      </c>
      <c r="AC24" s="12">
        <v>137</v>
      </c>
      <c r="AD24" s="12">
        <v>229</v>
      </c>
      <c r="AE24" s="12">
        <v>187</v>
      </c>
      <c r="AF24" s="12">
        <v>181</v>
      </c>
    </row>
    <row r="25" spans="1:32">
      <c r="A25" s="19"/>
      <c r="B25" s="13" t="s">
        <v>583</v>
      </c>
      <c r="C25" s="14">
        <v>0.18</v>
      </c>
      <c r="D25" s="14">
        <v>0.2</v>
      </c>
      <c r="E25" s="14">
        <v>0.14000000000000001</v>
      </c>
      <c r="F25" s="14">
        <v>0.13</v>
      </c>
      <c r="G25" s="14">
        <v>0.19</v>
      </c>
      <c r="H25" s="14">
        <v>0.17</v>
      </c>
      <c r="I25" s="14">
        <v>0.17</v>
      </c>
      <c r="J25" s="14">
        <v>0.16</v>
      </c>
      <c r="K25" s="14">
        <v>0.14000000000000001</v>
      </c>
      <c r="L25" s="14">
        <v>0.19</v>
      </c>
      <c r="M25" s="14">
        <v>0.2</v>
      </c>
      <c r="N25" s="14">
        <v>0.16</v>
      </c>
      <c r="O25" s="14">
        <v>0.19</v>
      </c>
      <c r="P25" s="14">
        <v>0.15</v>
      </c>
      <c r="Q25" s="14">
        <v>0.17</v>
      </c>
      <c r="R25" s="14">
        <v>0.2</v>
      </c>
      <c r="S25" s="14">
        <v>0.14000000000000001</v>
      </c>
      <c r="T25" s="14">
        <v>0.12</v>
      </c>
      <c r="U25" s="14">
        <v>0.2</v>
      </c>
      <c r="V25" s="14">
        <v>0.18</v>
      </c>
      <c r="W25" s="14">
        <v>0.13</v>
      </c>
      <c r="X25" s="14">
        <v>0.25</v>
      </c>
      <c r="Y25" s="14">
        <v>0.15</v>
      </c>
      <c r="Z25" s="14">
        <v>0.19</v>
      </c>
      <c r="AA25" s="14">
        <v>0.12</v>
      </c>
      <c r="AB25" s="14">
        <v>0.21</v>
      </c>
      <c r="AC25" s="14">
        <v>0.14000000000000001</v>
      </c>
      <c r="AD25" s="14">
        <v>0.23</v>
      </c>
      <c r="AE25" s="14">
        <v>0.19</v>
      </c>
      <c r="AF25" s="14">
        <v>0.18</v>
      </c>
    </row>
    <row r="26" spans="1:32">
      <c r="A26" s="19"/>
      <c r="B26" s="11" t="s">
        <v>584</v>
      </c>
      <c r="C26" s="12">
        <v>5229</v>
      </c>
      <c r="D26" s="12">
        <v>223</v>
      </c>
      <c r="E26" s="12">
        <v>122</v>
      </c>
      <c r="F26" s="12">
        <v>144</v>
      </c>
      <c r="G26" s="12">
        <v>146</v>
      </c>
      <c r="H26" s="12">
        <v>205</v>
      </c>
      <c r="I26" s="12">
        <v>260</v>
      </c>
      <c r="J26" s="12">
        <v>55</v>
      </c>
      <c r="K26" s="12">
        <v>103</v>
      </c>
      <c r="L26" s="12">
        <v>194</v>
      </c>
      <c r="M26" s="12">
        <v>260</v>
      </c>
      <c r="N26" s="12">
        <v>230</v>
      </c>
      <c r="O26" s="12">
        <v>186</v>
      </c>
      <c r="P26" s="12">
        <v>205</v>
      </c>
      <c r="Q26" s="12">
        <v>255</v>
      </c>
      <c r="R26" s="12">
        <v>130</v>
      </c>
      <c r="S26" s="12">
        <v>125</v>
      </c>
      <c r="T26" s="12">
        <v>123</v>
      </c>
      <c r="U26" s="12">
        <v>97</v>
      </c>
      <c r="V26" s="12">
        <v>165</v>
      </c>
      <c r="W26" s="12">
        <v>99</v>
      </c>
      <c r="X26" s="12">
        <v>182</v>
      </c>
      <c r="Y26" s="12">
        <v>141</v>
      </c>
      <c r="Z26" s="12">
        <v>250</v>
      </c>
      <c r="AA26" s="12">
        <v>171</v>
      </c>
      <c r="AB26" s="12">
        <v>228</v>
      </c>
      <c r="AC26" s="12">
        <v>114</v>
      </c>
      <c r="AD26" s="12">
        <v>184</v>
      </c>
      <c r="AE26" s="12">
        <v>200</v>
      </c>
      <c r="AF26" s="12">
        <v>130</v>
      </c>
    </row>
    <row r="27" spans="1:32">
      <c r="A27" s="19"/>
      <c r="B27" s="13" t="s">
        <v>584</v>
      </c>
      <c r="C27" s="14">
        <v>0.2</v>
      </c>
      <c r="D27" s="14">
        <v>0.22</v>
      </c>
      <c r="E27" s="14">
        <v>0.12</v>
      </c>
      <c r="F27" s="14">
        <v>0.14000000000000001</v>
      </c>
      <c r="G27" s="14">
        <v>0.14000000000000001</v>
      </c>
      <c r="H27" s="14">
        <v>0.17</v>
      </c>
      <c r="I27" s="14">
        <v>0.17</v>
      </c>
      <c r="J27" s="14">
        <v>0.18</v>
      </c>
      <c r="K27" s="14">
        <v>0.1</v>
      </c>
      <c r="L27" s="14">
        <v>0.19</v>
      </c>
      <c r="M27" s="14">
        <v>0.26</v>
      </c>
      <c r="N27" s="14">
        <v>0.23</v>
      </c>
      <c r="O27" s="14">
        <v>0.19</v>
      </c>
      <c r="P27" s="14">
        <v>0.2</v>
      </c>
      <c r="Q27" s="14">
        <v>0.25</v>
      </c>
      <c r="R27" s="14">
        <v>0.26</v>
      </c>
      <c r="S27" s="14">
        <v>0.12</v>
      </c>
      <c r="T27" s="14">
        <v>0.12</v>
      </c>
      <c r="U27" s="14">
        <v>0.19</v>
      </c>
      <c r="V27" s="14">
        <v>0.16</v>
      </c>
      <c r="W27" s="14">
        <v>0.2</v>
      </c>
      <c r="X27" s="14">
        <v>0.18</v>
      </c>
      <c r="Y27" s="14">
        <v>0.14000000000000001</v>
      </c>
      <c r="Z27" s="14">
        <v>0.25</v>
      </c>
      <c r="AA27" s="14">
        <v>0.16</v>
      </c>
      <c r="AB27" s="14">
        <v>0.22</v>
      </c>
      <c r="AC27" s="14">
        <v>0.11</v>
      </c>
      <c r="AD27" s="14">
        <v>0.18</v>
      </c>
      <c r="AE27" s="14">
        <v>0.2</v>
      </c>
      <c r="AF27" s="14">
        <v>0.13</v>
      </c>
    </row>
    <row r="28" spans="1:32">
      <c r="A28" s="19"/>
      <c r="B28" s="11" t="s">
        <v>585</v>
      </c>
      <c r="C28" s="12">
        <v>2661</v>
      </c>
      <c r="D28" s="12">
        <v>87</v>
      </c>
      <c r="E28" s="12">
        <v>66</v>
      </c>
      <c r="F28" s="12">
        <v>65</v>
      </c>
      <c r="G28" s="12">
        <v>59</v>
      </c>
      <c r="H28" s="12">
        <v>63</v>
      </c>
      <c r="I28" s="12">
        <v>82</v>
      </c>
      <c r="J28" s="12">
        <v>19</v>
      </c>
      <c r="K28" s="12">
        <v>60</v>
      </c>
      <c r="L28" s="12">
        <v>97</v>
      </c>
      <c r="M28" s="12">
        <v>145</v>
      </c>
      <c r="N28" s="12">
        <v>146</v>
      </c>
      <c r="O28" s="12">
        <v>73</v>
      </c>
      <c r="P28" s="12">
        <v>96</v>
      </c>
      <c r="Q28" s="12">
        <v>183</v>
      </c>
      <c r="R28" s="12">
        <v>40</v>
      </c>
      <c r="S28" s="12">
        <v>70</v>
      </c>
      <c r="T28" s="12">
        <v>73</v>
      </c>
      <c r="U28" s="12">
        <v>39</v>
      </c>
      <c r="V28" s="12">
        <v>62</v>
      </c>
      <c r="W28" s="12">
        <v>65</v>
      </c>
      <c r="X28" s="12">
        <v>60</v>
      </c>
      <c r="Y28" s="12">
        <v>106</v>
      </c>
      <c r="Z28" s="12">
        <v>124</v>
      </c>
      <c r="AA28" s="12">
        <v>185</v>
      </c>
      <c r="AB28" s="12">
        <v>123</v>
      </c>
      <c r="AC28" s="12">
        <v>51</v>
      </c>
      <c r="AD28" s="12">
        <v>49</v>
      </c>
      <c r="AE28" s="12">
        <v>91</v>
      </c>
      <c r="AF28" s="12">
        <v>46</v>
      </c>
    </row>
    <row r="29" spans="1:32">
      <c r="A29" s="19"/>
      <c r="B29" s="13" t="s">
        <v>585</v>
      </c>
      <c r="C29" s="14">
        <v>0.1</v>
      </c>
      <c r="D29" s="14">
        <v>0.09</v>
      </c>
      <c r="E29" s="14">
        <v>0.06</v>
      </c>
      <c r="F29" s="14">
        <v>0.06</v>
      </c>
      <c r="G29" s="14">
        <v>0.06</v>
      </c>
      <c r="H29" s="14">
        <v>0.05</v>
      </c>
      <c r="I29" s="14">
        <v>0.05</v>
      </c>
      <c r="J29" s="14">
        <v>0.06</v>
      </c>
      <c r="K29" s="14">
        <v>0.06</v>
      </c>
      <c r="L29" s="14">
        <v>0.1</v>
      </c>
      <c r="M29" s="14">
        <v>0.14000000000000001</v>
      </c>
      <c r="N29" s="14">
        <v>0.14000000000000001</v>
      </c>
      <c r="O29" s="14">
        <v>7.0000000000000007E-2</v>
      </c>
      <c r="P29" s="14">
        <v>0.1</v>
      </c>
      <c r="Q29" s="14">
        <v>0.18</v>
      </c>
      <c r="R29" s="14">
        <v>0.08</v>
      </c>
      <c r="S29" s="14">
        <v>7.0000000000000007E-2</v>
      </c>
      <c r="T29" s="14">
        <v>7.0000000000000007E-2</v>
      </c>
      <c r="U29" s="14">
        <v>0.08</v>
      </c>
      <c r="V29" s="14">
        <v>0.06</v>
      </c>
      <c r="W29" s="14">
        <v>0.13</v>
      </c>
      <c r="X29" s="14">
        <v>0.06</v>
      </c>
      <c r="Y29" s="14">
        <v>0.1</v>
      </c>
      <c r="Z29" s="14">
        <v>0.12</v>
      </c>
      <c r="AA29" s="14">
        <v>0.18</v>
      </c>
      <c r="AB29" s="14">
        <v>0.12</v>
      </c>
      <c r="AC29" s="14">
        <v>0.05</v>
      </c>
      <c r="AD29" s="14">
        <v>0.05</v>
      </c>
      <c r="AE29" s="14">
        <v>0.09</v>
      </c>
      <c r="AF29" s="14">
        <v>0.05</v>
      </c>
    </row>
    <row r="30" spans="1:32">
      <c r="A30" s="19"/>
      <c r="B30" s="11" t="s">
        <v>586</v>
      </c>
      <c r="C30" s="12">
        <v>2919</v>
      </c>
      <c r="D30" s="12">
        <v>72</v>
      </c>
      <c r="E30" s="12">
        <v>137</v>
      </c>
      <c r="F30" s="12">
        <v>90</v>
      </c>
      <c r="G30" s="12">
        <v>46</v>
      </c>
      <c r="H30" s="12">
        <v>100</v>
      </c>
      <c r="I30" s="12">
        <v>137</v>
      </c>
      <c r="J30" s="12">
        <v>37</v>
      </c>
      <c r="K30" s="12">
        <v>113</v>
      </c>
      <c r="L30" s="12">
        <v>157</v>
      </c>
      <c r="M30" s="12">
        <v>84</v>
      </c>
      <c r="N30" s="12">
        <v>180</v>
      </c>
      <c r="O30" s="12">
        <v>75</v>
      </c>
      <c r="P30" s="12">
        <v>147</v>
      </c>
      <c r="Q30" s="12">
        <v>161</v>
      </c>
      <c r="R30" s="12">
        <v>91</v>
      </c>
      <c r="S30" s="12">
        <v>83</v>
      </c>
      <c r="T30" s="12">
        <v>128</v>
      </c>
      <c r="U30" s="12">
        <v>78</v>
      </c>
      <c r="V30" s="12">
        <v>77</v>
      </c>
      <c r="W30" s="12">
        <v>83</v>
      </c>
      <c r="X30" s="12">
        <v>50</v>
      </c>
      <c r="Y30" s="12">
        <v>134</v>
      </c>
      <c r="Z30" s="12">
        <v>143</v>
      </c>
      <c r="AA30" s="12">
        <v>199</v>
      </c>
      <c r="AB30" s="12">
        <v>73</v>
      </c>
      <c r="AC30" s="12">
        <v>101</v>
      </c>
      <c r="AD30" s="12">
        <v>41</v>
      </c>
      <c r="AE30" s="12">
        <v>56</v>
      </c>
      <c r="AF30" s="12">
        <v>60</v>
      </c>
    </row>
    <row r="31" spans="1:32">
      <c r="A31" s="19"/>
      <c r="B31" s="13" t="s">
        <v>587</v>
      </c>
      <c r="C31" s="14">
        <v>0.11</v>
      </c>
      <c r="D31" s="14">
        <v>7.0000000000000007E-2</v>
      </c>
      <c r="E31" s="14">
        <v>0.13</v>
      </c>
      <c r="F31" s="14">
        <v>0.08</v>
      </c>
      <c r="G31" s="14">
        <v>0.05</v>
      </c>
      <c r="H31" s="14">
        <v>0.08</v>
      </c>
      <c r="I31" s="14">
        <v>0.09</v>
      </c>
      <c r="J31" s="14">
        <v>0.12</v>
      </c>
      <c r="K31" s="14">
        <v>0.11</v>
      </c>
      <c r="L31" s="14">
        <v>0.16</v>
      </c>
      <c r="M31" s="14">
        <v>0.08</v>
      </c>
      <c r="N31" s="14">
        <v>0.18</v>
      </c>
      <c r="O31" s="14">
        <v>0.08</v>
      </c>
      <c r="P31" s="14">
        <v>0.15</v>
      </c>
      <c r="Q31" s="14">
        <v>0.16</v>
      </c>
      <c r="R31" s="14">
        <v>0.18</v>
      </c>
      <c r="S31" s="14">
        <v>0.08</v>
      </c>
      <c r="T31" s="14">
        <v>0.13</v>
      </c>
      <c r="U31" s="14">
        <v>0.15</v>
      </c>
      <c r="V31" s="14">
        <v>7.0000000000000007E-2</v>
      </c>
      <c r="W31" s="14">
        <v>0.17</v>
      </c>
      <c r="X31" s="14">
        <v>0.05</v>
      </c>
      <c r="Y31" s="14">
        <v>0.13</v>
      </c>
      <c r="Z31" s="14">
        <v>0.14000000000000001</v>
      </c>
      <c r="AA31" s="14">
        <v>0.19</v>
      </c>
      <c r="AB31" s="14">
        <v>7.0000000000000007E-2</v>
      </c>
      <c r="AC31" s="14">
        <v>0.1</v>
      </c>
      <c r="AD31" s="14">
        <v>0.04</v>
      </c>
      <c r="AE31" s="14">
        <v>0.06</v>
      </c>
      <c r="AF31" s="14">
        <v>0.06</v>
      </c>
    </row>
    <row r="32" spans="1:32">
      <c r="A32" s="19"/>
      <c r="B32" s="11" t="s">
        <v>386</v>
      </c>
      <c r="C32" s="12">
        <v>411</v>
      </c>
      <c r="D32" s="12">
        <v>4</v>
      </c>
      <c r="E32" s="12">
        <v>38</v>
      </c>
      <c r="F32" s="12">
        <v>11</v>
      </c>
      <c r="G32" s="12">
        <v>23</v>
      </c>
      <c r="H32" s="12">
        <v>18</v>
      </c>
      <c r="I32" s="12">
        <v>21</v>
      </c>
      <c r="J32" s="12">
        <v>3</v>
      </c>
      <c r="K32" s="12">
        <v>28</v>
      </c>
      <c r="L32" s="12">
        <v>17</v>
      </c>
      <c r="M32" s="12">
        <v>16</v>
      </c>
      <c r="N32" s="12">
        <v>22</v>
      </c>
      <c r="O32" s="12">
        <v>26</v>
      </c>
      <c r="P32" s="12">
        <v>12</v>
      </c>
      <c r="Q32" s="12">
        <v>6</v>
      </c>
      <c r="R32" s="12">
        <v>7</v>
      </c>
      <c r="S32" s="12">
        <v>32</v>
      </c>
      <c r="T32" s="12">
        <v>39</v>
      </c>
      <c r="U32" s="12">
        <v>4</v>
      </c>
      <c r="V32" s="12">
        <v>11</v>
      </c>
      <c r="W32" s="12">
        <v>9</v>
      </c>
      <c r="X32" s="12">
        <v>3</v>
      </c>
      <c r="Y32" s="12">
        <v>19</v>
      </c>
      <c r="Z32" s="12">
        <v>5</v>
      </c>
      <c r="AA32" s="12">
        <v>31</v>
      </c>
      <c r="AB32" s="12">
        <v>35</v>
      </c>
      <c r="AC32" s="12">
        <v>12</v>
      </c>
      <c r="AD32" s="12">
        <v>8</v>
      </c>
      <c r="AE32" s="12">
        <v>15</v>
      </c>
      <c r="AF32" s="12">
        <v>0</v>
      </c>
    </row>
    <row r="33" spans="1:32">
      <c r="A33" s="19"/>
      <c r="B33" s="13" t="s">
        <v>399</v>
      </c>
      <c r="C33" s="14">
        <v>0.01</v>
      </c>
      <c r="D33" s="15" t="s">
        <v>375</v>
      </c>
      <c r="E33" s="14">
        <v>0.04</v>
      </c>
      <c r="F33" s="14">
        <v>0.01</v>
      </c>
      <c r="G33" s="14">
        <v>0.02</v>
      </c>
      <c r="H33" s="14">
        <v>0.02</v>
      </c>
      <c r="I33" s="14">
        <v>0.01</v>
      </c>
      <c r="J33" s="14">
        <v>0.01</v>
      </c>
      <c r="K33" s="14">
        <v>0.03</v>
      </c>
      <c r="L33" s="14">
        <v>0.02</v>
      </c>
      <c r="M33" s="14">
        <v>0.02</v>
      </c>
      <c r="N33" s="14">
        <v>0.02</v>
      </c>
      <c r="O33" s="14">
        <v>0.03</v>
      </c>
      <c r="P33" s="14">
        <v>0.01</v>
      </c>
      <c r="Q33" s="15" t="s">
        <v>375</v>
      </c>
      <c r="R33" s="14">
        <v>0.01</v>
      </c>
      <c r="S33" s="14">
        <v>0.03</v>
      </c>
      <c r="T33" s="14">
        <v>0.04</v>
      </c>
      <c r="U33" s="14">
        <v>0.01</v>
      </c>
      <c r="V33" s="14">
        <v>0.01</v>
      </c>
      <c r="W33" s="14">
        <v>0.02</v>
      </c>
      <c r="X33" s="15" t="s">
        <v>375</v>
      </c>
      <c r="Y33" s="14">
        <v>0.02</v>
      </c>
      <c r="Z33" s="14">
        <v>0.01</v>
      </c>
      <c r="AA33" s="14">
        <v>0.03</v>
      </c>
      <c r="AB33" s="14">
        <v>0.03</v>
      </c>
      <c r="AC33" s="14">
        <v>0.01</v>
      </c>
      <c r="AD33" s="14">
        <v>0.01</v>
      </c>
      <c r="AE33" s="14">
        <v>0.01</v>
      </c>
      <c r="AF33" s="15" t="s">
        <v>375</v>
      </c>
    </row>
    <row r="34" spans="1:32">
      <c r="A34" s="19"/>
      <c r="B34" s="11" t="s">
        <v>588</v>
      </c>
      <c r="C34" s="12">
        <v>3834</v>
      </c>
      <c r="D34" s="12">
        <v>129</v>
      </c>
      <c r="E34" s="12">
        <v>256</v>
      </c>
      <c r="F34" s="12">
        <v>263</v>
      </c>
      <c r="G34" s="12">
        <v>229</v>
      </c>
      <c r="H34" s="12">
        <v>285</v>
      </c>
      <c r="I34" s="12">
        <v>348</v>
      </c>
      <c r="J34" s="12">
        <v>63</v>
      </c>
      <c r="K34" s="12">
        <v>292</v>
      </c>
      <c r="L34" s="12">
        <v>162</v>
      </c>
      <c r="M34" s="12">
        <v>92</v>
      </c>
      <c r="N34" s="12">
        <v>78</v>
      </c>
      <c r="O34" s="12">
        <v>146</v>
      </c>
      <c r="P34" s="12">
        <v>127</v>
      </c>
      <c r="Q34" s="12">
        <v>85</v>
      </c>
      <c r="R34" s="12">
        <v>43</v>
      </c>
      <c r="S34" s="12">
        <v>237</v>
      </c>
      <c r="T34" s="12">
        <v>201</v>
      </c>
      <c r="U34" s="12">
        <v>44</v>
      </c>
      <c r="V34" s="12">
        <v>200</v>
      </c>
      <c r="W34" s="12">
        <v>58</v>
      </c>
      <c r="X34" s="12">
        <v>134</v>
      </c>
      <c r="Y34" s="12">
        <v>183</v>
      </c>
      <c r="Z34" s="12">
        <v>62</v>
      </c>
      <c r="AA34" s="12">
        <v>64</v>
      </c>
      <c r="AB34" s="12">
        <v>117</v>
      </c>
      <c r="AC34" s="12">
        <v>319</v>
      </c>
      <c r="AD34" s="12">
        <v>196</v>
      </c>
      <c r="AE34" s="12">
        <v>157</v>
      </c>
      <c r="AF34" s="12">
        <v>299</v>
      </c>
    </row>
    <row r="35" spans="1:32">
      <c r="A35" s="19"/>
      <c r="B35" s="13" t="s">
        <v>589</v>
      </c>
      <c r="C35" s="14">
        <v>0.14000000000000001</v>
      </c>
      <c r="D35" s="14">
        <v>0.13</v>
      </c>
      <c r="E35" s="14">
        <v>0.25</v>
      </c>
      <c r="F35" s="14">
        <v>0.25</v>
      </c>
      <c r="G35" s="14">
        <v>0.23</v>
      </c>
      <c r="H35" s="14">
        <v>0.22</v>
      </c>
      <c r="I35" s="14">
        <v>0.23</v>
      </c>
      <c r="J35" s="14">
        <v>0.22</v>
      </c>
      <c r="K35" s="14">
        <v>0.28999999999999998</v>
      </c>
      <c r="L35" s="14">
        <v>0.15</v>
      </c>
      <c r="M35" s="14">
        <v>0.09</v>
      </c>
      <c r="N35" s="14">
        <v>0.08</v>
      </c>
      <c r="O35" s="14">
        <v>0.13</v>
      </c>
      <c r="P35" s="14">
        <v>0.12</v>
      </c>
      <c r="Q35" s="14">
        <v>0.08</v>
      </c>
      <c r="R35" s="14">
        <v>0.09</v>
      </c>
      <c r="S35" s="14">
        <v>0.24</v>
      </c>
      <c r="T35" s="14">
        <v>0.2</v>
      </c>
      <c r="U35" s="14">
        <v>0.08</v>
      </c>
      <c r="V35" s="14">
        <v>0.2</v>
      </c>
      <c r="W35" s="14">
        <v>0.11</v>
      </c>
      <c r="X35" s="14">
        <v>0.13</v>
      </c>
      <c r="Y35" s="14">
        <v>0.19</v>
      </c>
      <c r="Z35" s="14">
        <v>0.06</v>
      </c>
      <c r="AA35" s="14">
        <v>0.06</v>
      </c>
      <c r="AB35" s="14">
        <v>0.11</v>
      </c>
      <c r="AC35" s="14">
        <v>0.31</v>
      </c>
      <c r="AD35" s="14">
        <v>0.2</v>
      </c>
      <c r="AE35" s="14">
        <v>0.16</v>
      </c>
      <c r="AF35" s="14">
        <v>0.28000000000000003</v>
      </c>
    </row>
    <row r="36" spans="1:32">
      <c r="A36" s="19"/>
      <c r="B36" s="11" t="s">
        <v>590</v>
      </c>
      <c r="C36" s="12">
        <v>6729</v>
      </c>
      <c r="D36" s="12">
        <v>299</v>
      </c>
      <c r="E36" s="12">
        <v>275</v>
      </c>
      <c r="F36" s="12">
        <v>351</v>
      </c>
      <c r="G36" s="12">
        <v>317</v>
      </c>
      <c r="H36" s="12">
        <v>354</v>
      </c>
      <c r="I36" s="12">
        <v>428</v>
      </c>
      <c r="J36" s="12">
        <v>73</v>
      </c>
      <c r="K36" s="12">
        <v>271</v>
      </c>
      <c r="L36" s="12">
        <v>189</v>
      </c>
      <c r="M36" s="12">
        <v>213</v>
      </c>
      <c r="N36" s="12">
        <v>195</v>
      </c>
      <c r="O36" s="12">
        <v>303</v>
      </c>
      <c r="P36" s="12">
        <v>267</v>
      </c>
      <c r="Q36" s="12">
        <v>169</v>
      </c>
      <c r="R36" s="12">
        <v>90</v>
      </c>
      <c r="S36" s="12">
        <v>321</v>
      </c>
      <c r="T36" s="12">
        <v>335</v>
      </c>
      <c r="U36" s="12">
        <v>146</v>
      </c>
      <c r="V36" s="12">
        <v>321</v>
      </c>
      <c r="W36" s="12">
        <v>120</v>
      </c>
      <c r="X36" s="12">
        <v>332</v>
      </c>
      <c r="Y36" s="12">
        <v>273</v>
      </c>
      <c r="Z36" s="12">
        <v>236</v>
      </c>
      <c r="AA36" s="12">
        <v>264</v>
      </c>
      <c r="AB36" s="12">
        <v>252</v>
      </c>
      <c r="AC36" s="12">
        <v>273</v>
      </c>
      <c r="AD36" s="12">
        <v>296</v>
      </c>
      <c r="AE36" s="12">
        <v>295</v>
      </c>
      <c r="AF36" s="12">
        <v>314</v>
      </c>
    </row>
    <row r="37" spans="1:32">
      <c r="A37" s="19"/>
      <c r="B37" s="13" t="s">
        <v>591</v>
      </c>
      <c r="C37" s="14">
        <v>0.26</v>
      </c>
      <c r="D37" s="14">
        <v>0.28999999999999998</v>
      </c>
      <c r="E37" s="14">
        <v>0.26</v>
      </c>
      <c r="F37" s="14">
        <v>0.33</v>
      </c>
      <c r="G37" s="14">
        <v>0.31</v>
      </c>
      <c r="H37" s="14">
        <v>0.28999999999999998</v>
      </c>
      <c r="I37" s="14">
        <v>0.28000000000000003</v>
      </c>
      <c r="J37" s="14">
        <v>0.25</v>
      </c>
      <c r="K37" s="14">
        <v>0.27</v>
      </c>
      <c r="L37" s="14">
        <v>0.19</v>
      </c>
      <c r="M37" s="14">
        <v>0.21</v>
      </c>
      <c r="N37" s="14">
        <v>0.19</v>
      </c>
      <c r="O37" s="14">
        <v>0.31</v>
      </c>
      <c r="P37" s="14">
        <v>0.27</v>
      </c>
      <c r="Q37" s="14">
        <v>0.16</v>
      </c>
      <c r="R37" s="14">
        <v>0.18</v>
      </c>
      <c r="S37" s="14">
        <v>0.32</v>
      </c>
      <c r="T37" s="14">
        <v>0.32</v>
      </c>
      <c r="U37" s="14">
        <v>0.28999999999999998</v>
      </c>
      <c r="V37" s="14">
        <v>0.32</v>
      </c>
      <c r="W37" s="14">
        <v>0.24</v>
      </c>
      <c r="X37" s="14">
        <v>0.33</v>
      </c>
      <c r="Y37" s="14">
        <v>0.27</v>
      </c>
      <c r="Z37" s="14">
        <v>0.23</v>
      </c>
      <c r="AA37" s="14">
        <v>0.26</v>
      </c>
      <c r="AB37" s="14">
        <v>0.24</v>
      </c>
      <c r="AC37" s="14">
        <v>0.28000000000000003</v>
      </c>
      <c r="AD37" s="14">
        <v>0.28999999999999998</v>
      </c>
      <c r="AE37" s="14">
        <v>0.28999999999999998</v>
      </c>
      <c r="AF37" s="14">
        <v>0.3</v>
      </c>
    </row>
    <row r="38" spans="1:32">
      <c r="A38" s="19"/>
      <c r="B38" s="11" t="s">
        <v>592</v>
      </c>
      <c r="C38" s="12">
        <v>15479</v>
      </c>
      <c r="D38" s="12">
        <v>587</v>
      </c>
      <c r="E38" s="12">
        <v>477</v>
      </c>
      <c r="F38" s="12">
        <v>439</v>
      </c>
      <c r="G38" s="12">
        <v>446</v>
      </c>
      <c r="H38" s="12">
        <v>572</v>
      </c>
      <c r="I38" s="12">
        <v>731</v>
      </c>
      <c r="J38" s="12">
        <v>159</v>
      </c>
      <c r="K38" s="12">
        <v>415</v>
      </c>
      <c r="L38" s="12">
        <v>637</v>
      </c>
      <c r="M38" s="12">
        <v>687</v>
      </c>
      <c r="N38" s="12">
        <v>716</v>
      </c>
      <c r="O38" s="12">
        <v>529</v>
      </c>
      <c r="P38" s="12">
        <v>598</v>
      </c>
      <c r="Q38" s="12">
        <v>771</v>
      </c>
      <c r="R38" s="12">
        <v>362</v>
      </c>
      <c r="S38" s="12">
        <v>415</v>
      </c>
      <c r="T38" s="12">
        <v>447</v>
      </c>
      <c r="U38" s="12">
        <v>315</v>
      </c>
      <c r="V38" s="12">
        <v>493</v>
      </c>
      <c r="W38" s="12">
        <v>315</v>
      </c>
      <c r="X38" s="12">
        <v>541</v>
      </c>
      <c r="Y38" s="12">
        <v>528</v>
      </c>
      <c r="Z38" s="12">
        <v>712</v>
      </c>
      <c r="AA38" s="12">
        <v>678</v>
      </c>
      <c r="AB38" s="12">
        <v>637</v>
      </c>
      <c r="AC38" s="12">
        <v>403</v>
      </c>
      <c r="AD38" s="12">
        <v>503</v>
      </c>
      <c r="AE38" s="12">
        <v>534</v>
      </c>
      <c r="AF38" s="12">
        <v>417</v>
      </c>
    </row>
    <row r="39" spans="1:32">
      <c r="A39" s="19"/>
      <c r="B39" s="13" t="s">
        <v>593</v>
      </c>
      <c r="C39" s="14">
        <v>0.59</v>
      </c>
      <c r="D39" s="14">
        <v>0.57999999999999996</v>
      </c>
      <c r="E39" s="14">
        <v>0.45</v>
      </c>
      <c r="F39" s="14">
        <v>0.41</v>
      </c>
      <c r="G39" s="14">
        <v>0.44</v>
      </c>
      <c r="H39" s="14">
        <v>0.47</v>
      </c>
      <c r="I39" s="14">
        <v>0.48</v>
      </c>
      <c r="J39" s="14">
        <v>0.52</v>
      </c>
      <c r="K39" s="14">
        <v>0.41</v>
      </c>
      <c r="L39" s="14">
        <v>0.64</v>
      </c>
      <c r="M39" s="14">
        <v>0.68</v>
      </c>
      <c r="N39" s="14">
        <v>0.71</v>
      </c>
      <c r="O39" s="14">
        <v>0.53</v>
      </c>
      <c r="P39" s="14">
        <v>0.6</v>
      </c>
      <c r="Q39" s="14">
        <v>0.76</v>
      </c>
      <c r="R39" s="14">
        <v>0.72</v>
      </c>
      <c r="S39" s="14">
        <v>0.41</v>
      </c>
      <c r="T39" s="14">
        <v>0.44</v>
      </c>
      <c r="U39" s="14">
        <v>0.62</v>
      </c>
      <c r="V39" s="14">
        <v>0.47</v>
      </c>
      <c r="W39" s="14">
        <v>0.63</v>
      </c>
      <c r="X39" s="14">
        <v>0.54</v>
      </c>
      <c r="Y39" s="14">
        <v>0.52</v>
      </c>
      <c r="Z39" s="14">
        <v>0.70000000000000007</v>
      </c>
      <c r="AA39" s="14">
        <v>0.65</v>
      </c>
      <c r="AB39" s="14">
        <v>0.62</v>
      </c>
      <c r="AC39" s="14">
        <v>0.4</v>
      </c>
      <c r="AD39" s="14">
        <v>0.5</v>
      </c>
      <c r="AE39" s="14">
        <v>0.54</v>
      </c>
      <c r="AF39" s="14">
        <v>0.42</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614</v>
      </c>
      <c r="C3" s="17"/>
      <c r="D3" s="17"/>
      <c r="E3" s="17"/>
      <c r="F3" s="17"/>
      <c r="H3" s="17" t="s">
        <v>615</v>
      </c>
      <c r="I3" s="17"/>
      <c r="J3" s="17"/>
      <c r="K3" s="17"/>
      <c r="L3" s="17"/>
    </row>
    <row r="4" spans="1:32" ht="27" customHeight="1">
      <c r="B4" s="17" t="s">
        <v>616</v>
      </c>
      <c r="C4" s="17"/>
      <c r="D4" s="17"/>
      <c r="E4" s="17"/>
      <c r="F4" s="17"/>
      <c r="H4" s="17" t="s">
        <v>617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HYPERLINK("#Content!A35","&lt;&lt;Back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446</v>
      </c>
      <c r="D12" s="12">
        <v>26</v>
      </c>
      <c r="E12" s="12">
        <v>28</v>
      </c>
      <c r="F12" s="12">
        <v>24</v>
      </c>
      <c r="G12" s="12">
        <v>82</v>
      </c>
      <c r="H12" s="12">
        <v>15</v>
      </c>
      <c r="I12" s="12">
        <v>17</v>
      </c>
      <c r="J12" s="12">
        <v>1</v>
      </c>
      <c r="K12" s="12">
        <v>50</v>
      </c>
      <c r="L12" s="12">
        <v>49</v>
      </c>
      <c r="M12" s="12">
        <v>9</v>
      </c>
      <c r="N12" s="12">
        <v>16</v>
      </c>
      <c r="O12" s="12">
        <v>24</v>
      </c>
      <c r="P12" s="12">
        <v>14</v>
      </c>
      <c r="Q12" s="12">
        <v>12</v>
      </c>
      <c r="R12" s="12">
        <v>7</v>
      </c>
      <c r="S12" s="12">
        <v>57</v>
      </c>
      <c r="T12" s="12">
        <v>53</v>
      </c>
      <c r="U12" s="12">
        <v>12</v>
      </c>
      <c r="V12" s="12">
        <v>22</v>
      </c>
      <c r="W12" s="12">
        <v>11</v>
      </c>
      <c r="X12" s="12">
        <v>20</v>
      </c>
      <c r="Y12" s="12">
        <v>6</v>
      </c>
      <c r="Z12" s="12">
        <v>1</v>
      </c>
      <c r="AA12" s="12">
        <v>1</v>
      </c>
      <c r="AB12" s="12">
        <v>20</v>
      </c>
      <c r="AC12" s="12">
        <v>57</v>
      </c>
      <c r="AD12" s="12">
        <v>27</v>
      </c>
      <c r="AE12" s="12">
        <v>16</v>
      </c>
      <c r="AF12" s="12">
        <v>25</v>
      </c>
    </row>
    <row r="13" spans="1:32">
      <c r="A13" s="19"/>
      <c r="B13" s="13" t="s">
        <v>577</v>
      </c>
      <c r="C13" s="14">
        <v>0.02</v>
      </c>
      <c r="D13" s="14">
        <v>0.03</v>
      </c>
      <c r="E13" s="14">
        <v>0.03</v>
      </c>
      <c r="F13" s="14">
        <v>0.02</v>
      </c>
      <c r="G13" s="14">
        <v>0.08</v>
      </c>
      <c r="H13" s="14">
        <v>0.01</v>
      </c>
      <c r="I13" s="14">
        <v>0.01</v>
      </c>
      <c r="J13" s="15" t="s">
        <v>375</v>
      </c>
      <c r="K13" s="14">
        <v>0.05</v>
      </c>
      <c r="L13" s="14">
        <v>0.05</v>
      </c>
      <c r="M13" s="14">
        <v>0.01</v>
      </c>
      <c r="N13" s="14">
        <v>0.02</v>
      </c>
      <c r="O13" s="14">
        <v>0.02</v>
      </c>
      <c r="P13" s="14">
        <v>0.01</v>
      </c>
      <c r="Q13" s="14">
        <v>0.01</v>
      </c>
      <c r="R13" s="14">
        <v>0.01</v>
      </c>
      <c r="S13" s="14">
        <v>0.06</v>
      </c>
      <c r="T13" s="14">
        <v>0.05</v>
      </c>
      <c r="U13" s="14">
        <v>0.02</v>
      </c>
      <c r="V13" s="14">
        <v>0.02</v>
      </c>
      <c r="W13" s="14">
        <v>0.02</v>
      </c>
      <c r="X13" s="14">
        <v>0.02</v>
      </c>
      <c r="Y13" s="14">
        <v>0.01</v>
      </c>
      <c r="Z13" s="15" t="s">
        <v>375</v>
      </c>
      <c r="AA13" s="15" t="s">
        <v>375</v>
      </c>
      <c r="AB13" s="14">
        <v>0.02</v>
      </c>
      <c r="AC13" s="14">
        <v>0.06</v>
      </c>
      <c r="AD13" s="14">
        <v>0.03</v>
      </c>
      <c r="AE13" s="14">
        <v>0.02</v>
      </c>
      <c r="AF13" s="14">
        <v>0.02</v>
      </c>
    </row>
    <row r="14" spans="1:32">
      <c r="A14" s="19"/>
      <c r="B14" s="11" t="s">
        <v>578</v>
      </c>
      <c r="C14" s="12">
        <v>711</v>
      </c>
      <c r="D14" s="12">
        <v>19</v>
      </c>
      <c r="E14" s="12">
        <v>15</v>
      </c>
      <c r="F14" s="12">
        <v>17</v>
      </c>
      <c r="G14" s="12">
        <v>82</v>
      </c>
      <c r="H14" s="12">
        <v>90</v>
      </c>
      <c r="I14" s="12">
        <v>96</v>
      </c>
      <c r="J14" s="12">
        <v>6</v>
      </c>
      <c r="K14" s="12">
        <v>48</v>
      </c>
      <c r="L14" s="12">
        <v>20</v>
      </c>
      <c r="M14" s="12">
        <v>11</v>
      </c>
      <c r="N14" s="12">
        <v>19</v>
      </c>
      <c r="O14" s="12">
        <v>15</v>
      </c>
      <c r="P14" s="12">
        <v>17</v>
      </c>
      <c r="Q14" s="12">
        <v>11</v>
      </c>
      <c r="R14" s="12">
        <v>4</v>
      </c>
      <c r="S14" s="12">
        <v>30</v>
      </c>
      <c r="T14" s="12">
        <v>42</v>
      </c>
      <c r="U14" s="12">
        <v>11</v>
      </c>
      <c r="V14" s="12">
        <v>24</v>
      </c>
      <c r="W14" s="12">
        <v>7</v>
      </c>
      <c r="X14" s="12">
        <v>36</v>
      </c>
      <c r="Y14" s="12">
        <v>17</v>
      </c>
      <c r="Z14" s="12">
        <v>6</v>
      </c>
      <c r="AA14" s="12">
        <v>3</v>
      </c>
      <c r="AB14" s="12">
        <v>13</v>
      </c>
      <c r="AC14" s="12">
        <v>40</v>
      </c>
      <c r="AD14" s="12">
        <v>13</v>
      </c>
      <c r="AE14" s="12">
        <v>59</v>
      </c>
      <c r="AF14" s="12">
        <v>79</v>
      </c>
    </row>
    <row r="15" spans="1:32">
      <c r="A15" s="19"/>
      <c r="B15" s="13" t="s">
        <v>578</v>
      </c>
      <c r="C15" s="14">
        <v>0.03</v>
      </c>
      <c r="D15" s="14">
        <v>0.02</v>
      </c>
      <c r="E15" s="14">
        <v>0.01</v>
      </c>
      <c r="F15" s="14">
        <v>0.02</v>
      </c>
      <c r="G15" s="14">
        <v>0.08</v>
      </c>
      <c r="H15" s="14">
        <v>7.0000000000000007E-2</v>
      </c>
      <c r="I15" s="14">
        <v>0.06</v>
      </c>
      <c r="J15" s="14">
        <v>0.02</v>
      </c>
      <c r="K15" s="14">
        <v>0.05</v>
      </c>
      <c r="L15" s="14">
        <v>0.02</v>
      </c>
      <c r="M15" s="14">
        <v>0.01</v>
      </c>
      <c r="N15" s="14">
        <v>0.02</v>
      </c>
      <c r="O15" s="14">
        <v>0.01</v>
      </c>
      <c r="P15" s="14">
        <v>0.02</v>
      </c>
      <c r="Q15" s="14">
        <v>0.01</v>
      </c>
      <c r="R15" s="14">
        <v>0.01</v>
      </c>
      <c r="S15" s="14">
        <v>0.03</v>
      </c>
      <c r="T15" s="14">
        <v>0.04</v>
      </c>
      <c r="U15" s="14">
        <v>0.02</v>
      </c>
      <c r="V15" s="14">
        <v>0.02</v>
      </c>
      <c r="W15" s="14">
        <v>0.02</v>
      </c>
      <c r="X15" s="14">
        <v>0.03</v>
      </c>
      <c r="Y15" s="14">
        <v>0.02</v>
      </c>
      <c r="Z15" s="14">
        <v>0.01</v>
      </c>
      <c r="AA15" s="15" t="s">
        <v>375</v>
      </c>
      <c r="AB15" s="14">
        <v>0.01</v>
      </c>
      <c r="AC15" s="14">
        <v>0.04</v>
      </c>
      <c r="AD15" s="14">
        <v>0.01</v>
      </c>
      <c r="AE15" s="14">
        <v>0.06</v>
      </c>
      <c r="AF15" s="14">
        <v>0.08</v>
      </c>
    </row>
    <row r="16" spans="1:32">
      <c r="A16" s="19"/>
      <c r="B16" s="11" t="s">
        <v>579</v>
      </c>
      <c r="C16" s="12">
        <v>1016</v>
      </c>
      <c r="D16" s="12">
        <v>32</v>
      </c>
      <c r="E16" s="12">
        <v>60</v>
      </c>
      <c r="F16" s="12">
        <v>40</v>
      </c>
      <c r="G16" s="12">
        <v>111</v>
      </c>
      <c r="H16" s="12">
        <v>81</v>
      </c>
      <c r="I16" s="12">
        <v>85</v>
      </c>
      <c r="J16" s="12">
        <v>4</v>
      </c>
      <c r="K16" s="12">
        <v>93</v>
      </c>
      <c r="L16" s="12">
        <v>52</v>
      </c>
      <c r="M16" s="12">
        <v>26</v>
      </c>
      <c r="N16" s="12">
        <v>18</v>
      </c>
      <c r="O16" s="12">
        <v>27</v>
      </c>
      <c r="P16" s="12">
        <v>44</v>
      </c>
      <c r="Q16" s="12">
        <v>16</v>
      </c>
      <c r="R16" s="12">
        <v>5</v>
      </c>
      <c r="S16" s="12">
        <v>57</v>
      </c>
      <c r="T16" s="12">
        <v>59</v>
      </c>
      <c r="U16" s="12">
        <v>11</v>
      </c>
      <c r="V16" s="12">
        <v>62</v>
      </c>
      <c r="W16" s="12">
        <v>17</v>
      </c>
      <c r="X16" s="12">
        <v>88</v>
      </c>
      <c r="Y16" s="12">
        <v>44</v>
      </c>
      <c r="Z16" s="12">
        <v>16</v>
      </c>
      <c r="AA16" s="12">
        <v>31</v>
      </c>
      <c r="AB16" s="12">
        <v>28</v>
      </c>
      <c r="AC16" s="12">
        <v>76</v>
      </c>
      <c r="AD16" s="12">
        <v>81</v>
      </c>
      <c r="AE16" s="12">
        <v>73</v>
      </c>
      <c r="AF16" s="12">
        <v>115</v>
      </c>
    </row>
    <row r="17" spans="1:32">
      <c r="A17" s="19"/>
      <c r="B17" s="13" t="s">
        <v>579</v>
      </c>
      <c r="C17" s="14">
        <v>0.04</v>
      </c>
      <c r="D17" s="14">
        <v>0.03</v>
      </c>
      <c r="E17" s="14">
        <v>0.06</v>
      </c>
      <c r="F17" s="14">
        <v>0.04</v>
      </c>
      <c r="G17" s="14">
        <v>0.11</v>
      </c>
      <c r="H17" s="14">
        <v>7.0000000000000007E-2</v>
      </c>
      <c r="I17" s="14">
        <v>0.06</v>
      </c>
      <c r="J17" s="14">
        <v>0.01</v>
      </c>
      <c r="K17" s="14">
        <v>0.09</v>
      </c>
      <c r="L17" s="14">
        <v>0.05</v>
      </c>
      <c r="M17" s="14">
        <v>0.03</v>
      </c>
      <c r="N17" s="14">
        <v>0.02</v>
      </c>
      <c r="O17" s="14">
        <v>0.03</v>
      </c>
      <c r="P17" s="14">
        <v>0.04</v>
      </c>
      <c r="Q17" s="14">
        <v>0.02</v>
      </c>
      <c r="R17" s="14">
        <v>0.01</v>
      </c>
      <c r="S17" s="14">
        <v>0.06</v>
      </c>
      <c r="T17" s="14">
        <v>0.06</v>
      </c>
      <c r="U17" s="14">
        <v>0.02</v>
      </c>
      <c r="V17" s="14">
        <v>0.06</v>
      </c>
      <c r="W17" s="14">
        <v>0.03</v>
      </c>
      <c r="X17" s="14">
        <v>0.09</v>
      </c>
      <c r="Y17" s="14">
        <v>0.04</v>
      </c>
      <c r="Z17" s="14">
        <v>0.02</v>
      </c>
      <c r="AA17" s="14">
        <v>0.03</v>
      </c>
      <c r="AB17" s="14">
        <v>0.03</v>
      </c>
      <c r="AC17" s="14">
        <v>7.0000000000000007E-2</v>
      </c>
      <c r="AD17" s="14">
        <v>0.08</v>
      </c>
      <c r="AE17" s="14">
        <v>7.0000000000000007E-2</v>
      </c>
      <c r="AF17" s="14">
        <v>0.11</v>
      </c>
    </row>
    <row r="18" spans="1:32">
      <c r="A18" s="19"/>
      <c r="B18" s="11" t="s">
        <v>580</v>
      </c>
      <c r="C18" s="12">
        <v>1276</v>
      </c>
      <c r="D18" s="12">
        <v>42</v>
      </c>
      <c r="E18" s="12">
        <v>80</v>
      </c>
      <c r="F18" s="12">
        <v>96</v>
      </c>
      <c r="G18" s="12">
        <v>92</v>
      </c>
      <c r="H18" s="12">
        <v>85</v>
      </c>
      <c r="I18" s="12">
        <v>93</v>
      </c>
      <c r="J18" s="12">
        <v>8</v>
      </c>
      <c r="K18" s="12">
        <v>107</v>
      </c>
      <c r="L18" s="12">
        <v>53</v>
      </c>
      <c r="M18" s="12">
        <v>47</v>
      </c>
      <c r="N18" s="12">
        <v>30</v>
      </c>
      <c r="O18" s="12">
        <v>29</v>
      </c>
      <c r="P18" s="12">
        <v>38</v>
      </c>
      <c r="Q18" s="12">
        <v>23</v>
      </c>
      <c r="R18" s="12">
        <v>13</v>
      </c>
      <c r="S18" s="12">
        <v>70</v>
      </c>
      <c r="T18" s="12">
        <v>46</v>
      </c>
      <c r="U18" s="12">
        <v>33</v>
      </c>
      <c r="V18" s="12">
        <v>91</v>
      </c>
      <c r="W18" s="12">
        <v>18</v>
      </c>
      <c r="X18" s="12">
        <v>90</v>
      </c>
      <c r="Y18" s="12">
        <v>67</v>
      </c>
      <c r="Z18" s="12">
        <v>26</v>
      </c>
      <c r="AA18" s="12">
        <v>116</v>
      </c>
      <c r="AB18" s="12">
        <v>34</v>
      </c>
      <c r="AC18" s="12">
        <v>84</v>
      </c>
      <c r="AD18" s="12">
        <v>90</v>
      </c>
      <c r="AE18" s="12">
        <v>97</v>
      </c>
      <c r="AF18" s="12">
        <v>100</v>
      </c>
    </row>
    <row r="19" spans="1:32">
      <c r="A19" s="19"/>
      <c r="B19" s="13" t="s">
        <v>580</v>
      </c>
      <c r="C19" s="14">
        <v>0.05</v>
      </c>
      <c r="D19" s="14">
        <v>0.04</v>
      </c>
      <c r="E19" s="14">
        <v>0.08</v>
      </c>
      <c r="F19" s="14">
        <v>0.09</v>
      </c>
      <c r="G19" s="14">
        <v>0.09</v>
      </c>
      <c r="H19" s="14">
        <v>7.0000000000000007E-2</v>
      </c>
      <c r="I19" s="14">
        <v>0.06</v>
      </c>
      <c r="J19" s="14">
        <v>0.03</v>
      </c>
      <c r="K19" s="14">
        <v>0.11</v>
      </c>
      <c r="L19" s="14">
        <v>0.05</v>
      </c>
      <c r="M19" s="14">
        <v>0.05</v>
      </c>
      <c r="N19" s="14">
        <v>0.03</v>
      </c>
      <c r="O19" s="14">
        <v>0.03</v>
      </c>
      <c r="P19" s="14">
        <v>0.04</v>
      </c>
      <c r="Q19" s="14">
        <v>0.02</v>
      </c>
      <c r="R19" s="14">
        <v>0.03</v>
      </c>
      <c r="S19" s="14">
        <v>7.0000000000000007E-2</v>
      </c>
      <c r="T19" s="14">
        <v>0.05</v>
      </c>
      <c r="U19" s="14">
        <v>0.06</v>
      </c>
      <c r="V19" s="14">
        <v>0.09</v>
      </c>
      <c r="W19" s="14">
        <v>0.04</v>
      </c>
      <c r="X19" s="14">
        <v>0.09</v>
      </c>
      <c r="Y19" s="14">
        <v>7.0000000000000007E-2</v>
      </c>
      <c r="Z19" s="14">
        <v>0.03</v>
      </c>
      <c r="AA19" s="14">
        <v>0.11</v>
      </c>
      <c r="AB19" s="14">
        <v>0.03</v>
      </c>
      <c r="AC19" s="14">
        <v>0.08</v>
      </c>
      <c r="AD19" s="14">
        <v>0.09</v>
      </c>
      <c r="AE19" s="14">
        <v>0.1</v>
      </c>
      <c r="AF19" s="14">
        <v>0.1</v>
      </c>
    </row>
    <row r="20" spans="1:32">
      <c r="A20" s="19"/>
      <c r="B20" s="11" t="s">
        <v>581</v>
      </c>
      <c r="C20" s="12">
        <v>2426</v>
      </c>
      <c r="D20" s="12">
        <v>104</v>
      </c>
      <c r="E20" s="12">
        <v>124</v>
      </c>
      <c r="F20" s="12">
        <v>141</v>
      </c>
      <c r="G20" s="12">
        <v>158</v>
      </c>
      <c r="H20" s="12">
        <v>165</v>
      </c>
      <c r="I20" s="12">
        <v>190</v>
      </c>
      <c r="J20" s="12">
        <v>25</v>
      </c>
      <c r="K20" s="12">
        <v>163</v>
      </c>
      <c r="L20" s="12">
        <v>97</v>
      </c>
      <c r="M20" s="12">
        <v>90</v>
      </c>
      <c r="N20" s="12">
        <v>51</v>
      </c>
      <c r="O20" s="12">
        <v>94</v>
      </c>
      <c r="P20" s="12">
        <v>70</v>
      </c>
      <c r="Q20" s="12">
        <v>37</v>
      </c>
      <c r="R20" s="12">
        <v>43</v>
      </c>
      <c r="S20" s="12">
        <v>115</v>
      </c>
      <c r="T20" s="12">
        <v>144</v>
      </c>
      <c r="U20" s="12">
        <v>49</v>
      </c>
      <c r="V20" s="12">
        <v>123</v>
      </c>
      <c r="W20" s="12">
        <v>35</v>
      </c>
      <c r="X20" s="12">
        <v>138</v>
      </c>
      <c r="Y20" s="12">
        <v>102</v>
      </c>
      <c r="Z20" s="12">
        <v>70</v>
      </c>
      <c r="AA20" s="12">
        <v>76</v>
      </c>
      <c r="AB20" s="12">
        <v>102</v>
      </c>
      <c r="AC20" s="12">
        <v>137</v>
      </c>
      <c r="AD20" s="12">
        <v>173</v>
      </c>
      <c r="AE20" s="12">
        <v>104</v>
      </c>
      <c r="AF20" s="12">
        <v>131</v>
      </c>
    </row>
    <row r="21" spans="1:32">
      <c r="A21" s="19"/>
      <c r="B21" s="13" t="s">
        <v>581</v>
      </c>
      <c r="C21" s="14">
        <v>0.09</v>
      </c>
      <c r="D21" s="14">
        <v>0.1</v>
      </c>
      <c r="E21" s="14">
        <v>0.12</v>
      </c>
      <c r="F21" s="14">
        <v>0.13</v>
      </c>
      <c r="G21" s="14">
        <v>0.16</v>
      </c>
      <c r="H21" s="14">
        <v>0.13</v>
      </c>
      <c r="I21" s="14">
        <v>0.13</v>
      </c>
      <c r="J21" s="14">
        <v>0.09</v>
      </c>
      <c r="K21" s="14">
        <v>0.16</v>
      </c>
      <c r="L21" s="14">
        <v>0.1</v>
      </c>
      <c r="M21" s="14">
        <v>0.09</v>
      </c>
      <c r="N21" s="14">
        <v>0.05</v>
      </c>
      <c r="O21" s="14">
        <v>0.09</v>
      </c>
      <c r="P21" s="14">
        <v>7.0000000000000007E-2</v>
      </c>
      <c r="Q21" s="14">
        <v>0.04</v>
      </c>
      <c r="R21" s="14">
        <v>0.09</v>
      </c>
      <c r="S21" s="14">
        <v>0.11</v>
      </c>
      <c r="T21" s="14">
        <v>0.14000000000000001</v>
      </c>
      <c r="U21" s="14">
        <v>0.1</v>
      </c>
      <c r="V21" s="14">
        <v>0.12</v>
      </c>
      <c r="W21" s="14">
        <v>7.0000000000000007E-2</v>
      </c>
      <c r="X21" s="14">
        <v>0.14000000000000001</v>
      </c>
      <c r="Y21" s="14">
        <v>0.1</v>
      </c>
      <c r="Z21" s="14">
        <v>7.0000000000000007E-2</v>
      </c>
      <c r="AA21" s="14">
        <v>7.0000000000000007E-2</v>
      </c>
      <c r="AB21" s="14">
        <v>0.1</v>
      </c>
      <c r="AC21" s="14">
        <v>0.14000000000000001</v>
      </c>
      <c r="AD21" s="14">
        <v>0.17</v>
      </c>
      <c r="AE21" s="14">
        <v>0.1</v>
      </c>
      <c r="AF21" s="14">
        <v>0.13</v>
      </c>
    </row>
    <row r="22" spans="1:32">
      <c r="A22" s="19"/>
      <c r="B22" s="11" t="s">
        <v>582</v>
      </c>
      <c r="C22" s="12">
        <v>2592</v>
      </c>
      <c r="D22" s="12">
        <v>132</v>
      </c>
      <c r="E22" s="12">
        <v>140</v>
      </c>
      <c r="F22" s="12">
        <v>88</v>
      </c>
      <c r="G22" s="12">
        <v>135</v>
      </c>
      <c r="H22" s="12">
        <v>167</v>
      </c>
      <c r="I22" s="12">
        <v>202</v>
      </c>
      <c r="J22" s="12">
        <v>36</v>
      </c>
      <c r="K22" s="12">
        <v>114</v>
      </c>
      <c r="L22" s="12">
        <v>97</v>
      </c>
      <c r="M22" s="12">
        <v>86</v>
      </c>
      <c r="N22" s="12">
        <v>62</v>
      </c>
      <c r="O22" s="12">
        <v>67</v>
      </c>
      <c r="P22" s="12">
        <v>115</v>
      </c>
      <c r="Q22" s="12">
        <v>68</v>
      </c>
      <c r="R22" s="12">
        <v>43</v>
      </c>
      <c r="S22" s="12">
        <v>85</v>
      </c>
      <c r="T22" s="12">
        <v>136</v>
      </c>
      <c r="U22" s="12">
        <v>57</v>
      </c>
      <c r="V22" s="12">
        <v>98</v>
      </c>
      <c r="W22" s="12">
        <v>35</v>
      </c>
      <c r="X22" s="12">
        <v>171</v>
      </c>
      <c r="Y22" s="12">
        <v>133</v>
      </c>
      <c r="Z22" s="12">
        <v>94</v>
      </c>
      <c r="AA22" s="12">
        <v>38</v>
      </c>
      <c r="AB22" s="12">
        <v>148</v>
      </c>
      <c r="AC22" s="12">
        <v>107</v>
      </c>
      <c r="AD22" s="12">
        <v>131</v>
      </c>
      <c r="AE22" s="12">
        <v>121</v>
      </c>
      <c r="AF22" s="12">
        <v>147</v>
      </c>
    </row>
    <row r="23" spans="1:32">
      <c r="A23" s="19"/>
      <c r="B23" s="13" t="s">
        <v>582</v>
      </c>
      <c r="C23" s="14">
        <v>0.1</v>
      </c>
      <c r="D23" s="14">
        <v>0.13</v>
      </c>
      <c r="E23" s="14">
        <v>0.13</v>
      </c>
      <c r="F23" s="14">
        <v>0.08</v>
      </c>
      <c r="G23" s="14">
        <v>0.13</v>
      </c>
      <c r="H23" s="14">
        <v>0.14000000000000001</v>
      </c>
      <c r="I23" s="14">
        <v>0.13</v>
      </c>
      <c r="J23" s="14">
        <v>0.12</v>
      </c>
      <c r="K23" s="14">
        <v>0.11</v>
      </c>
      <c r="L23" s="14">
        <v>0.1</v>
      </c>
      <c r="M23" s="14">
        <v>0.08</v>
      </c>
      <c r="N23" s="14">
        <v>0.06</v>
      </c>
      <c r="O23" s="14">
        <v>7.0000000000000007E-2</v>
      </c>
      <c r="P23" s="14">
        <v>0.11</v>
      </c>
      <c r="Q23" s="14">
        <v>7.0000000000000007E-2</v>
      </c>
      <c r="R23" s="14">
        <v>0.08</v>
      </c>
      <c r="S23" s="14">
        <v>0.08</v>
      </c>
      <c r="T23" s="14">
        <v>0.13</v>
      </c>
      <c r="U23" s="14">
        <v>0.11</v>
      </c>
      <c r="V23" s="14">
        <v>0.1</v>
      </c>
      <c r="W23" s="14">
        <v>7.0000000000000007E-2</v>
      </c>
      <c r="X23" s="14">
        <v>0.17</v>
      </c>
      <c r="Y23" s="14">
        <v>0.13</v>
      </c>
      <c r="Z23" s="14">
        <v>0.09</v>
      </c>
      <c r="AA23" s="14">
        <v>0.04</v>
      </c>
      <c r="AB23" s="14">
        <v>0.14000000000000001</v>
      </c>
      <c r="AC23" s="14">
        <v>0.11</v>
      </c>
      <c r="AD23" s="14">
        <v>0.13</v>
      </c>
      <c r="AE23" s="14">
        <v>0.12</v>
      </c>
      <c r="AF23" s="14">
        <v>0.14000000000000001</v>
      </c>
    </row>
    <row r="24" spans="1:32">
      <c r="A24" s="19"/>
      <c r="B24" s="11" t="s">
        <v>583</v>
      </c>
      <c r="C24" s="12">
        <v>4149</v>
      </c>
      <c r="D24" s="12">
        <v>178</v>
      </c>
      <c r="E24" s="12">
        <v>155</v>
      </c>
      <c r="F24" s="12">
        <v>126</v>
      </c>
      <c r="G24" s="12">
        <v>123</v>
      </c>
      <c r="H24" s="12">
        <v>179</v>
      </c>
      <c r="I24" s="12">
        <v>240</v>
      </c>
      <c r="J24" s="12">
        <v>61</v>
      </c>
      <c r="K24" s="12">
        <v>116</v>
      </c>
      <c r="L24" s="12">
        <v>151</v>
      </c>
      <c r="M24" s="12">
        <v>189</v>
      </c>
      <c r="N24" s="12">
        <v>129</v>
      </c>
      <c r="O24" s="12">
        <v>160</v>
      </c>
      <c r="P24" s="12">
        <v>150</v>
      </c>
      <c r="Q24" s="12">
        <v>146</v>
      </c>
      <c r="R24" s="12">
        <v>97</v>
      </c>
      <c r="S24" s="12">
        <v>114</v>
      </c>
      <c r="T24" s="12">
        <v>136</v>
      </c>
      <c r="U24" s="12">
        <v>100</v>
      </c>
      <c r="V24" s="12">
        <v>157</v>
      </c>
      <c r="W24" s="12">
        <v>51</v>
      </c>
      <c r="X24" s="12">
        <v>221</v>
      </c>
      <c r="Y24" s="12">
        <v>175</v>
      </c>
      <c r="Z24" s="12">
        <v>188</v>
      </c>
      <c r="AA24" s="12">
        <v>91</v>
      </c>
      <c r="AB24" s="12">
        <v>214</v>
      </c>
      <c r="AC24" s="12">
        <v>113</v>
      </c>
      <c r="AD24" s="12">
        <v>153</v>
      </c>
      <c r="AE24" s="12">
        <v>194</v>
      </c>
      <c r="AF24" s="12">
        <v>169</v>
      </c>
    </row>
    <row r="25" spans="1:32">
      <c r="A25" s="19"/>
      <c r="B25" s="13" t="s">
        <v>583</v>
      </c>
      <c r="C25" s="14">
        <v>0.15</v>
      </c>
      <c r="D25" s="14">
        <v>0.17</v>
      </c>
      <c r="E25" s="14">
        <v>0.15</v>
      </c>
      <c r="F25" s="14">
        <v>0.12</v>
      </c>
      <c r="G25" s="14">
        <v>0.12</v>
      </c>
      <c r="H25" s="14">
        <v>0.15</v>
      </c>
      <c r="I25" s="14">
        <v>0.16</v>
      </c>
      <c r="J25" s="14">
        <v>0.2</v>
      </c>
      <c r="K25" s="14">
        <v>0.12</v>
      </c>
      <c r="L25" s="14">
        <v>0.15</v>
      </c>
      <c r="M25" s="14">
        <v>0.19</v>
      </c>
      <c r="N25" s="14">
        <v>0.13</v>
      </c>
      <c r="O25" s="14">
        <v>0.16</v>
      </c>
      <c r="P25" s="14">
        <v>0.15</v>
      </c>
      <c r="Q25" s="14">
        <v>0.14000000000000001</v>
      </c>
      <c r="R25" s="14">
        <v>0.19</v>
      </c>
      <c r="S25" s="14">
        <v>0.11</v>
      </c>
      <c r="T25" s="14">
        <v>0.13</v>
      </c>
      <c r="U25" s="14">
        <v>0.2</v>
      </c>
      <c r="V25" s="14">
        <v>0.15</v>
      </c>
      <c r="W25" s="14">
        <v>0.1</v>
      </c>
      <c r="X25" s="14">
        <v>0.22</v>
      </c>
      <c r="Y25" s="14">
        <v>0.18</v>
      </c>
      <c r="Z25" s="14">
        <v>0.18</v>
      </c>
      <c r="AA25" s="14">
        <v>0.09</v>
      </c>
      <c r="AB25" s="14">
        <v>0.2</v>
      </c>
      <c r="AC25" s="14">
        <v>0.11</v>
      </c>
      <c r="AD25" s="14">
        <v>0.15</v>
      </c>
      <c r="AE25" s="14">
        <v>0.19</v>
      </c>
      <c r="AF25" s="14">
        <v>0.16</v>
      </c>
    </row>
    <row r="26" spans="1:32">
      <c r="A26" s="19"/>
      <c r="B26" s="11" t="s">
        <v>584</v>
      </c>
      <c r="C26" s="12">
        <v>5034</v>
      </c>
      <c r="D26" s="12">
        <v>205</v>
      </c>
      <c r="E26" s="12">
        <v>139</v>
      </c>
      <c r="F26" s="12">
        <v>170</v>
      </c>
      <c r="G26" s="12">
        <v>101</v>
      </c>
      <c r="H26" s="12">
        <v>169</v>
      </c>
      <c r="I26" s="12">
        <v>221</v>
      </c>
      <c r="J26" s="12">
        <v>52</v>
      </c>
      <c r="K26" s="12">
        <v>105</v>
      </c>
      <c r="L26" s="12">
        <v>175</v>
      </c>
      <c r="M26" s="12">
        <v>279</v>
      </c>
      <c r="N26" s="12">
        <v>207</v>
      </c>
      <c r="O26" s="12">
        <v>214</v>
      </c>
      <c r="P26" s="12">
        <v>204</v>
      </c>
      <c r="Q26" s="12">
        <v>241</v>
      </c>
      <c r="R26" s="12">
        <v>99</v>
      </c>
      <c r="S26" s="12">
        <v>126</v>
      </c>
      <c r="T26" s="12">
        <v>147</v>
      </c>
      <c r="U26" s="12">
        <v>70</v>
      </c>
      <c r="V26" s="12">
        <v>175</v>
      </c>
      <c r="W26" s="12">
        <v>77</v>
      </c>
      <c r="X26" s="12">
        <v>152</v>
      </c>
      <c r="Y26" s="12">
        <v>151</v>
      </c>
      <c r="Z26" s="12">
        <v>252</v>
      </c>
      <c r="AA26" s="12">
        <v>163</v>
      </c>
      <c r="AB26" s="12">
        <v>206</v>
      </c>
      <c r="AC26" s="12">
        <v>139</v>
      </c>
      <c r="AD26" s="12">
        <v>156</v>
      </c>
      <c r="AE26" s="12">
        <v>163</v>
      </c>
      <c r="AF26" s="12">
        <v>138</v>
      </c>
    </row>
    <row r="27" spans="1:32">
      <c r="A27" s="19"/>
      <c r="B27" s="13" t="s">
        <v>584</v>
      </c>
      <c r="C27" s="14">
        <v>0.19</v>
      </c>
      <c r="D27" s="14">
        <v>0.2</v>
      </c>
      <c r="E27" s="14">
        <v>0.13</v>
      </c>
      <c r="F27" s="14">
        <v>0.16</v>
      </c>
      <c r="G27" s="14">
        <v>0.1</v>
      </c>
      <c r="H27" s="14">
        <v>0.14000000000000001</v>
      </c>
      <c r="I27" s="14">
        <v>0.14000000000000001</v>
      </c>
      <c r="J27" s="14">
        <v>0.18</v>
      </c>
      <c r="K27" s="14">
        <v>0.1</v>
      </c>
      <c r="L27" s="14">
        <v>0.17</v>
      </c>
      <c r="M27" s="14">
        <v>0.28000000000000003</v>
      </c>
      <c r="N27" s="14">
        <v>0.2</v>
      </c>
      <c r="O27" s="14">
        <v>0.21</v>
      </c>
      <c r="P27" s="14">
        <v>0.2</v>
      </c>
      <c r="Q27" s="14">
        <v>0.23</v>
      </c>
      <c r="R27" s="14">
        <v>0.2</v>
      </c>
      <c r="S27" s="14">
        <v>0.13</v>
      </c>
      <c r="T27" s="14">
        <v>0.14000000000000001</v>
      </c>
      <c r="U27" s="14">
        <v>0.14000000000000001</v>
      </c>
      <c r="V27" s="14">
        <v>0.17</v>
      </c>
      <c r="W27" s="14">
        <v>0.15</v>
      </c>
      <c r="X27" s="14">
        <v>0.15</v>
      </c>
      <c r="Y27" s="14">
        <v>0.15</v>
      </c>
      <c r="Z27" s="14">
        <v>0.25</v>
      </c>
      <c r="AA27" s="14">
        <v>0.16</v>
      </c>
      <c r="AB27" s="14">
        <v>0.2</v>
      </c>
      <c r="AC27" s="14">
        <v>0.14000000000000001</v>
      </c>
      <c r="AD27" s="14">
        <v>0.16</v>
      </c>
      <c r="AE27" s="14">
        <v>0.16</v>
      </c>
      <c r="AF27" s="14">
        <v>0.13</v>
      </c>
    </row>
    <row r="28" spans="1:32">
      <c r="A28" s="19"/>
      <c r="B28" s="11" t="s">
        <v>585</v>
      </c>
      <c r="C28" s="12">
        <v>3436</v>
      </c>
      <c r="D28" s="12">
        <v>113</v>
      </c>
      <c r="E28" s="12">
        <v>93</v>
      </c>
      <c r="F28" s="12">
        <v>134</v>
      </c>
      <c r="G28" s="12">
        <v>56</v>
      </c>
      <c r="H28" s="12">
        <v>105</v>
      </c>
      <c r="I28" s="12">
        <v>138</v>
      </c>
      <c r="J28" s="12">
        <v>33</v>
      </c>
      <c r="K28" s="12">
        <v>68</v>
      </c>
      <c r="L28" s="12">
        <v>81</v>
      </c>
      <c r="M28" s="12">
        <v>152</v>
      </c>
      <c r="N28" s="12">
        <v>163</v>
      </c>
      <c r="O28" s="12">
        <v>127</v>
      </c>
      <c r="P28" s="12">
        <v>118</v>
      </c>
      <c r="Q28" s="12">
        <v>210</v>
      </c>
      <c r="R28" s="12">
        <v>66</v>
      </c>
      <c r="S28" s="12">
        <v>116</v>
      </c>
      <c r="T28" s="12">
        <v>92</v>
      </c>
      <c r="U28" s="12">
        <v>40</v>
      </c>
      <c r="V28" s="12">
        <v>132</v>
      </c>
      <c r="W28" s="12">
        <v>110</v>
      </c>
      <c r="X28" s="12">
        <v>53</v>
      </c>
      <c r="Y28" s="12">
        <v>94</v>
      </c>
      <c r="Z28" s="12">
        <v>166</v>
      </c>
      <c r="AA28" s="12">
        <v>185</v>
      </c>
      <c r="AB28" s="12">
        <v>139</v>
      </c>
      <c r="AC28" s="12">
        <v>58</v>
      </c>
      <c r="AD28" s="12">
        <v>105</v>
      </c>
      <c r="AE28" s="12">
        <v>86</v>
      </c>
      <c r="AF28" s="12">
        <v>51</v>
      </c>
    </row>
    <row r="29" spans="1:32">
      <c r="A29" s="19"/>
      <c r="B29" s="13" t="s">
        <v>585</v>
      </c>
      <c r="C29" s="14">
        <v>0.13</v>
      </c>
      <c r="D29" s="14">
        <v>0.11</v>
      </c>
      <c r="E29" s="14">
        <v>0.09</v>
      </c>
      <c r="F29" s="14">
        <v>0.13</v>
      </c>
      <c r="G29" s="14">
        <v>0.06</v>
      </c>
      <c r="H29" s="14">
        <v>0.08</v>
      </c>
      <c r="I29" s="14">
        <v>0.09</v>
      </c>
      <c r="J29" s="14">
        <v>0.11</v>
      </c>
      <c r="K29" s="14">
        <v>7.0000000000000007E-2</v>
      </c>
      <c r="L29" s="14">
        <v>0.08</v>
      </c>
      <c r="M29" s="14">
        <v>0.15</v>
      </c>
      <c r="N29" s="14">
        <v>0.16</v>
      </c>
      <c r="O29" s="14">
        <v>0.13</v>
      </c>
      <c r="P29" s="14">
        <v>0.12</v>
      </c>
      <c r="Q29" s="14">
        <v>0.2</v>
      </c>
      <c r="R29" s="14">
        <v>0.13</v>
      </c>
      <c r="S29" s="14">
        <v>0.12</v>
      </c>
      <c r="T29" s="14">
        <v>0.09</v>
      </c>
      <c r="U29" s="14">
        <v>0.08</v>
      </c>
      <c r="V29" s="14">
        <v>0.13</v>
      </c>
      <c r="W29" s="14">
        <v>0.22</v>
      </c>
      <c r="X29" s="14">
        <v>0.05</v>
      </c>
      <c r="Y29" s="14">
        <v>0.09</v>
      </c>
      <c r="Z29" s="14">
        <v>0.16</v>
      </c>
      <c r="AA29" s="14">
        <v>0.18</v>
      </c>
      <c r="AB29" s="14">
        <v>0.13</v>
      </c>
      <c r="AC29" s="14">
        <v>0.06</v>
      </c>
      <c r="AD29" s="14">
        <v>0.11</v>
      </c>
      <c r="AE29" s="14">
        <v>0.09</v>
      </c>
      <c r="AF29" s="14">
        <v>0.05</v>
      </c>
    </row>
    <row r="30" spans="1:32">
      <c r="A30" s="19"/>
      <c r="B30" s="11" t="s">
        <v>586</v>
      </c>
      <c r="C30" s="12">
        <v>5269</v>
      </c>
      <c r="D30" s="12">
        <v>169</v>
      </c>
      <c r="E30" s="12">
        <v>207</v>
      </c>
      <c r="F30" s="12">
        <v>225</v>
      </c>
      <c r="G30" s="12">
        <v>64</v>
      </c>
      <c r="H30" s="12">
        <v>171</v>
      </c>
      <c r="I30" s="12">
        <v>242</v>
      </c>
      <c r="J30" s="12">
        <v>71</v>
      </c>
      <c r="K30" s="12">
        <v>135</v>
      </c>
      <c r="L30" s="12">
        <v>227</v>
      </c>
      <c r="M30" s="12">
        <v>113</v>
      </c>
      <c r="N30" s="12">
        <v>315</v>
      </c>
      <c r="O30" s="12">
        <v>239</v>
      </c>
      <c r="P30" s="12">
        <v>227</v>
      </c>
      <c r="Q30" s="12">
        <v>268</v>
      </c>
      <c r="R30" s="12">
        <v>123</v>
      </c>
      <c r="S30" s="12">
        <v>225</v>
      </c>
      <c r="T30" s="12">
        <v>160</v>
      </c>
      <c r="U30" s="12">
        <v>125</v>
      </c>
      <c r="V30" s="12">
        <v>141</v>
      </c>
      <c r="W30" s="12">
        <v>141</v>
      </c>
      <c r="X30" s="12">
        <v>40</v>
      </c>
      <c r="Y30" s="12">
        <v>210</v>
      </c>
      <c r="Z30" s="12">
        <v>194</v>
      </c>
      <c r="AA30" s="12">
        <v>326</v>
      </c>
      <c r="AB30" s="12">
        <v>121</v>
      </c>
      <c r="AC30" s="12">
        <v>193</v>
      </c>
      <c r="AD30" s="12">
        <v>72</v>
      </c>
      <c r="AE30" s="12">
        <v>81</v>
      </c>
      <c r="AF30" s="12">
        <v>78</v>
      </c>
    </row>
    <row r="31" spans="1:32">
      <c r="A31" s="19"/>
      <c r="B31" s="13" t="s">
        <v>587</v>
      </c>
      <c r="C31" s="14">
        <v>0.2</v>
      </c>
      <c r="D31" s="14">
        <v>0.17</v>
      </c>
      <c r="E31" s="14">
        <v>0.2</v>
      </c>
      <c r="F31" s="14">
        <v>0.21</v>
      </c>
      <c r="G31" s="14">
        <v>0.06</v>
      </c>
      <c r="H31" s="14">
        <v>0.14000000000000001</v>
      </c>
      <c r="I31" s="14">
        <v>0.16</v>
      </c>
      <c r="J31" s="14">
        <v>0.24</v>
      </c>
      <c r="K31" s="14">
        <v>0.13</v>
      </c>
      <c r="L31" s="14">
        <v>0.23</v>
      </c>
      <c r="M31" s="14">
        <v>0.11</v>
      </c>
      <c r="N31" s="14">
        <v>0.31</v>
      </c>
      <c r="O31" s="14">
        <v>0.24</v>
      </c>
      <c r="P31" s="14">
        <v>0.23</v>
      </c>
      <c r="Q31" s="14">
        <v>0.26</v>
      </c>
      <c r="R31" s="14">
        <v>0.25</v>
      </c>
      <c r="S31" s="14">
        <v>0.22</v>
      </c>
      <c r="T31" s="14">
        <v>0.16</v>
      </c>
      <c r="U31" s="14">
        <v>0.25</v>
      </c>
      <c r="V31" s="14">
        <v>0.14000000000000001</v>
      </c>
      <c r="W31" s="14">
        <v>0.28000000000000003</v>
      </c>
      <c r="X31" s="14">
        <v>0.04</v>
      </c>
      <c r="Y31" s="14">
        <v>0.21</v>
      </c>
      <c r="Z31" s="14">
        <v>0.19</v>
      </c>
      <c r="AA31" s="14">
        <v>0.31</v>
      </c>
      <c r="AB31" s="14">
        <v>0.12</v>
      </c>
      <c r="AC31" s="14">
        <v>0.19</v>
      </c>
      <c r="AD31" s="14">
        <v>7.0000000000000007E-2</v>
      </c>
      <c r="AE31" s="14">
        <v>0.08</v>
      </c>
      <c r="AF31" s="14">
        <v>0.08</v>
      </c>
    </row>
    <row r="32" spans="1:32">
      <c r="A32" s="19"/>
      <c r="B32" s="11" t="s">
        <v>386</v>
      </c>
      <c r="C32" s="12">
        <v>97</v>
      </c>
      <c r="D32" s="12">
        <v>3</v>
      </c>
      <c r="E32" s="12">
        <v>5</v>
      </c>
      <c r="F32" s="12">
        <v>3</v>
      </c>
      <c r="G32" s="12">
        <v>12</v>
      </c>
      <c r="H32" s="12">
        <v>3</v>
      </c>
      <c r="I32" s="12">
        <v>3</v>
      </c>
      <c r="J32" s="12">
        <v>0</v>
      </c>
      <c r="K32" s="12">
        <v>5</v>
      </c>
      <c r="L32" s="12">
        <v>4</v>
      </c>
      <c r="M32" s="12">
        <v>5</v>
      </c>
      <c r="N32" s="12">
        <v>2</v>
      </c>
      <c r="O32" s="12">
        <v>7</v>
      </c>
      <c r="P32" s="12">
        <v>7</v>
      </c>
      <c r="Q32" s="12">
        <v>1</v>
      </c>
      <c r="R32" s="12">
        <v>1</v>
      </c>
      <c r="S32" s="12">
        <v>9</v>
      </c>
      <c r="T32" s="12">
        <v>7</v>
      </c>
      <c r="U32" s="12">
        <v>2</v>
      </c>
      <c r="V32" s="12">
        <v>2</v>
      </c>
      <c r="W32" s="12">
        <v>1</v>
      </c>
      <c r="X32" s="12">
        <v>1</v>
      </c>
      <c r="Y32" s="12">
        <v>3</v>
      </c>
      <c r="Z32" s="12">
        <v>2</v>
      </c>
      <c r="AA32" s="12">
        <v>7</v>
      </c>
      <c r="AB32" s="12">
        <v>16</v>
      </c>
      <c r="AC32" s="12">
        <v>1</v>
      </c>
      <c r="AD32" s="12">
        <v>2</v>
      </c>
      <c r="AE32" s="12">
        <v>8</v>
      </c>
      <c r="AF32" s="12">
        <v>0</v>
      </c>
    </row>
    <row r="33" spans="1:32">
      <c r="A33" s="19"/>
      <c r="B33" s="13" t="s">
        <v>399</v>
      </c>
      <c r="C33" s="15" t="s">
        <v>375</v>
      </c>
      <c r="D33" s="15" t="s">
        <v>375</v>
      </c>
      <c r="E33" s="15" t="s">
        <v>375</v>
      </c>
      <c r="F33" s="15" t="s">
        <v>375</v>
      </c>
      <c r="G33" s="14">
        <v>0.01</v>
      </c>
      <c r="H33" s="15" t="s">
        <v>375</v>
      </c>
      <c r="I33" s="15" t="s">
        <v>375</v>
      </c>
      <c r="J33" s="15" t="s">
        <v>375</v>
      </c>
      <c r="K33" s="14">
        <v>0.01</v>
      </c>
      <c r="L33" s="15" t="s">
        <v>375</v>
      </c>
      <c r="M33" s="15" t="s">
        <v>375</v>
      </c>
      <c r="N33" s="15" t="s">
        <v>375</v>
      </c>
      <c r="O33" s="14">
        <v>0.01</v>
      </c>
      <c r="P33" s="14">
        <v>0.01</v>
      </c>
      <c r="Q33" s="15" t="s">
        <v>375</v>
      </c>
      <c r="R33" s="15" t="s">
        <v>375</v>
      </c>
      <c r="S33" s="14">
        <v>0.01</v>
      </c>
      <c r="T33" s="14">
        <v>0.01</v>
      </c>
      <c r="U33" s="15" t="s">
        <v>375</v>
      </c>
      <c r="V33" s="15" t="s">
        <v>375</v>
      </c>
      <c r="W33" s="15" t="s">
        <v>375</v>
      </c>
      <c r="X33" s="15" t="s">
        <v>375</v>
      </c>
      <c r="Y33" s="15" t="s">
        <v>375</v>
      </c>
      <c r="Z33" s="15" t="s">
        <v>375</v>
      </c>
      <c r="AA33" s="14">
        <v>0.01</v>
      </c>
      <c r="AB33" s="14">
        <v>0.02</v>
      </c>
      <c r="AC33" s="15" t="s">
        <v>375</v>
      </c>
      <c r="AD33" s="15" t="s">
        <v>375</v>
      </c>
      <c r="AE33" s="14">
        <v>0.01</v>
      </c>
      <c r="AF33" s="15" t="s">
        <v>375</v>
      </c>
    </row>
    <row r="34" spans="1:32">
      <c r="A34" s="19"/>
      <c r="B34" s="11" t="s">
        <v>588</v>
      </c>
      <c r="C34" s="12">
        <v>3449</v>
      </c>
      <c r="D34" s="12">
        <v>119</v>
      </c>
      <c r="E34" s="12">
        <v>183</v>
      </c>
      <c r="F34" s="12">
        <v>177</v>
      </c>
      <c r="G34" s="12">
        <v>367</v>
      </c>
      <c r="H34" s="12">
        <v>271</v>
      </c>
      <c r="I34" s="12">
        <v>291</v>
      </c>
      <c r="J34" s="12">
        <v>19</v>
      </c>
      <c r="K34" s="12">
        <v>298</v>
      </c>
      <c r="L34" s="12">
        <v>174</v>
      </c>
      <c r="M34" s="12">
        <v>93</v>
      </c>
      <c r="N34" s="12">
        <v>83</v>
      </c>
      <c r="O34" s="12">
        <v>95</v>
      </c>
      <c r="P34" s="12">
        <v>113</v>
      </c>
      <c r="Q34" s="12">
        <v>62</v>
      </c>
      <c r="R34" s="12">
        <v>29</v>
      </c>
      <c r="S34" s="12">
        <v>214</v>
      </c>
      <c r="T34" s="12">
        <v>200</v>
      </c>
      <c r="U34" s="12">
        <v>67</v>
      </c>
      <c r="V34" s="12">
        <v>199</v>
      </c>
      <c r="W34" s="12">
        <v>53</v>
      </c>
      <c r="X34" s="12">
        <v>234</v>
      </c>
      <c r="Y34" s="12">
        <v>134</v>
      </c>
      <c r="Z34" s="12">
        <v>49</v>
      </c>
      <c r="AA34" s="12">
        <v>151</v>
      </c>
      <c r="AB34" s="12">
        <v>95</v>
      </c>
      <c r="AC34" s="12">
        <v>257</v>
      </c>
      <c r="AD34" s="12">
        <v>211</v>
      </c>
      <c r="AE34" s="12">
        <v>245</v>
      </c>
      <c r="AF34" s="12">
        <v>319</v>
      </c>
    </row>
    <row r="35" spans="1:32">
      <c r="A35" s="19"/>
      <c r="B35" s="13" t="s">
        <v>589</v>
      </c>
      <c r="C35" s="14">
        <v>0.14000000000000001</v>
      </c>
      <c r="D35" s="14">
        <v>0.12</v>
      </c>
      <c r="E35" s="14">
        <v>0.18</v>
      </c>
      <c r="F35" s="14">
        <v>0.17</v>
      </c>
      <c r="G35" s="14">
        <v>0.36</v>
      </c>
      <c r="H35" s="14">
        <v>0.22</v>
      </c>
      <c r="I35" s="14">
        <v>0.19</v>
      </c>
      <c r="J35" s="14">
        <v>0.06</v>
      </c>
      <c r="K35" s="14">
        <v>0.3</v>
      </c>
      <c r="L35" s="14">
        <v>0.17</v>
      </c>
      <c r="M35" s="14">
        <v>0.1</v>
      </c>
      <c r="N35" s="14">
        <v>0.09</v>
      </c>
      <c r="O35" s="14">
        <v>0.09</v>
      </c>
      <c r="P35" s="14">
        <v>0.11</v>
      </c>
      <c r="Q35" s="14">
        <v>0.06</v>
      </c>
      <c r="R35" s="14">
        <v>0.06</v>
      </c>
      <c r="S35" s="14">
        <v>0.22</v>
      </c>
      <c r="T35" s="14">
        <v>0.2</v>
      </c>
      <c r="U35" s="14">
        <v>0.12</v>
      </c>
      <c r="V35" s="14">
        <v>0.19</v>
      </c>
      <c r="W35" s="14">
        <v>0.11</v>
      </c>
      <c r="X35" s="14">
        <v>0.23</v>
      </c>
      <c r="Y35" s="14">
        <v>0.14000000000000001</v>
      </c>
      <c r="Z35" s="14">
        <v>0.06</v>
      </c>
      <c r="AA35" s="14">
        <v>0.14000000000000001</v>
      </c>
      <c r="AB35" s="14">
        <v>0.09</v>
      </c>
      <c r="AC35" s="14">
        <v>0.25</v>
      </c>
      <c r="AD35" s="14">
        <v>0.21</v>
      </c>
      <c r="AE35" s="14">
        <v>0.25</v>
      </c>
      <c r="AF35" s="14">
        <v>0.31</v>
      </c>
    </row>
    <row r="36" spans="1:32">
      <c r="A36" s="19"/>
      <c r="B36" s="11" t="s">
        <v>590</v>
      </c>
      <c r="C36" s="12">
        <v>5018</v>
      </c>
      <c r="D36" s="12">
        <v>236</v>
      </c>
      <c r="E36" s="12">
        <v>264</v>
      </c>
      <c r="F36" s="12">
        <v>229</v>
      </c>
      <c r="G36" s="12">
        <v>293</v>
      </c>
      <c r="H36" s="12">
        <v>332</v>
      </c>
      <c r="I36" s="12">
        <v>392</v>
      </c>
      <c r="J36" s="12">
        <v>61</v>
      </c>
      <c r="K36" s="12">
        <v>277</v>
      </c>
      <c r="L36" s="12">
        <v>194</v>
      </c>
      <c r="M36" s="12">
        <v>176</v>
      </c>
      <c r="N36" s="12">
        <v>113</v>
      </c>
      <c r="O36" s="12">
        <v>161</v>
      </c>
      <c r="P36" s="12">
        <v>185</v>
      </c>
      <c r="Q36" s="12">
        <v>105</v>
      </c>
      <c r="R36" s="12">
        <v>86</v>
      </c>
      <c r="S36" s="12">
        <v>200</v>
      </c>
      <c r="T36" s="12">
        <v>280</v>
      </c>
      <c r="U36" s="12">
        <v>106</v>
      </c>
      <c r="V36" s="12">
        <v>221</v>
      </c>
      <c r="W36" s="12">
        <v>70</v>
      </c>
      <c r="X36" s="12">
        <v>309</v>
      </c>
      <c r="Y36" s="12">
        <v>235</v>
      </c>
      <c r="Z36" s="12">
        <v>164</v>
      </c>
      <c r="AA36" s="12">
        <v>114</v>
      </c>
      <c r="AB36" s="12">
        <v>250</v>
      </c>
      <c r="AC36" s="12">
        <v>244</v>
      </c>
      <c r="AD36" s="12">
        <v>304</v>
      </c>
      <c r="AE36" s="12">
        <v>225</v>
      </c>
      <c r="AF36" s="12">
        <v>278</v>
      </c>
    </row>
    <row r="37" spans="1:32">
      <c r="A37" s="19"/>
      <c r="B37" s="13" t="s">
        <v>591</v>
      </c>
      <c r="C37" s="14">
        <v>0.19</v>
      </c>
      <c r="D37" s="14">
        <v>0.23</v>
      </c>
      <c r="E37" s="14">
        <v>0.25</v>
      </c>
      <c r="F37" s="14">
        <v>0.21</v>
      </c>
      <c r="G37" s="14">
        <v>0.28999999999999998</v>
      </c>
      <c r="H37" s="14">
        <v>0.27</v>
      </c>
      <c r="I37" s="14">
        <v>0.26</v>
      </c>
      <c r="J37" s="14">
        <v>0.21</v>
      </c>
      <c r="K37" s="14">
        <v>0.27</v>
      </c>
      <c r="L37" s="14">
        <v>0.2</v>
      </c>
      <c r="M37" s="14">
        <v>0.17</v>
      </c>
      <c r="N37" s="14">
        <v>0.11</v>
      </c>
      <c r="O37" s="14">
        <v>0.16</v>
      </c>
      <c r="P37" s="14">
        <v>0.18</v>
      </c>
      <c r="Q37" s="14">
        <v>0.11</v>
      </c>
      <c r="R37" s="14">
        <v>0.17</v>
      </c>
      <c r="S37" s="14">
        <v>0.19</v>
      </c>
      <c r="T37" s="14">
        <v>0.27</v>
      </c>
      <c r="U37" s="14">
        <v>0.21</v>
      </c>
      <c r="V37" s="14">
        <v>0.22</v>
      </c>
      <c r="W37" s="14">
        <v>0.14000000000000001</v>
      </c>
      <c r="X37" s="14">
        <v>0.31</v>
      </c>
      <c r="Y37" s="14">
        <v>0.23</v>
      </c>
      <c r="Z37" s="14">
        <v>0.16</v>
      </c>
      <c r="AA37" s="14">
        <v>0.11</v>
      </c>
      <c r="AB37" s="14">
        <v>0.24</v>
      </c>
      <c r="AC37" s="14">
        <v>0.25</v>
      </c>
      <c r="AD37" s="14">
        <v>0.3</v>
      </c>
      <c r="AE37" s="14">
        <v>0.22</v>
      </c>
      <c r="AF37" s="14">
        <v>0.27</v>
      </c>
    </row>
    <row r="38" spans="1:32">
      <c r="A38" s="19"/>
      <c r="B38" s="11" t="s">
        <v>592</v>
      </c>
      <c r="C38" s="12">
        <v>17888</v>
      </c>
      <c r="D38" s="12">
        <v>665</v>
      </c>
      <c r="E38" s="12">
        <v>594</v>
      </c>
      <c r="F38" s="12">
        <v>655</v>
      </c>
      <c r="G38" s="12">
        <v>344</v>
      </c>
      <c r="H38" s="12">
        <v>624</v>
      </c>
      <c r="I38" s="12">
        <v>841</v>
      </c>
      <c r="J38" s="12">
        <v>217</v>
      </c>
      <c r="K38" s="12">
        <v>424</v>
      </c>
      <c r="L38" s="12">
        <v>634</v>
      </c>
      <c r="M38" s="12">
        <v>733</v>
      </c>
      <c r="N38" s="12">
        <v>814</v>
      </c>
      <c r="O38" s="12">
        <v>740</v>
      </c>
      <c r="P38" s="12">
        <v>699</v>
      </c>
      <c r="Q38" s="12">
        <v>865</v>
      </c>
      <c r="R38" s="12">
        <v>385</v>
      </c>
      <c r="S38" s="12">
        <v>581</v>
      </c>
      <c r="T38" s="12">
        <v>535</v>
      </c>
      <c r="U38" s="12">
        <v>335</v>
      </c>
      <c r="V38" s="12">
        <v>605</v>
      </c>
      <c r="W38" s="12">
        <v>379</v>
      </c>
      <c r="X38" s="12">
        <v>466</v>
      </c>
      <c r="Y38" s="12">
        <v>630</v>
      </c>
      <c r="Z38" s="12">
        <v>800</v>
      </c>
      <c r="AA38" s="12">
        <v>765</v>
      </c>
      <c r="AB38" s="12">
        <v>680</v>
      </c>
      <c r="AC38" s="12">
        <v>503</v>
      </c>
      <c r="AD38" s="12">
        <v>486</v>
      </c>
      <c r="AE38" s="12">
        <v>524</v>
      </c>
      <c r="AF38" s="12">
        <v>436</v>
      </c>
    </row>
    <row r="39" spans="1:32">
      <c r="A39" s="19"/>
      <c r="B39" s="13" t="s">
        <v>593</v>
      </c>
      <c r="C39" s="14">
        <v>0.67</v>
      </c>
      <c r="D39" s="14">
        <v>0.65</v>
      </c>
      <c r="E39" s="14">
        <v>0.57000000000000006</v>
      </c>
      <c r="F39" s="14">
        <v>0.62</v>
      </c>
      <c r="G39" s="14">
        <v>0.34</v>
      </c>
      <c r="H39" s="14">
        <v>0.51</v>
      </c>
      <c r="I39" s="14">
        <v>0.55000000000000004</v>
      </c>
      <c r="J39" s="14">
        <v>0.73</v>
      </c>
      <c r="K39" s="14">
        <v>0.42</v>
      </c>
      <c r="L39" s="14">
        <v>0.63</v>
      </c>
      <c r="M39" s="14">
        <v>0.73</v>
      </c>
      <c r="N39" s="14">
        <v>0.8</v>
      </c>
      <c r="O39" s="14">
        <v>0.74</v>
      </c>
      <c r="P39" s="14">
        <v>0.70000000000000007</v>
      </c>
      <c r="Q39" s="14">
        <v>0.83000000000000007</v>
      </c>
      <c r="R39" s="14">
        <v>0.77</v>
      </c>
      <c r="S39" s="14">
        <v>0.57999999999999996</v>
      </c>
      <c r="T39" s="14">
        <v>0.52</v>
      </c>
      <c r="U39" s="14">
        <v>0.67</v>
      </c>
      <c r="V39" s="14">
        <v>0.59</v>
      </c>
      <c r="W39" s="14">
        <v>0.75</v>
      </c>
      <c r="X39" s="14">
        <v>0.46</v>
      </c>
      <c r="Y39" s="14">
        <v>0.63</v>
      </c>
      <c r="Z39" s="14">
        <v>0.78</v>
      </c>
      <c r="AA39" s="14">
        <v>0.74</v>
      </c>
      <c r="AB39" s="14">
        <v>0.65</v>
      </c>
      <c r="AC39" s="14">
        <v>0.5</v>
      </c>
      <c r="AD39" s="14">
        <v>0.49</v>
      </c>
      <c r="AE39" s="14">
        <v>0.52</v>
      </c>
      <c r="AF39" s="14">
        <v>0.42</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618</v>
      </c>
      <c r="C3" s="17"/>
      <c r="D3" s="17"/>
      <c r="E3" s="17"/>
      <c r="F3" s="17"/>
      <c r="H3" s="17" t="s">
        <v>619</v>
      </c>
      <c r="I3" s="17"/>
      <c r="J3" s="17"/>
      <c r="K3" s="17"/>
      <c r="L3" s="17"/>
    </row>
    <row r="4" spans="1:32" ht="27" customHeight="1">
      <c r="B4" s="17" t="s">
        <v>620</v>
      </c>
      <c r="C4" s="17"/>
      <c r="D4" s="17"/>
      <c r="E4" s="17"/>
      <c r="F4" s="17"/>
      <c r="H4" s="17" t="s">
        <v>621</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HYPERLINK("#Content!A36","&lt;&lt;Back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694</v>
      </c>
      <c r="D12" s="12">
        <v>21</v>
      </c>
      <c r="E12" s="12">
        <v>34</v>
      </c>
      <c r="F12" s="12">
        <v>29</v>
      </c>
      <c r="G12" s="12">
        <v>44</v>
      </c>
      <c r="H12" s="12">
        <v>44</v>
      </c>
      <c r="I12" s="12">
        <v>47</v>
      </c>
      <c r="J12" s="12">
        <v>4</v>
      </c>
      <c r="K12" s="12">
        <v>53</v>
      </c>
      <c r="L12" s="12">
        <v>21</v>
      </c>
      <c r="M12" s="12">
        <v>10</v>
      </c>
      <c r="N12" s="12">
        <v>35</v>
      </c>
      <c r="O12" s="12">
        <v>53</v>
      </c>
      <c r="P12" s="12">
        <v>11</v>
      </c>
      <c r="Q12" s="12">
        <v>7</v>
      </c>
      <c r="R12" s="12">
        <v>5</v>
      </c>
      <c r="S12" s="12">
        <v>27</v>
      </c>
      <c r="T12" s="12">
        <v>29</v>
      </c>
      <c r="U12" s="12">
        <v>13</v>
      </c>
      <c r="V12" s="12">
        <v>10</v>
      </c>
      <c r="W12" s="12">
        <v>8</v>
      </c>
      <c r="X12" s="12">
        <v>22</v>
      </c>
      <c r="Y12" s="12">
        <v>10</v>
      </c>
      <c r="Z12" s="12">
        <v>1</v>
      </c>
      <c r="AA12" s="12">
        <v>4</v>
      </c>
      <c r="AB12" s="12">
        <v>23</v>
      </c>
      <c r="AC12" s="12">
        <v>32</v>
      </c>
      <c r="AD12" s="12">
        <v>38</v>
      </c>
      <c r="AE12" s="12">
        <v>30</v>
      </c>
      <c r="AF12" s="12">
        <v>62</v>
      </c>
    </row>
    <row r="13" spans="1:32">
      <c r="A13" s="19"/>
      <c r="B13" s="13" t="s">
        <v>577</v>
      </c>
      <c r="C13" s="14">
        <v>0.03</v>
      </c>
      <c r="D13" s="14">
        <v>0.02</v>
      </c>
      <c r="E13" s="14">
        <v>0.03</v>
      </c>
      <c r="F13" s="14">
        <v>0.03</v>
      </c>
      <c r="G13" s="14">
        <v>0.04</v>
      </c>
      <c r="H13" s="14">
        <v>0.04</v>
      </c>
      <c r="I13" s="14">
        <v>0.03</v>
      </c>
      <c r="J13" s="14">
        <v>0.01</v>
      </c>
      <c r="K13" s="14">
        <v>0.05</v>
      </c>
      <c r="L13" s="14">
        <v>0.02</v>
      </c>
      <c r="M13" s="14">
        <v>0.01</v>
      </c>
      <c r="N13" s="14">
        <v>0.03</v>
      </c>
      <c r="O13" s="14">
        <v>0.05</v>
      </c>
      <c r="P13" s="14">
        <v>0.01</v>
      </c>
      <c r="Q13" s="14">
        <v>0.01</v>
      </c>
      <c r="R13" s="14">
        <v>0.01</v>
      </c>
      <c r="S13" s="14">
        <v>0.03</v>
      </c>
      <c r="T13" s="14">
        <v>0.03</v>
      </c>
      <c r="U13" s="14">
        <v>0.02</v>
      </c>
      <c r="V13" s="14">
        <v>0.01</v>
      </c>
      <c r="W13" s="14">
        <v>0.02</v>
      </c>
      <c r="X13" s="14">
        <v>0.02</v>
      </c>
      <c r="Y13" s="14">
        <v>0.01</v>
      </c>
      <c r="Z13" s="15" t="s">
        <v>375</v>
      </c>
      <c r="AA13" s="15" t="s">
        <v>375</v>
      </c>
      <c r="AB13" s="14">
        <v>0.02</v>
      </c>
      <c r="AC13" s="14">
        <v>0.03</v>
      </c>
      <c r="AD13" s="14">
        <v>0.04</v>
      </c>
      <c r="AE13" s="14">
        <v>0.03</v>
      </c>
      <c r="AF13" s="14">
        <v>0.06</v>
      </c>
    </row>
    <row r="14" spans="1:32">
      <c r="A14" s="19"/>
      <c r="B14" s="11" t="s">
        <v>578</v>
      </c>
      <c r="C14" s="12">
        <v>591</v>
      </c>
      <c r="D14" s="12">
        <v>26</v>
      </c>
      <c r="E14" s="12">
        <v>20</v>
      </c>
      <c r="F14" s="12">
        <v>12</v>
      </c>
      <c r="G14" s="12">
        <v>43</v>
      </c>
      <c r="H14" s="12">
        <v>54</v>
      </c>
      <c r="I14" s="12">
        <v>59</v>
      </c>
      <c r="J14" s="12">
        <v>5</v>
      </c>
      <c r="K14" s="12">
        <v>28</v>
      </c>
      <c r="L14" s="12">
        <v>26</v>
      </c>
      <c r="M14" s="12">
        <v>5</v>
      </c>
      <c r="N14" s="12">
        <v>21</v>
      </c>
      <c r="O14" s="12">
        <v>20</v>
      </c>
      <c r="P14" s="12">
        <v>17</v>
      </c>
      <c r="Q14" s="12">
        <v>10</v>
      </c>
      <c r="R14" s="12">
        <v>4</v>
      </c>
      <c r="S14" s="12">
        <v>8</v>
      </c>
      <c r="T14" s="12">
        <v>25</v>
      </c>
      <c r="U14" s="12">
        <v>9</v>
      </c>
      <c r="V14" s="12">
        <v>11</v>
      </c>
      <c r="W14" s="12">
        <v>3</v>
      </c>
      <c r="X14" s="12">
        <v>38</v>
      </c>
      <c r="Y14" s="12">
        <v>16</v>
      </c>
      <c r="Z14" s="12">
        <v>0</v>
      </c>
      <c r="AA14" s="12">
        <v>3</v>
      </c>
      <c r="AB14" s="12">
        <v>15</v>
      </c>
      <c r="AC14" s="12">
        <v>28</v>
      </c>
      <c r="AD14" s="12">
        <v>50</v>
      </c>
      <c r="AE14" s="12">
        <v>54</v>
      </c>
      <c r="AF14" s="12">
        <v>82</v>
      </c>
    </row>
    <row r="15" spans="1:32">
      <c r="A15" s="19"/>
      <c r="B15" s="13" t="s">
        <v>578</v>
      </c>
      <c r="C15" s="14">
        <v>0.02</v>
      </c>
      <c r="D15" s="14">
        <v>0.03</v>
      </c>
      <c r="E15" s="14">
        <v>0.02</v>
      </c>
      <c r="F15" s="14">
        <v>0.01</v>
      </c>
      <c r="G15" s="14">
        <v>0.04</v>
      </c>
      <c r="H15" s="14">
        <v>0.04</v>
      </c>
      <c r="I15" s="14">
        <v>0.04</v>
      </c>
      <c r="J15" s="14">
        <v>0.01</v>
      </c>
      <c r="K15" s="14">
        <v>0.03</v>
      </c>
      <c r="L15" s="14">
        <v>0.03</v>
      </c>
      <c r="M15" s="15" t="s">
        <v>375</v>
      </c>
      <c r="N15" s="14">
        <v>0.02</v>
      </c>
      <c r="O15" s="14">
        <v>0.02</v>
      </c>
      <c r="P15" s="14">
        <v>0.02</v>
      </c>
      <c r="Q15" s="14">
        <v>0.01</v>
      </c>
      <c r="R15" s="14">
        <v>0.01</v>
      </c>
      <c r="S15" s="14">
        <v>0.01</v>
      </c>
      <c r="T15" s="14">
        <v>0.02</v>
      </c>
      <c r="U15" s="14">
        <v>0.02</v>
      </c>
      <c r="V15" s="14">
        <v>0.01</v>
      </c>
      <c r="W15" s="14">
        <v>0.01</v>
      </c>
      <c r="X15" s="14">
        <v>0.04</v>
      </c>
      <c r="Y15" s="14">
        <v>0.02</v>
      </c>
      <c r="Z15" s="15" t="s">
        <v>375</v>
      </c>
      <c r="AA15" s="15" t="s">
        <v>375</v>
      </c>
      <c r="AB15" s="14">
        <v>0.02</v>
      </c>
      <c r="AC15" s="14">
        <v>0.03</v>
      </c>
      <c r="AD15" s="14">
        <v>0.05</v>
      </c>
      <c r="AE15" s="14">
        <v>0.05</v>
      </c>
      <c r="AF15" s="14">
        <v>0.08</v>
      </c>
    </row>
    <row r="16" spans="1:32">
      <c r="A16" s="19"/>
      <c r="B16" s="11" t="s">
        <v>579</v>
      </c>
      <c r="C16" s="12">
        <v>1002</v>
      </c>
      <c r="D16" s="12">
        <v>52</v>
      </c>
      <c r="E16" s="12">
        <v>46</v>
      </c>
      <c r="F16" s="12">
        <v>35</v>
      </c>
      <c r="G16" s="12">
        <v>110</v>
      </c>
      <c r="H16" s="12">
        <v>63</v>
      </c>
      <c r="I16" s="12">
        <v>68</v>
      </c>
      <c r="J16" s="12">
        <v>6</v>
      </c>
      <c r="K16" s="12">
        <v>63</v>
      </c>
      <c r="L16" s="12">
        <v>29</v>
      </c>
      <c r="M16" s="12">
        <v>18</v>
      </c>
      <c r="N16" s="12">
        <v>17</v>
      </c>
      <c r="O16" s="12">
        <v>49</v>
      </c>
      <c r="P16" s="12">
        <v>28</v>
      </c>
      <c r="Q16" s="12">
        <v>14</v>
      </c>
      <c r="R16" s="12">
        <v>7</v>
      </c>
      <c r="S16" s="12">
        <v>32</v>
      </c>
      <c r="T16" s="12">
        <v>25</v>
      </c>
      <c r="U16" s="12">
        <v>15</v>
      </c>
      <c r="V16" s="12">
        <v>54</v>
      </c>
      <c r="W16" s="12">
        <v>11</v>
      </c>
      <c r="X16" s="12">
        <v>91</v>
      </c>
      <c r="Y16" s="12">
        <v>32</v>
      </c>
      <c r="Z16" s="12">
        <v>16</v>
      </c>
      <c r="AA16" s="12">
        <v>5</v>
      </c>
      <c r="AB16" s="12">
        <v>34</v>
      </c>
      <c r="AC16" s="12">
        <v>46</v>
      </c>
      <c r="AD16" s="12">
        <v>83</v>
      </c>
      <c r="AE16" s="12">
        <v>48</v>
      </c>
      <c r="AF16" s="12">
        <v>140</v>
      </c>
    </row>
    <row r="17" spans="1:32">
      <c r="A17" s="19"/>
      <c r="B17" s="13" t="s">
        <v>579</v>
      </c>
      <c r="C17" s="14">
        <v>0.04</v>
      </c>
      <c r="D17" s="14">
        <v>0.05</v>
      </c>
      <c r="E17" s="14">
        <v>0.04</v>
      </c>
      <c r="F17" s="14">
        <v>0.03</v>
      </c>
      <c r="G17" s="14">
        <v>0.11</v>
      </c>
      <c r="H17" s="14">
        <v>0.05</v>
      </c>
      <c r="I17" s="14">
        <v>0.04</v>
      </c>
      <c r="J17" s="14">
        <v>0.02</v>
      </c>
      <c r="K17" s="14">
        <v>0.06</v>
      </c>
      <c r="L17" s="14">
        <v>0.03</v>
      </c>
      <c r="M17" s="14">
        <v>0.02</v>
      </c>
      <c r="N17" s="14">
        <v>0.02</v>
      </c>
      <c r="O17" s="14">
        <v>0.05</v>
      </c>
      <c r="P17" s="14">
        <v>0.03</v>
      </c>
      <c r="Q17" s="14">
        <v>0.01</v>
      </c>
      <c r="R17" s="14">
        <v>0.01</v>
      </c>
      <c r="S17" s="14">
        <v>0.03</v>
      </c>
      <c r="T17" s="14">
        <v>0.02</v>
      </c>
      <c r="U17" s="14">
        <v>0.03</v>
      </c>
      <c r="V17" s="14">
        <v>0.05</v>
      </c>
      <c r="W17" s="14">
        <v>0.02</v>
      </c>
      <c r="X17" s="14">
        <v>0.09</v>
      </c>
      <c r="Y17" s="14">
        <v>0.03</v>
      </c>
      <c r="Z17" s="14">
        <v>0.02</v>
      </c>
      <c r="AA17" s="14">
        <v>0.01</v>
      </c>
      <c r="AB17" s="14">
        <v>0.03</v>
      </c>
      <c r="AC17" s="14">
        <v>0.05</v>
      </c>
      <c r="AD17" s="14">
        <v>0.08</v>
      </c>
      <c r="AE17" s="14">
        <v>0.05</v>
      </c>
      <c r="AF17" s="14">
        <v>0.14000000000000001</v>
      </c>
    </row>
    <row r="18" spans="1:32">
      <c r="A18" s="19"/>
      <c r="B18" s="11" t="s">
        <v>580</v>
      </c>
      <c r="C18" s="12">
        <v>1380</v>
      </c>
      <c r="D18" s="12">
        <v>66</v>
      </c>
      <c r="E18" s="12">
        <v>68</v>
      </c>
      <c r="F18" s="12">
        <v>57</v>
      </c>
      <c r="G18" s="12">
        <v>124</v>
      </c>
      <c r="H18" s="12">
        <v>86</v>
      </c>
      <c r="I18" s="12">
        <v>100</v>
      </c>
      <c r="J18" s="12">
        <v>14</v>
      </c>
      <c r="K18" s="12">
        <v>91</v>
      </c>
      <c r="L18" s="12">
        <v>43</v>
      </c>
      <c r="M18" s="12">
        <v>25</v>
      </c>
      <c r="N18" s="12">
        <v>36</v>
      </c>
      <c r="O18" s="12">
        <v>49</v>
      </c>
      <c r="P18" s="12">
        <v>60</v>
      </c>
      <c r="Q18" s="12">
        <v>24</v>
      </c>
      <c r="R18" s="12">
        <v>8</v>
      </c>
      <c r="S18" s="12">
        <v>53</v>
      </c>
      <c r="T18" s="12">
        <v>47</v>
      </c>
      <c r="U18" s="12">
        <v>33</v>
      </c>
      <c r="V18" s="12">
        <v>77</v>
      </c>
      <c r="W18" s="12">
        <v>10</v>
      </c>
      <c r="X18" s="12">
        <v>113</v>
      </c>
      <c r="Y18" s="12">
        <v>81</v>
      </c>
      <c r="Z18" s="12">
        <v>30</v>
      </c>
      <c r="AA18" s="12">
        <v>13</v>
      </c>
      <c r="AB18" s="12">
        <v>52</v>
      </c>
      <c r="AC18" s="12">
        <v>55</v>
      </c>
      <c r="AD18" s="12">
        <v>68</v>
      </c>
      <c r="AE18" s="12">
        <v>93</v>
      </c>
      <c r="AF18" s="12">
        <v>125</v>
      </c>
    </row>
    <row r="19" spans="1:32">
      <c r="A19" s="19"/>
      <c r="B19" s="13" t="s">
        <v>580</v>
      </c>
      <c r="C19" s="14">
        <v>0.05</v>
      </c>
      <c r="D19" s="14">
        <v>0.06</v>
      </c>
      <c r="E19" s="14">
        <v>0.06</v>
      </c>
      <c r="F19" s="14">
        <v>0.05</v>
      </c>
      <c r="G19" s="14">
        <v>0.12</v>
      </c>
      <c r="H19" s="14">
        <v>7.0000000000000007E-2</v>
      </c>
      <c r="I19" s="14">
        <v>7.0000000000000007E-2</v>
      </c>
      <c r="J19" s="14">
        <v>0.05</v>
      </c>
      <c r="K19" s="14">
        <v>0.09</v>
      </c>
      <c r="L19" s="14">
        <v>0.04</v>
      </c>
      <c r="M19" s="14">
        <v>0.02</v>
      </c>
      <c r="N19" s="14">
        <v>0.04</v>
      </c>
      <c r="O19" s="14">
        <v>0.05</v>
      </c>
      <c r="P19" s="14">
        <v>0.06</v>
      </c>
      <c r="Q19" s="14">
        <v>0.02</v>
      </c>
      <c r="R19" s="14">
        <v>0.02</v>
      </c>
      <c r="S19" s="14">
        <v>0.05</v>
      </c>
      <c r="T19" s="14">
        <v>0.05</v>
      </c>
      <c r="U19" s="14">
        <v>7.0000000000000007E-2</v>
      </c>
      <c r="V19" s="14">
        <v>0.08</v>
      </c>
      <c r="W19" s="14">
        <v>0.02</v>
      </c>
      <c r="X19" s="14">
        <v>0.11</v>
      </c>
      <c r="Y19" s="14">
        <v>0.08</v>
      </c>
      <c r="Z19" s="14">
        <v>0.03</v>
      </c>
      <c r="AA19" s="14">
        <v>0.01</v>
      </c>
      <c r="AB19" s="14">
        <v>0.05</v>
      </c>
      <c r="AC19" s="14">
        <v>0.05</v>
      </c>
      <c r="AD19" s="14">
        <v>7.0000000000000007E-2</v>
      </c>
      <c r="AE19" s="14">
        <v>0.09</v>
      </c>
      <c r="AF19" s="14">
        <v>0.12</v>
      </c>
    </row>
    <row r="20" spans="1:32">
      <c r="A20" s="19"/>
      <c r="B20" s="11" t="s">
        <v>581</v>
      </c>
      <c r="C20" s="12">
        <v>2553</v>
      </c>
      <c r="D20" s="12">
        <v>120</v>
      </c>
      <c r="E20" s="12">
        <v>125</v>
      </c>
      <c r="F20" s="12">
        <v>117</v>
      </c>
      <c r="G20" s="12">
        <v>189</v>
      </c>
      <c r="H20" s="12">
        <v>143</v>
      </c>
      <c r="I20" s="12">
        <v>162</v>
      </c>
      <c r="J20" s="12">
        <v>19</v>
      </c>
      <c r="K20" s="12">
        <v>127</v>
      </c>
      <c r="L20" s="12">
        <v>71</v>
      </c>
      <c r="M20" s="12">
        <v>46</v>
      </c>
      <c r="N20" s="12">
        <v>74</v>
      </c>
      <c r="O20" s="12">
        <v>132</v>
      </c>
      <c r="P20" s="12">
        <v>80</v>
      </c>
      <c r="Q20" s="12">
        <v>55</v>
      </c>
      <c r="R20" s="12">
        <v>16</v>
      </c>
      <c r="S20" s="12">
        <v>98</v>
      </c>
      <c r="T20" s="12">
        <v>101</v>
      </c>
      <c r="U20" s="12">
        <v>56</v>
      </c>
      <c r="V20" s="12">
        <v>115</v>
      </c>
      <c r="W20" s="12">
        <v>29</v>
      </c>
      <c r="X20" s="12">
        <v>146</v>
      </c>
      <c r="Y20" s="12">
        <v>87</v>
      </c>
      <c r="Z20" s="12">
        <v>63</v>
      </c>
      <c r="AA20" s="12">
        <v>28</v>
      </c>
      <c r="AB20" s="12">
        <v>108</v>
      </c>
      <c r="AC20" s="12">
        <v>126</v>
      </c>
      <c r="AD20" s="12">
        <v>139</v>
      </c>
      <c r="AE20" s="12">
        <v>121</v>
      </c>
      <c r="AF20" s="12">
        <v>184</v>
      </c>
    </row>
    <row r="21" spans="1:32">
      <c r="A21" s="19"/>
      <c r="B21" s="13" t="s">
        <v>581</v>
      </c>
      <c r="C21" s="14">
        <v>0.1</v>
      </c>
      <c r="D21" s="14">
        <v>0.12</v>
      </c>
      <c r="E21" s="14">
        <v>0.12</v>
      </c>
      <c r="F21" s="14">
        <v>0.11</v>
      </c>
      <c r="G21" s="14">
        <v>0.19</v>
      </c>
      <c r="H21" s="14">
        <v>0.12</v>
      </c>
      <c r="I21" s="14">
        <v>0.11</v>
      </c>
      <c r="J21" s="14">
        <v>0.06</v>
      </c>
      <c r="K21" s="14">
        <v>0.13</v>
      </c>
      <c r="L21" s="14">
        <v>7.0000000000000007E-2</v>
      </c>
      <c r="M21" s="14">
        <v>0.05</v>
      </c>
      <c r="N21" s="14">
        <v>7.0000000000000007E-2</v>
      </c>
      <c r="O21" s="14">
        <v>0.13</v>
      </c>
      <c r="P21" s="14">
        <v>0.08</v>
      </c>
      <c r="Q21" s="14">
        <v>0.06</v>
      </c>
      <c r="R21" s="14">
        <v>0.03</v>
      </c>
      <c r="S21" s="14">
        <v>0.1</v>
      </c>
      <c r="T21" s="14">
        <v>0.1</v>
      </c>
      <c r="U21" s="14">
        <v>0.11</v>
      </c>
      <c r="V21" s="14">
        <v>0.11</v>
      </c>
      <c r="W21" s="14">
        <v>0.06</v>
      </c>
      <c r="X21" s="14">
        <v>0.14000000000000001</v>
      </c>
      <c r="Y21" s="14">
        <v>0.09</v>
      </c>
      <c r="Z21" s="14">
        <v>0.06</v>
      </c>
      <c r="AA21" s="14">
        <v>0.03</v>
      </c>
      <c r="AB21" s="14">
        <v>0.1</v>
      </c>
      <c r="AC21" s="14">
        <v>0.13</v>
      </c>
      <c r="AD21" s="14">
        <v>0.14000000000000001</v>
      </c>
      <c r="AE21" s="14">
        <v>0.12</v>
      </c>
      <c r="AF21" s="14">
        <v>0.18</v>
      </c>
    </row>
    <row r="22" spans="1:32">
      <c r="A22" s="19"/>
      <c r="B22" s="11" t="s">
        <v>582</v>
      </c>
      <c r="C22" s="12">
        <v>2667</v>
      </c>
      <c r="D22" s="12">
        <v>137</v>
      </c>
      <c r="E22" s="12">
        <v>131</v>
      </c>
      <c r="F22" s="12">
        <v>110</v>
      </c>
      <c r="G22" s="12">
        <v>144</v>
      </c>
      <c r="H22" s="12">
        <v>141</v>
      </c>
      <c r="I22" s="12">
        <v>164</v>
      </c>
      <c r="J22" s="12">
        <v>24</v>
      </c>
      <c r="K22" s="12">
        <v>132</v>
      </c>
      <c r="L22" s="12">
        <v>63</v>
      </c>
      <c r="M22" s="12">
        <v>62</v>
      </c>
      <c r="N22" s="12">
        <v>82</v>
      </c>
      <c r="O22" s="12">
        <v>86</v>
      </c>
      <c r="P22" s="12">
        <v>115</v>
      </c>
      <c r="Q22" s="12">
        <v>86</v>
      </c>
      <c r="R22" s="12">
        <v>28</v>
      </c>
      <c r="S22" s="12">
        <v>71</v>
      </c>
      <c r="T22" s="12">
        <v>116</v>
      </c>
      <c r="U22" s="12">
        <v>64</v>
      </c>
      <c r="V22" s="12">
        <v>164</v>
      </c>
      <c r="W22" s="12">
        <v>31</v>
      </c>
      <c r="X22" s="12">
        <v>153</v>
      </c>
      <c r="Y22" s="12">
        <v>99</v>
      </c>
      <c r="Z22" s="12">
        <v>104</v>
      </c>
      <c r="AA22" s="12">
        <v>65</v>
      </c>
      <c r="AB22" s="12">
        <v>155</v>
      </c>
      <c r="AC22" s="12">
        <v>96</v>
      </c>
      <c r="AD22" s="12">
        <v>111</v>
      </c>
      <c r="AE22" s="12">
        <v>137</v>
      </c>
      <c r="AF22" s="12">
        <v>104</v>
      </c>
    </row>
    <row r="23" spans="1:32">
      <c r="A23" s="19"/>
      <c r="B23" s="13" t="s">
        <v>582</v>
      </c>
      <c r="C23" s="14">
        <v>0.1</v>
      </c>
      <c r="D23" s="14">
        <v>0.13</v>
      </c>
      <c r="E23" s="14">
        <v>0.13</v>
      </c>
      <c r="F23" s="14">
        <v>0.11</v>
      </c>
      <c r="G23" s="14">
        <v>0.14000000000000001</v>
      </c>
      <c r="H23" s="14">
        <v>0.11</v>
      </c>
      <c r="I23" s="14">
        <v>0.11</v>
      </c>
      <c r="J23" s="14">
        <v>0.08</v>
      </c>
      <c r="K23" s="14">
        <v>0.13</v>
      </c>
      <c r="L23" s="14">
        <v>0.06</v>
      </c>
      <c r="M23" s="14">
        <v>0.06</v>
      </c>
      <c r="N23" s="14">
        <v>0.08</v>
      </c>
      <c r="O23" s="14">
        <v>0.09</v>
      </c>
      <c r="P23" s="14">
        <v>0.11</v>
      </c>
      <c r="Q23" s="14">
        <v>0.08</v>
      </c>
      <c r="R23" s="14">
        <v>0.05</v>
      </c>
      <c r="S23" s="14">
        <v>7.0000000000000007E-2</v>
      </c>
      <c r="T23" s="14">
        <v>0.11</v>
      </c>
      <c r="U23" s="14">
        <v>0.13</v>
      </c>
      <c r="V23" s="14">
        <v>0.16</v>
      </c>
      <c r="W23" s="14">
        <v>0.06</v>
      </c>
      <c r="X23" s="14">
        <v>0.15</v>
      </c>
      <c r="Y23" s="14">
        <v>0.1</v>
      </c>
      <c r="Z23" s="14">
        <v>0.1</v>
      </c>
      <c r="AA23" s="14">
        <v>0.06</v>
      </c>
      <c r="AB23" s="14">
        <v>0.15</v>
      </c>
      <c r="AC23" s="14">
        <v>0.09</v>
      </c>
      <c r="AD23" s="14">
        <v>0.11</v>
      </c>
      <c r="AE23" s="14">
        <v>0.14000000000000001</v>
      </c>
      <c r="AF23" s="14">
        <v>0.1</v>
      </c>
    </row>
    <row r="24" spans="1:32">
      <c r="A24" s="19"/>
      <c r="B24" s="11" t="s">
        <v>583</v>
      </c>
      <c r="C24" s="12">
        <v>3982</v>
      </c>
      <c r="D24" s="12">
        <v>162</v>
      </c>
      <c r="E24" s="12">
        <v>144</v>
      </c>
      <c r="F24" s="12">
        <v>139</v>
      </c>
      <c r="G24" s="12">
        <v>136</v>
      </c>
      <c r="H24" s="12">
        <v>184</v>
      </c>
      <c r="I24" s="12">
        <v>225</v>
      </c>
      <c r="J24" s="12">
        <v>40</v>
      </c>
      <c r="K24" s="12">
        <v>139</v>
      </c>
      <c r="L24" s="12">
        <v>139</v>
      </c>
      <c r="M24" s="12">
        <v>132</v>
      </c>
      <c r="N24" s="12">
        <v>129</v>
      </c>
      <c r="O24" s="12">
        <v>159</v>
      </c>
      <c r="P24" s="12">
        <v>129</v>
      </c>
      <c r="Q24" s="12">
        <v>142</v>
      </c>
      <c r="R24" s="12">
        <v>44</v>
      </c>
      <c r="S24" s="12">
        <v>134</v>
      </c>
      <c r="T24" s="12">
        <v>138</v>
      </c>
      <c r="U24" s="12">
        <v>81</v>
      </c>
      <c r="V24" s="12">
        <v>184</v>
      </c>
      <c r="W24" s="12">
        <v>44</v>
      </c>
      <c r="X24" s="12">
        <v>168</v>
      </c>
      <c r="Y24" s="12">
        <v>154</v>
      </c>
      <c r="Z24" s="12">
        <v>176</v>
      </c>
      <c r="AA24" s="12">
        <v>234</v>
      </c>
      <c r="AB24" s="12">
        <v>177</v>
      </c>
      <c r="AC24" s="12">
        <v>110</v>
      </c>
      <c r="AD24" s="12">
        <v>164</v>
      </c>
      <c r="AE24" s="12">
        <v>188</v>
      </c>
      <c r="AF24" s="12">
        <v>125</v>
      </c>
    </row>
    <row r="25" spans="1:32">
      <c r="A25" s="19"/>
      <c r="B25" s="13" t="s">
        <v>583</v>
      </c>
      <c r="C25" s="14">
        <v>0.15</v>
      </c>
      <c r="D25" s="14">
        <v>0.16</v>
      </c>
      <c r="E25" s="14">
        <v>0.14000000000000001</v>
      </c>
      <c r="F25" s="14">
        <v>0.13</v>
      </c>
      <c r="G25" s="14">
        <v>0.13</v>
      </c>
      <c r="H25" s="14">
        <v>0.15</v>
      </c>
      <c r="I25" s="14">
        <v>0.15</v>
      </c>
      <c r="J25" s="14">
        <v>0.14000000000000001</v>
      </c>
      <c r="K25" s="14">
        <v>0.14000000000000001</v>
      </c>
      <c r="L25" s="14">
        <v>0.14000000000000001</v>
      </c>
      <c r="M25" s="14">
        <v>0.13</v>
      </c>
      <c r="N25" s="14">
        <v>0.13</v>
      </c>
      <c r="O25" s="14">
        <v>0.16</v>
      </c>
      <c r="P25" s="14">
        <v>0.13</v>
      </c>
      <c r="Q25" s="14">
        <v>0.14000000000000001</v>
      </c>
      <c r="R25" s="14">
        <v>0.09</v>
      </c>
      <c r="S25" s="14">
        <v>0.13</v>
      </c>
      <c r="T25" s="14">
        <v>0.14000000000000001</v>
      </c>
      <c r="U25" s="14">
        <v>0.16</v>
      </c>
      <c r="V25" s="14">
        <v>0.18</v>
      </c>
      <c r="W25" s="14">
        <v>0.09</v>
      </c>
      <c r="X25" s="14">
        <v>0.17</v>
      </c>
      <c r="Y25" s="14">
        <v>0.15</v>
      </c>
      <c r="Z25" s="14">
        <v>0.17</v>
      </c>
      <c r="AA25" s="14">
        <v>0.23</v>
      </c>
      <c r="AB25" s="14">
        <v>0.17</v>
      </c>
      <c r="AC25" s="14">
        <v>0.11</v>
      </c>
      <c r="AD25" s="14">
        <v>0.16</v>
      </c>
      <c r="AE25" s="14">
        <v>0.19</v>
      </c>
      <c r="AF25" s="14">
        <v>0.12</v>
      </c>
    </row>
    <row r="26" spans="1:32">
      <c r="A26" s="19"/>
      <c r="B26" s="11" t="s">
        <v>584</v>
      </c>
      <c r="C26" s="12">
        <v>5010</v>
      </c>
      <c r="D26" s="12">
        <v>165</v>
      </c>
      <c r="E26" s="12">
        <v>151</v>
      </c>
      <c r="F26" s="12">
        <v>167</v>
      </c>
      <c r="G26" s="12">
        <v>100</v>
      </c>
      <c r="H26" s="12">
        <v>203</v>
      </c>
      <c r="I26" s="12">
        <v>253</v>
      </c>
      <c r="J26" s="12">
        <v>49</v>
      </c>
      <c r="K26" s="12">
        <v>140</v>
      </c>
      <c r="L26" s="12">
        <v>195</v>
      </c>
      <c r="M26" s="12">
        <v>259</v>
      </c>
      <c r="N26" s="12">
        <v>196</v>
      </c>
      <c r="O26" s="12">
        <v>188</v>
      </c>
      <c r="P26" s="12">
        <v>184</v>
      </c>
      <c r="Q26" s="12">
        <v>228</v>
      </c>
      <c r="R26" s="12">
        <v>77</v>
      </c>
      <c r="S26" s="12">
        <v>171</v>
      </c>
      <c r="T26" s="12">
        <v>210</v>
      </c>
      <c r="U26" s="12">
        <v>68</v>
      </c>
      <c r="V26" s="12">
        <v>167</v>
      </c>
      <c r="W26" s="12">
        <v>82</v>
      </c>
      <c r="X26" s="12">
        <v>148</v>
      </c>
      <c r="Y26" s="12">
        <v>182</v>
      </c>
      <c r="Z26" s="12">
        <v>273</v>
      </c>
      <c r="AA26" s="12">
        <v>201</v>
      </c>
      <c r="AB26" s="12">
        <v>222</v>
      </c>
      <c r="AC26" s="12">
        <v>159</v>
      </c>
      <c r="AD26" s="12">
        <v>165</v>
      </c>
      <c r="AE26" s="12">
        <v>170</v>
      </c>
      <c r="AF26" s="12">
        <v>88</v>
      </c>
    </row>
    <row r="27" spans="1:32">
      <c r="A27" s="19"/>
      <c r="B27" s="13" t="s">
        <v>584</v>
      </c>
      <c r="C27" s="14">
        <v>0.19</v>
      </c>
      <c r="D27" s="14">
        <v>0.16</v>
      </c>
      <c r="E27" s="14">
        <v>0.14000000000000001</v>
      </c>
      <c r="F27" s="14">
        <v>0.16</v>
      </c>
      <c r="G27" s="14">
        <v>0.1</v>
      </c>
      <c r="H27" s="14">
        <v>0.17</v>
      </c>
      <c r="I27" s="14">
        <v>0.16</v>
      </c>
      <c r="J27" s="14">
        <v>0.17</v>
      </c>
      <c r="K27" s="14">
        <v>0.14000000000000001</v>
      </c>
      <c r="L27" s="14">
        <v>0.19</v>
      </c>
      <c r="M27" s="14">
        <v>0.26</v>
      </c>
      <c r="N27" s="14">
        <v>0.19</v>
      </c>
      <c r="O27" s="14">
        <v>0.19</v>
      </c>
      <c r="P27" s="14">
        <v>0.18</v>
      </c>
      <c r="Q27" s="14">
        <v>0.22</v>
      </c>
      <c r="R27" s="14">
        <v>0.15</v>
      </c>
      <c r="S27" s="14">
        <v>0.17</v>
      </c>
      <c r="T27" s="14">
        <v>0.21</v>
      </c>
      <c r="U27" s="14">
        <v>0.13</v>
      </c>
      <c r="V27" s="14">
        <v>0.16</v>
      </c>
      <c r="W27" s="14">
        <v>0.16</v>
      </c>
      <c r="X27" s="14">
        <v>0.15</v>
      </c>
      <c r="Y27" s="14">
        <v>0.18</v>
      </c>
      <c r="Z27" s="14">
        <v>0.27</v>
      </c>
      <c r="AA27" s="14">
        <v>0.19</v>
      </c>
      <c r="AB27" s="14">
        <v>0.21</v>
      </c>
      <c r="AC27" s="14">
        <v>0.16</v>
      </c>
      <c r="AD27" s="14">
        <v>0.17</v>
      </c>
      <c r="AE27" s="14">
        <v>0.17</v>
      </c>
      <c r="AF27" s="14">
        <v>0.09</v>
      </c>
    </row>
    <row r="28" spans="1:32">
      <c r="A28" s="19"/>
      <c r="B28" s="11" t="s">
        <v>585</v>
      </c>
      <c r="C28" s="12">
        <v>3249</v>
      </c>
      <c r="D28" s="12">
        <v>103</v>
      </c>
      <c r="E28" s="12">
        <v>81</v>
      </c>
      <c r="F28" s="12">
        <v>128</v>
      </c>
      <c r="G28" s="12">
        <v>40</v>
      </c>
      <c r="H28" s="12">
        <v>100</v>
      </c>
      <c r="I28" s="12">
        <v>141</v>
      </c>
      <c r="J28" s="12">
        <v>41</v>
      </c>
      <c r="K28" s="12">
        <v>79</v>
      </c>
      <c r="L28" s="12">
        <v>115</v>
      </c>
      <c r="M28" s="12">
        <v>237</v>
      </c>
      <c r="N28" s="12">
        <v>165</v>
      </c>
      <c r="O28" s="12">
        <v>96</v>
      </c>
      <c r="P28" s="12">
        <v>133</v>
      </c>
      <c r="Q28" s="12">
        <v>188</v>
      </c>
      <c r="R28" s="12">
        <v>88</v>
      </c>
      <c r="S28" s="12">
        <v>126</v>
      </c>
      <c r="T28" s="12">
        <v>97</v>
      </c>
      <c r="U28" s="12">
        <v>40</v>
      </c>
      <c r="V28" s="12">
        <v>85</v>
      </c>
      <c r="W28" s="12">
        <v>118</v>
      </c>
      <c r="X28" s="12">
        <v>56</v>
      </c>
      <c r="Y28" s="12">
        <v>119</v>
      </c>
      <c r="Z28" s="12">
        <v>155</v>
      </c>
      <c r="AA28" s="12">
        <v>173</v>
      </c>
      <c r="AB28" s="12">
        <v>134</v>
      </c>
      <c r="AC28" s="12">
        <v>81</v>
      </c>
      <c r="AD28" s="12">
        <v>90</v>
      </c>
      <c r="AE28" s="12">
        <v>68</v>
      </c>
      <c r="AF28" s="12">
        <v>45</v>
      </c>
    </row>
    <row r="29" spans="1:32">
      <c r="A29" s="19"/>
      <c r="B29" s="13" t="s">
        <v>585</v>
      </c>
      <c r="C29" s="14">
        <v>0.12</v>
      </c>
      <c r="D29" s="14">
        <v>0.1</v>
      </c>
      <c r="E29" s="14">
        <v>0.08</v>
      </c>
      <c r="F29" s="14">
        <v>0.12</v>
      </c>
      <c r="G29" s="14">
        <v>0.04</v>
      </c>
      <c r="H29" s="14">
        <v>0.08</v>
      </c>
      <c r="I29" s="14">
        <v>0.09</v>
      </c>
      <c r="J29" s="14">
        <v>0.14000000000000001</v>
      </c>
      <c r="K29" s="14">
        <v>0.08</v>
      </c>
      <c r="L29" s="14">
        <v>0.12</v>
      </c>
      <c r="M29" s="14">
        <v>0.24</v>
      </c>
      <c r="N29" s="14">
        <v>0.16</v>
      </c>
      <c r="O29" s="14">
        <v>0.09</v>
      </c>
      <c r="P29" s="14">
        <v>0.13</v>
      </c>
      <c r="Q29" s="14">
        <v>0.18</v>
      </c>
      <c r="R29" s="14">
        <v>0.18</v>
      </c>
      <c r="S29" s="14">
        <v>0.12</v>
      </c>
      <c r="T29" s="14">
        <v>0.1</v>
      </c>
      <c r="U29" s="14">
        <v>0.08</v>
      </c>
      <c r="V29" s="14">
        <v>0.08</v>
      </c>
      <c r="W29" s="14">
        <v>0.23</v>
      </c>
      <c r="X29" s="14">
        <v>0.06</v>
      </c>
      <c r="Y29" s="14">
        <v>0.12</v>
      </c>
      <c r="Z29" s="14">
        <v>0.15</v>
      </c>
      <c r="AA29" s="14">
        <v>0.17</v>
      </c>
      <c r="AB29" s="14">
        <v>0.13</v>
      </c>
      <c r="AC29" s="14">
        <v>0.08</v>
      </c>
      <c r="AD29" s="14">
        <v>0.09</v>
      </c>
      <c r="AE29" s="14">
        <v>7.0000000000000007E-2</v>
      </c>
      <c r="AF29" s="14">
        <v>0.04</v>
      </c>
    </row>
    <row r="30" spans="1:32">
      <c r="A30" s="19"/>
      <c r="B30" s="11" t="s">
        <v>586</v>
      </c>
      <c r="C30" s="12">
        <v>5137</v>
      </c>
      <c r="D30" s="12">
        <v>168</v>
      </c>
      <c r="E30" s="12">
        <v>237</v>
      </c>
      <c r="F30" s="12">
        <v>265</v>
      </c>
      <c r="G30" s="12">
        <v>70</v>
      </c>
      <c r="H30" s="12">
        <v>208</v>
      </c>
      <c r="I30" s="12">
        <v>304</v>
      </c>
      <c r="J30" s="12">
        <v>96</v>
      </c>
      <c r="K30" s="12">
        <v>146</v>
      </c>
      <c r="L30" s="12">
        <v>302</v>
      </c>
      <c r="M30" s="12">
        <v>209</v>
      </c>
      <c r="N30" s="12">
        <v>249</v>
      </c>
      <c r="O30" s="12">
        <v>151</v>
      </c>
      <c r="P30" s="12">
        <v>237</v>
      </c>
      <c r="Q30" s="12">
        <v>276</v>
      </c>
      <c r="R30" s="12">
        <v>220</v>
      </c>
      <c r="S30" s="12">
        <v>277</v>
      </c>
      <c r="T30" s="12">
        <v>230</v>
      </c>
      <c r="U30" s="12">
        <v>125</v>
      </c>
      <c r="V30" s="12">
        <v>155</v>
      </c>
      <c r="W30" s="12">
        <v>166</v>
      </c>
      <c r="X30" s="12">
        <v>75</v>
      </c>
      <c r="Y30" s="12">
        <v>222</v>
      </c>
      <c r="Z30" s="12">
        <v>194</v>
      </c>
      <c r="AA30" s="12">
        <v>301</v>
      </c>
      <c r="AB30" s="12">
        <v>91</v>
      </c>
      <c r="AC30" s="12">
        <v>267</v>
      </c>
      <c r="AD30" s="12">
        <v>94</v>
      </c>
      <c r="AE30" s="12">
        <v>86</v>
      </c>
      <c r="AF30" s="12">
        <v>76</v>
      </c>
    </row>
    <row r="31" spans="1:32">
      <c r="A31" s="19"/>
      <c r="B31" s="13" t="s">
        <v>587</v>
      </c>
      <c r="C31" s="14">
        <v>0.19</v>
      </c>
      <c r="D31" s="14">
        <v>0.17</v>
      </c>
      <c r="E31" s="14">
        <v>0.23</v>
      </c>
      <c r="F31" s="14">
        <v>0.25</v>
      </c>
      <c r="G31" s="14">
        <v>7.0000000000000007E-2</v>
      </c>
      <c r="H31" s="14">
        <v>0.17</v>
      </c>
      <c r="I31" s="14">
        <v>0.2</v>
      </c>
      <c r="J31" s="14">
        <v>0.32</v>
      </c>
      <c r="K31" s="14">
        <v>0.14000000000000001</v>
      </c>
      <c r="L31" s="14">
        <v>0.3</v>
      </c>
      <c r="M31" s="14">
        <v>0.21</v>
      </c>
      <c r="N31" s="14">
        <v>0.25</v>
      </c>
      <c r="O31" s="14">
        <v>0.15</v>
      </c>
      <c r="P31" s="14">
        <v>0.24</v>
      </c>
      <c r="Q31" s="14">
        <v>0.27</v>
      </c>
      <c r="R31" s="14">
        <v>0.44</v>
      </c>
      <c r="S31" s="14">
        <v>0.28000000000000003</v>
      </c>
      <c r="T31" s="14">
        <v>0.22</v>
      </c>
      <c r="U31" s="14">
        <v>0.24</v>
      </c>
      <c r="V31" s="14">
        <v>0.15</v>
      </c>
      <c r="W31" s="14">
        <v>0.33</v>
      </c>
      <c r="X31" s="14">
        <v>7.0000000000000007E-2</v>
      </c>
      <c r="Y31" s="14">
        <v>0.22</v>
      </c>
      <c r="Z31" s="14">
        <v>0.19</v>
      </c>
      <c r="AA31" s="14">
        <v>0.28999999999999998</v>
      </c>
      <c r="AB31" s="14">
        <v>0.09</v>
      </c>
      <c r="AC31" s="14">
        <v>0.27</v>
      </c>
      <c r="AD31" s="14">
        <v>0.09</v>
      </c>
      <c r="AE31" s="14">
        <v>0.08</v>
      </c>
      <c r="AF31" s="14">
        <v>7.0000000000000007E-2</v>
      </c>
    </row>
    <row r="32" spans="1:32">
      <c r="A32" s="19"/>
      <c r="B32" s="11" t="s">
        <v>386</v>
      </c>
      <c r="C32" s="12">
        <v>187</v>
      </c>
      <c r="D32" s="12">
        <v>2</v>
      </c>
      <c r="E32" s="12">
        <v>8</v>
      </c>
      <c r="F32" s="12">
        <v>4</v>
      </c>
      <c r="G32" s="12">
        <v>17</v>
      </c>
      <c r="H32" s="12">
        <v>3</v>
      </c>
      <c r="I32" s="12">
        <v>4</v>
      </c>
      <c r="J32" s="12">
        <v>0</v>
      </c>
      <c r="K32" s="12">
        <v>7</v>
      </c>
      <c r="L32" s="12">
        <v>4</v>
      </c>
      <c r="M32" s="12">
        <v>4</v>
      </c>
      <c r="N32" s="12">
        <v>7</v>
      </c>
      <c r="O32" s="12">
        <v>21</v>
      </c>
      <c r="P32" s="12">
        <v>8</v>
      </c>
      <c r="Q32" s="12">
        <v>1</v>
      </c>
      <c r="R32" s="12">
        <v>4</v>
      </c>
      <c r="S32" s="12">
        <v>6</v>
      </c>
      <c r="T32" s="12">
        <v>4</v>
      </c>
      <c r="U32" s="12">
        <v>4</v>
      </c>
      <c r="V32" s="12">
        <v>3</v>
      </c>
      <c r="W32" s="12">
        <v>1</v>
      </c>
      <c r="X32" s="12">
        <v>1</v>
      </c>
      <c r="Y32" s="12">
        <v>0</v>
      </c>
      <c r="Z32" s="12">
        <v>4</v>
      </c>
      <c r="AA32" s="12">
        <v>11</v>
      </c>
      <c r="AB32" s="12">
        <v>28</v>
      </c>
      <c r="AC32" s="12">
        <v>3</v>
      </c>
      <c r="AD32" s="12">
        <v>3</v>
      </c>
      <c r="AE32" s="12">
        <v>6</v>
      </c>
      <c r="AF32" s="12">
        <v>1</v>
      </c>
    </row>
    <row r="33" spans="1:32">
      <c r="A33" s="19"/>
      <c r="B33" s="13" t="s">
        <v>399</v>
      </c>
      <c r="C33" s="14">
        <v>0.01</v>
      </c>
      <c r="D33" s="15" t="s">
        <v>375</v>
      </c>
      <c r="E33" s="14">
        <v>0.01</v>
      </c>
      <c r="F33" s="15" t="s">
        <v>375</v>
      </c>
      <c r="G33" s="14">
        <v>0.02</v>
      </c>
      <c r="H33" s="15" t="s">
        <v>375</v>
      </c>
      <c r="I33" s="15" t="s">
        <v>375</v>
      </c>
      <c r="J33" s="15" t="s">
        <v>375</v>
      </c>
      <c r="K33" s="14">
        <v>0.01</v>
      </c>
      <c r="L33" s="15" t="s">
        <v>375</v>
      </c>
      <c r="M33" s="15" t="s">
        <v>375</v>
      </c>
      <c r="N33" s="14">
        <v>0.01</v>
      </c>
      <c r="O33" s="14">
        <v>0.02</v>
      </c>
      <c r="P33" s="14">
        <v>0.01</v>
      </c>
      <c r="Q33" s="15" t="s">
        <v>375</v>
      </c>
      <c r="R33" s="14">
        <v>0.01</v>
      </c>
      <c r="S33" s="14">
        <v>0.01</v>
      </c>
      <c r="T33" s="15" t="s">
        <v>375</v>
      </c>
      <c r="U33" s="14">
        <v>0.01</v>
      </c>
      <c r="V33" s="14">
        <v>0.01</v>
      </c>
      <c r="W33" s="15" t="s">
        <v>375</v>
      </c>
      <c r="X33" s="15" t="s">
        <v>375</v>
      </c>
      <c r="Y33" s="15" t="s">
        <v>375</v>
      </c>
      <c r="Z33" s="14">
        <v>0.01</v>
      </c>
      <c r="AA33" s="14">
        <v>0.01</v>
      </c>
      <c r="AB33" s="14">
        <v>0.03</v>
      </c>
      <c r="AC33" s="15" t="s">
        <v>375</v>
      </c>
      <c r="AD33" s="15" t="s">
        <v>375</v>
      </c>
      <c r="AE33" s="14">
        <v>0.01</v>
      </c>
      <c r="AF33" s="15" t="s">
        <v>375</v>
      </c>
    </row>
    <row r="34" spans="1:32">
      <c r="A34" s="19"/>
      <c r="B34" s="11" t="s">
        <v>588</v>
      </c>
      <c r="C34" s="12">
        <v>3667</v>
      </c>
      <c r="D34" s="12">
        <v>165</v>
      </c>
      <c r="E34" s="12">
        <v>168</v>
      </c>
      <c r="F34" s="12">
        <v>133</v>
      </c>
      <c r="G34" s="12">
        <v>321</v>
      </c>
      <c r="H34" s="12">
        <v>247</v>
      </c>
      <c r="I34" s="12">
        <v>274</v>
      </c>
      <c r="J34" s="12">
        <v>29</v>
      </c>
      <c r="K34" s="12">
        <v>235</v>
      </c>
      <c r="L34" s="12">
        <v>119</v>
      </c>
      <c r="M34" s="12">
        <v>58</v>
      </c>
      <c r="N34" s="12">
        <v>109</v>
      </c>
      <c r="O34" s="12">
        <v>171</v>
      </c>
      <c r="P34" s="12">
        <v>116</v>
      </c>
      <c r="Q34" s="12">
        <v>55</v>
      </c>
      <c r="R34" s="12">
        <v>24</v>
      </c>
      <c r="S34" s="12">
        <v>120</v>
      </c>
      <c r="T34" s="12">
        <v>126</v>
      </c>
      <c r="U34" s="12">
        <v>70</v>
      </c>
      <c r="V34" s="12">
        <v>152</v>
      </c>
      <c r="W34" s="12">
        <v>32</v>
      </c>
      <c r="X34" s="12">
        <v>264</v>
      </c>
      <c r="Y34" s="12">
        <v>139</v>
      </c>
      <c r="Z34" s="12">
        <v>47</v>
      </c>
      <c r="AA34" s="12">
        <v>25</v>
      </c>
      <c r="AB34" s="12">
        <v>124</v>
      </c>
      <c r="AC34" s="12">
        <v>161</v>
      </c>
      <c r="AD34" s="12">
        <v>239</v>
      </c>
      <c r="AE34" s="12">
        <v>225</v>
      </c>
      <c r="AF34" s="12">
        <v>409</v>
      </c>
    </row>
    <row r="35" spans="1:32">
      <c r="A35" s="19"/>
      <c r="B35" s="13" t="s">
        <v>589</v>
      </c>
      <c r="C35" s="14">
        <v>0.14000000000000001</v>
      </c>
      <c r="D35" s="14">
        <v>0.16</v>
      </c>
      <c r="E35" s="14">
        <v>0.15</v>
      </c>
      <c r="F35" s="14">
        <v>0.12</v>
      </c>
      <c r="G35" s="14">
        <v>0.31</v>
      </c>
      <c r="H35" s="14">
        <v>0.2</v>
      </c>
      <c r="I35" s="14">
        <v>0.18</v>
      </c>
      <c r="J35" s="14">
        <v>0.09</v>
      </c>
      <c r="K35" s="14">
        <v>0.23</v>
      </c>
      <c r="L35" s="14">
        <v>0.12</v>
      </c>
      <c r="M35" s="14">
        <v>0.05</v>
      </c>
      <c r="N35" s="14">
        <v>0.11</v>
      </c>
      <c r="O35" s="14">
        <v>0.17</v>
      </c>
      <c r="P35" s="14">
        <v>0.12</v>
      </c>
      <c r="Q35" s="14">
        <v>0.05</v>
      </c>
      <c r="R35" s="14">
        <v>0.05</v>
      </c>
      <c r="S35" s="14">
        <v>0.12</v>
      </c>
      <c r="T35" s="14">
        <v>0.12</v>
      </c>
      <c r="U35" s="14">
        <v>0.14000000000000001</v>
      </c>
      <c r="V35" s="14">
        <v>0.15</v>
      </c>
      <c r="W35" s="14">
        <v>7.0000000000000007E-2</v>
      </c>
      <c r="X35" s="14">
        <v>0.26</v>
      </c>
      <c r="Y35" s="14">
        <v>0.14000000000000001</v>
      </c>
      <c r="Z35" s="14">
        <v>0.05</v>
      </c>
      <c r="AA35" s="14">
        <v>0.02</v>
      </c>
      <c r="AB35" s="14">
        <v>0.12</v>
      </c>
      <c r="AC35" s="14">
        <v>0.16</v>
      </c>
      <c r="AD35" s="14">
        <v>0.24</v>
      </c>
      <c r="AE35" s="14">
        <v>0.22</v>
      </c>
      <c r="AF35" s="14">
        <v>0.4</v>
      </c>
    </row>
    <row r="36" spans="1:32">
      <c r="A36" s="19"/>
      <c r="B36" s="11" t="s">
        <v>590</v>
      </c>
      <c r="C36" s="12">
        <v>5220</v>
      </c>
      <c r="D36" s="12">
        <v>257</v>
      </c>
      <c r="E36" s="12">
        <v>256</v>
      </c>
      <c r="F36" s="12">
        <v>227</v>
      </c>
      <c r="G36" s="12">
        <v>333</v>
      </c>
      <c r="H36" s="12">
        <v>284</v>
      </c>
      <c r="I36" s="12">
        <v>326</v>
      </c>
      <c r="J36" s="12">
        <v>43</v>
      </c>
      <c r="K36" s="12">
        <v>259</v>
      </c>
      <c r="L36" s="12">
        <v>134</v>
      </c>
      <c r="M36" s="12">
        <v>108</v>
      </c>
      <c r="N36" s="12">
        <v>156</v>
      </c>
      <c r="O36" s="12">
        <v>218</v>
      </c>
      <c r="P36" s="12">
        <v>195</v>
      </c>
      <c r="Q36" s="12">
        <v>141</v>
      </c>
      <c r="R36" s="12">
        <v>44</v>
      </c>
      <c r="S36" s="12">
        <v>169</v>
      </c>
      <c r="T36" s="12">
        <v>217</v>
      </c>
      <c r="U36" s="12">
        <v>120</v>
      </c>
      <c r="V36" s="12">
        <v>279</v>
      </c>
      <c r="W36" s="12">
        <v>60</v>
      </c>
      <c r="X36" s="12">
        <v>299</v>
      </c>
      <c r="Y36" s="12">
        <v>186</v>
      </c>
      <c r="Z36" s="12">
        <v>167</v>
      </c>
      <c r="AA36" s="12">
        <v>93</v>
      </c>
      <c r="AB36" s="12">
        <v>263</v>
      </c>
      <c r="AC36" s="12">
        <v>222</v>
      </c>
      <c r="AD36" s="12">
        <v>250</v>
      </c>
      <c r="AE36" s="12">
        <v>258</v>
      </c>
      <c r="AF36" s="12">
        <v>288</v>
      </c>
    </row>
    <row r="37" spans="1:32">
      <c r="A37" s="19"/>
      <c r="B37" s="13" t="s">
        <v>591</v>
      </c>
      <c r="C37" s="14">
        <v>0.2</v>
      </c>
      <c r="D37" s="14">
        <v>0.25</v>
      </c>
      <c r="E37" s="14">
        <v>0.25</v>
      </c>
      <c r="F37" s="14">
        <v>0.22</v>
      </c>
      <c r="G37" s="14">
        <v>0.33</v>
      </c>
      <c r="H37" s="14">
        <v>0.23</v>
      </c>
      <c r="I37" s="14">
        <v>0.22</v>
      </c>
      <c r="J37" s="14">
        <v>0.14000000000000001</v>
      </c>
      <c r="K37" s="14">
        <v>0.26</v>
      </c>
      <c r="L37" s="14">
        <v>0.13</v>
      </c>
      <c r="M37" s="14">
        <v>0.11</v>
      </c>
      <c r="N37" s="14">
        <v>0.15</v>
      </c>
      <c r="O37" s="14">
        <v>0.22</v>
      </c>
      <c r="P37" s="14">
        <v>0.19</v>
      </c>
      <c r="Q37" s="14">
        <v>0.14000000000000001</v>
      </c>
      <c r="R37" s="14">
        <v>0.08</v>
      </c>
      <c r="S37" s="14">
        <v>0.17</v>
      </c>
      <c r="T37" s="14">
        <v>0.21</v>
      </c>
      <c r="U37" s="14">
        <v>0.24</v>
      </c>
      <c r="V37" s="14">
        <v>0.27</v>
      </c>
      <c r="W37" s="14">
        <v>0.12</v>
      </c>
      <c r="X37" s="14">
        <v>0.28999999999999998</v>
      </c>
      <c r="Y37" s="14">
        <v>0.19</v>
      </c>
      <c r="Z37" s="14">
        <v>0.16</v>
      </c>
      <c r="AA37" s="14">
        <v>0.09</v>
      </c>
      <c r="AB37" s="14">
        <v>0.25</v>
      </c>
      <c r="AC37" s="14">
        <v>0.22</v>
      </c>
      <c r="AD37" s="14">
        <v>0.25</v>
      </c>
      <c r="AE37" s="14">
        <v>0.26</v>
      </c>
      <c r="AF37" s="14">
        <v>0.28000000000000003</v>
      </c>
    </row>
    <row r="38" spans="1:32">
      <c r="A38" s="19"/>
      <c r="B38" s="11" t="s">
        <v>592</v>
      </c>
      <c r="C38" s="12">
        <v>17378</v>
      </c>
      <c r="D38" s="12">
        <v>598</v>
      </c>
      <c r="E38" s="12">
        <v>613</v>
      </c>
      <c r="F38" s="12">
        <v>699</v>
      </c>
      <c r="G38" s="12">
        <v>346</v>
      </c>
      <c r="H38" s="12">
        <v>695</v>
      </c>
      <c r="I38" s="12">
        <v>923</v>
      </c>
      <c r="J38" s="12">
        <v>226</v>
      </c>
      <c r="K38" s="12">
        <v>504</v>
      </c>
      <c r="L38" s="12">
        <v>751</v>
      </c>
      <c r="M38" s="12">
        <v>837</v>
      </c>
      <c r="N38" s="12">
        <v>739</v>
      </c>
      <c r="O38" s="12">
        <v>594</v>
      </c>
      <c r="P38" s="12">
        <v>683</v>
      </c>
      <c r="Q38" s="12">
        <v>834</v>
      </c>
      <c r="R38" s="12">
        <v>429</v>
      </c>
      <c r="S38" s="12">
        <v>708</v>
      </c>
      <c r="T38" s="12">
        <v>675</v>
      </c>
      <c r="U38" s="12">
        <v>314</v>
      </c>
      <c r="V38" s="12">
        <v>591</v>
      </c>
      <c r="W38" s="12">
        <v>410</v>
      </c>
      <c r="X38" s="12">
        <v>447</v>
      </c>
      <c r="Y38" s="12">
        <v>677</v>
      </c>
      <c r="Z38" s="12">
        <v>798</v>
      </c>
      <c r="AA38" s="12">
        <v>909</v>
      </c>
      <c r="AB38" s="12">
        <v>624</v>
      </c>
      <c r="AC38" s="12">
        <v>617</v>
      </c>
      <c r="AD38" s="12">
        <v>513</v>
      </c>
      <c r="AE38" s="12">
        <v>512</v>
      </c>
      <c r="AF38" s="12">
        <v>334</v>
      </c>
    </row>
    <row r="39" spans="1:32">
      <c r="A39" s="19"/>
      <c r="B39" s="13" t="s">
        <v>593</v>
      </c>
      <c r="C39" s="14">
        <v>0.65</v>
      </c>
      <c r="D39" s="14">
        <v>0.59</v>
      </c>
      <c r="E39" s="14">
        <v>0.59</v>
      </c>
      <c r="F39" s="14">
        <v>0.66</v>
      </c>
      <c r="G39" s="14">
        <v>0.34</v>
      </c>
      <c r="H39" s="14">
        <v>0.57000000000000006</v>
      </c>
      <c r="I39" s="14">
        <v>0.6</v>
      </c>
      <c r="J39" s="14">
        <v>0.77</v>
      </c>
      <c r="K39" s="14">
        <v>0.5</v>
      </c>
      <c r="L39" s="14">
        <v>0.75</v>
      </c>
      <c r="M39" s="14">
        <v>0.84</v>
      </c>
      <c r="N39" s="14">
        <v>0.73</v>
      </c>
      <c r="O39" s="14">
        <v>0.59</v>
      </c>
      <c r="P39" s="14">
        <v>0.68</v>
      </c>
      <c r="Q39" s="14">
        <v>0.81</v>
      </c>
      <c r="R39" s="14">
        <v>0.86</v>
      </c>
      <c r="S39" s="14">
        <v>0.70000000000000007</v>
      </c>
      <c r="T39" s="14">
        <v>0.67</v>
      </c>
      <c r="U39" s="14">
        <v>0.61</v>
      </c>
      <c r="V39" s="14">
        <v>0.57000000000000006</v>
      </c>
      <c r="W39" s="14">
        <v>0.81</v>
      </c>
      <c r="X39" s="14">
        <v>0.45</v>
      </c>
      <c r="Y39" s="14">
        <v>0.67</v>
      </c>
      <c r="Z39" s="14">
        <v>0.78</v>
      </c>
      <c r="AA39" s="14">
        <v>0.88</v>
      </c>
      <c r="AB39" s="14">
        <v>0.6</v>
      </c>
      <c r="AC39" s="14">
        <v>0.62</v>
      </c>
      <c r="AD39" s="14">
        <v>0.51</v>
      </c>
      <c r="AE39" s="14">
        <v>0.51</v>
      </c>
      <c r="AF39" s="14">
        <v>0.32</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622</v>
      </c>
      <c r="C3" s="17"/>
      <c r="D3" s="17"/>
      <c r="E3" s="17"/>
      <c r="F3" s="17"/>
      <c r="H3" s="17" t="s">
        <v>623</v>
      </c>
      <c r="I3" s="17"/>
      <c r="J3" s="17"/>
      <c r="K3" s="17"/>
      <c r="L3" s="17"/>
    </row>
    <row r="4" spans="1:32" ht="27" customHeight="1">
      <c r="B4" s="17" t="s">
        <v>624</v>
      </c>
      <c r="C4" s="17"/>
      <c r="D4" s="17"/>
      <c r="E4" s="17"/>
      <c r="F4" s="17"/>
      <c r="H4" s="17" t="s">
        <v>625</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HYPERLINK("#Content!A37","&lt;&lt;Back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642</v>
      </c>
      <c r="D12" s="12">
        <v>49</v>
      </c>
      <c r="E12" s="12">
        <v>25</v>
      </c>
      <c r="F12" s="12">
        <v>48</v>
      </c>
      <c r="G12" s="12">
        <v>36</v>
      </c>
      <c r="H12" s="12">
        <v>37</v>
      </c>
      <c r="I12" s="12">
        <v>48</v>
      </c>
      <c r="J12" s="12">
        <v>11</v>
      </c>
      <c r="K12" s="12">
        <v>87</v>
      </c>
      <c r="L12" s="12">
        <v>54</v>
      </c>
      <c r="M12" s="12">
        <v>5</v>
      </c>
      <c r="N12" s="12">
        <v>19</v>
      </c>
      <c r="O12" s="12">
        <v>24</v>
      </c>
      <c r="P12" s="12">
        <v>5</v>
      </c>
      <c r="Q12" s="12">
        <v>15</v>
      </c>
      <c r="R12" s="12">
        <v>11</v>
      </c>
      <c r="S12" s="12">
        <v>67</v>
      </c>
      <c r="T12" s="12">
        <v>70</v>
      </c>
      <c r="U12" s="12">
        <v>8</v>
      </c>
      <c r="V12" s="12">
        <v>8</v>
      </c>
      <c r="W12" s="12">
        <v>14</v>
      </c>
      <c r="X12" s="12">
        <v>38</v>
      </c>
      <c r="Y12" s="12">
        <v>45</v>
      </c>
      <c r="Z12" s="12">
        <v>6</v>
      </c>
      <c r="AA12" s="12">
        <v>3</v>
      </c>
      <c r="AB12" s="12">
        <v>20</v>
      </c>
      <c r="AC12" s="12">
        <v>27</v>
      </c>
      <c r="AD12" s="12">
        <v>26</v>
      </c>
      <c r="AE12" s="12">
        <v>34</v>
      </c>
      <c r="AF12" s="12">
        <v>50</v>
      </c>
    </row>
    <row r="13" spans="1:32">
      <c r="A13" s="19"/>
      <c r="B13" s="13" t="s">
        <v>577</v>
      </c>
      <c r="C13" s="14">
        <v>0.03</v>
      </c>
      <c r="D13" s="14">
        <v>0.05</v>
      </c>
      <c r="E13" s="14">
        <v>0.02</v>
      </c>
      <c r="F13" s="14">
        <v>0.04</v>
      </c>
      <c r="G13" s="14">
        <v>0.04</v>
      </c>
      <c r="H13" s="14">
        <v>0.03</v>
      </c>
      <c r="I13" s="14">
        <v>0.03</v>
      </c>
      <c r="J13" s="14">
        <v>0.04</v>
      </c>
      <c r="K13" s="14">
        <v>0.09</v>
      </c>
      <c r="L13" s="14">
        <v>0.05</v>
      </c>
      <c r="M13" s="14">
        <v>0.01</v>
      </c>
      <c r="N13" s="14">
        <v>0.02</v>
      </c>
      <c r="O13" s="14">
        <v>0.02</v>
      </c>
      <c r="P13" s="14">
        <v>0.01</v>
      </c>
      <c r="Q13" s="14">
        <v>0.01</v>
      </c>
      <c r="R13" s="14">
        <v>0.02</v>
      </c>
      <c r="S13" s="14">
        <v>7.0000000000000007E-2</v>
      </c>
      <c r="T13" s="14">
        <v>7.0000000000000007E-2</v>
      </c>
      <c r="U13" s="14">
        <v>0.02</v>
      </c>
      <c r="V13" s="14">
        <v>0.01</v>
      </c>
      <c r="W13" s="14">
        <v>0.03</v>
      </c>
      <c r="X13" s="14">
        <v>0.04</v>
      </c>
      <c r="Y13" s="14">
        <v>0.04</v>
      </c>
      <c r="Z13" s="14">
        <v>0.01</v>
      </c>
      <c r="AA13" s="15" t="s">
        <v>375</v>
      </c>
      <c r="AB13" s="14">
        <v>0.02</v>
      </c>
      <c r="AC13" s="14">
        <v>0.03</v>
      </c>
      <c r="AD13" s="14">
        <v>0.03</v>
      </c>
      <c r="AE13" s="14">
        <v>0.03</v>
      </c>
      <c r="AF13" s="14">
        <v>0.05</v>
      </c>
    </row>
    <row r="14" spans="1:32">
      <c r="A14" s="19"/>
      <c r="B14" s="11" t="s">
        <v>578</v>
      </c>
      <c r="C14" s="12">
        <v>696</v>
      </c>
      <c r="D14" s="12">
        <v>30</v>
      </c>
      <c r="E14" s="12">
        <v>17</v>
      </c>
      <c r="F14" s="12">
        <v>28</v>
      </c>
      <c r="G14" s="12">
        <v>35</v>
      </c>
      <c r="H14" s="12">
        <v>106</v>
      </c>
      <c r="I14" s="12">
        <v>115</v>
      </c>
      <c r="J14" s="12">
        <v>8</v>
      </c>
      <c r="K14" s="12">
        <v>72</v>
      </c>
      <c r="L14" s="12">
        <v>32</v>
      </c>
      <c r="M14" s="12">
        <v>5</v>
      </c>
      <c r="N14" s="12">
        <v>8</v>
      </c>
      <c r="O14" s="12">
        <v>13</v>
      </c>
      <c r="P14" s="12">
        <v>22</v>
      </c>
      <c r="Q14" s="12">
        <v>11</v>
      </c>
      <c r="R14" s="12">
        <v>1</v>
      </c>
      <c r="S14" s="12">
        <v>43</v>
      </c>
      <c r="T14" s="12">
        <v>33</v>
      </c>
      <c r="U14" s="12">
        <v>9</v>
      </c>
      <c r="V14" s="12">
        <v>11</v>
      </c>
      <c r="W14" s="12">
        <v>7</v>
      </c>
      <c r="X14" s="12">
        <v>29</v>
      </c>
      <c r="Y14" s="12">
        <v>16</v>
      </c>
      <c r="Z14" s="12">
        <v>5</v>
      </c>
      <c r="AA14" s="12">
        <v>0</v>
      </c>
      <c r="AB14" s="12">
        <v>19</v>
      </c>
      <c r="AC14" s="12">
        <v>24</v>
      </c>
      <c r="AD14" s="12">
        <v>24</v>
      </c>
      <c r="AE14" s="12">
        <v>40</v>
      </c>
      <c r="AF14" s="12">
        <v>36</v>
      </c>
    </row>
    <row r="15" spans="1:32">
      <c r="A15" s="19"/>
      <c r="B15" s="13" t="s">
        <v>578</v>
      </c>
      <c r="C15" s="14">
        <v>0.03</v>
      </c>
      <c r="D15" s="14">
        <v>0.03</v>
      </c>
      <c r="E15" s="14">
        <v>0.02</v>
      </c>
      <c r="F15" s="14">
        <v>0.03</v>
      </c>
      <c r="G15" s="14">
        <v>0.03</v>
      </c>
      <c r="H15" s="14">
        <v>0.09</v>
      </c>
      <c r="I15" s="14">
        <v>7.0000000000000007E-2</v>
      </c>
      <c r="J15" s="14">
        <v>0.03</v>
      </c>
      <c r="K15" s="14">
        <v>7.0000000000000007E-2</v>
      </c>
      <c r="L15" s="14">
        <v>0.03</v>
      </c>
      <c r="M15" s="14">
        <v>0.01</v>
      </c>
      <c r="N15" s="14">
        <v>0.01</v>
      </c>
      <c r="O15" s="14">
        <v>0.01</v>
      </c>
      <c r="P15" s="14">
        <v>0.02</v>
      </c>
      <c r="Q15" s="14">
        <v>0.01</v>
      </c>
      <c r="R15" s="15" t="s">
        <v>375</v>
      </c>
      <c r="S15" s="14">
        <v>0.04</v>
      </c>
      <c r="T15" s="14">
        <v>0.03</v>
      </c>
      <c r="U15" s="14">
        <v>0.02</v>
      </c>
      <c r="V15" s="14">
        <v>0.01</v>
      </c>
      <c r="W15" s="14">
        <v>0.01</v>
      </c>
      <c r="X15" s="14">
        <v>0.03</v>
      </c>
      <c r="Y15" s="14">
        <v>0.02</v>
      </c>
      <c r="Z15" s="14">
        <v>0.01</v>
      </c>
      <c r="AA15" s="15" t="s">
        <v>375</v>
      </c>
      <c r="AB15" s="14">
        <v>0.02</v>
      </c>
      <c r="AC15" s="14">
        <v>0.02</v>
      </c>
      <c r="AD15" s="14">
        <v>0.02</v>
      </c>
      <c r="AE15" s="14">
        <v>0.04</v>
      </c>
      <c r="AF15" s="14">
        <v>0.04</v>
      </c>
    </row>
    <row r="16" spans="1:32">
      <c r="A16" s="19"/>
      <c r="B16" s="11" t="s">
        <v>579</v>
      </c>
      <c r="C16" s="12">
        <v>856</v>
      </c>
      <c r="D16" s="12">
        <v>40</v>
      </c>
      <c r="E16" s="12">
        <v>31</v>
      </c>
      <c r="F16" s="12">
        <v>100</v>
      </c>
      <c r="G16" s="12">
        <v>83</v>
      </c>
      <c r="H16" s="12">
        <v>61</v>
      </c>
      <c r="I16" s="12">
        <v>73</v>
      </c>
      <c r="J16" s="12">
        <v>12</v>
      </c>
      <c r="K16" s="12">
        <v>126</v>
      </c>
      <c r="L16" s="12">
        <v>49</v>
      </c>
      <c r="M16" s="12">
        <v>10</v>
      </c>
      <c r="N16" s="12">
        <v>18</v>
      </c>
      <c r="O16" s="12">
        <v>28</v>
      </c>
      <c r="P16" s="12">
        <v>25</v>
      </c>
      <c r="Q16" s="12">
        <v>9</v>
      </c>
      <c r="R16" s="12">
        <v>13</v>
      </c>
      <c r="S16" s="12">
        <v>72</v>
      </c>
      <c r="T16" s="12">
        <v>63</v>
      </c>
      <c r="U16" s="12">
        <v>12</v>
      </c>
      <c r="V16" s="12">
        <v>31</v>
      </c>
      <c r="W16" s="12">
        <v>16</v>
      </c>
      <c r="X16" s="12">
        <v>42</v>
      </c>
      <c r="Y16" s="12">
        <v>35</v>
      </c>
      <c r="Z16" s="12">
        <v>18</v>
      </c>
      <c r="AA16" s="12">
        <v>6</v>
      </c>
      <c r="AB16" s="12">
        <v>39</v>
      </c>
      <c r="AC16" s="12">
        <v>54</v>
      </c>
      <c r="AD16" s="12">
        <v>40</v>
      </c>
      <c r="AE16" s="12">
        <v>49</v>
      </c>
      <c r="AF16" s="12">
        <v>79</v>
      </c>
    </row>
    <row r="17" spans="1:32">
      <c r="A17" s="19"/>
      <c r="B17" s="13" t="s">
        <v>579</v>
      </c>
      <c r="C17" s="14">
        <v>0.03</v>
      </c>
      <c r="D17" s="14">
        <v>0.04</v>
      </c>
      <c r="E17" s="14">
        <v>0.03</v>
      </c>
      <c r="F17" s="14">
        <v>0.09</v>
      </c>
      <c r="G17" s="14">
        <v>0.08</v>
      </c>
      <c r="H17" s="14">
        <v>0.05</v>
      </c>
      <c r="I17" s="14">
        <v>0.05</v>
      </c>
      <c r="J17" s="14">
        <v>0.04</v>
      </c>
      <c r="K17" s="14">
        <v>0.13</v>
      </c>
      <c r="L17" s="14">
        <v>0.05</v>
      </c>
      <c r="M17" s="14">
        <v>0.01</v>
      </c>
      <c r="N17" s="14">
        <v>0.02</v>
      </c>
      <c r="O17" s="14">
        <v>0.03</v>
      </c>
      <c r="P17" s="14">
        <v>0.02</v>
      </c>
      <c r="Q17" s="14">
        <v>0.01</v>
      </c>
      <c r="R17" s="14">
        <v>0.02</v>
      </c>
      <c r="S17" s="14">
        <v>7.0000000000000007E-2</v>
      </c>
      <c r="T17" s="14">
        <v>0.06</v>
      </c>
      <c r="U17" s="14">
        <v>0.02</v>
      </c>
      <c r="V17" s="14">
        <v>0.03</v>
      </c>
      <c r="W17" s="14">
        <v>0.03</v>
      </c>
      <c r="X17" s="14">
        <v>0.04</v>
      </c>
      <c r="Y17" s="14">
        <v>0.03</v>
      </c>
      <c r="Z17" s="14">
        <v>0.02</v>
      </c>
      <c r="AA17" s="14">
        <v>0.01</v>
      </c>
      <c r="AB17" s="14">
        <v>0.04</v>
      </c>
      <c r="AC17" s="14">
        <v>0.06</v>
      </c>
      <c r="AD17" s="14">
        <v>0.04</v>
      </c>
      <c r="AE17" s="14">
        <v>0.05</v>
      </c>
      <c r="AF17" s="14">
        <v>0.08</v>
      </c>
    </row>
    <row r="18" spans="1:32">
      <c r="A18" s="19"/>
      <c r="B18" s="11" t="s">
        <v>580</v>
      </c>
      <c r="C18" s="12">
        <v>1154</v>
      </c>
      <c r="D18" s="12">
        <v>57</v>
      </c>
      <c r="E18" s="12">
        <v>64</v>
      </c>
      <c r="F18" s="12">
        <v>144</v>
      </c>
      <c r="G18" s="12">
        <v>127</v>
      </c>
      <c r="H18" s="12">
        <v>74</v>
      </c>
      <c r="I18" s="12">
        <v>86</v>
      </c>
      <c r="J18" s="12">
        <v>11</v>
      </c>
      <c r="K18" s="12">
        <v>128</v>
      </c>
      <c r="L18" s="12">
        <v>39</v>
      </c>
      <c r="M18" s="12">
        <v>18</v>
      </c>
      <c r="N18" s="12">
        <v>22</v>
      </c>
      <c r="O18" s="12">
        <v>25</v>
      </c>
      <c r="P18" s="12">
        <v>49</v>
      </c>
      <c r="Q18" s="12">
        <v>19</v>
      </c>
      <c r="R18" s="12">
        <v>15</v>
      </c>
      <c r="S18" s="12">
        <v>82</v>
      </c>
      <c r="T18" s="12">
        <v>88</v>
      </c>
      <c r="U18" s="12">
        <v>30</v>
      </c>
      <c r="V18" s="12">
        <v>78</v>
      </c>
      <c r="W18" s="12">
        <v>19</v>
      </c>
      <c r="X18" s="12">
        <v>82</v>
      </c>
      <c r="Y18" s="12">
        <v>60</v>
      </c>
      <c r="Z18" s="12">
        <v>31</v>
      </c>
      <c r="AA18" s="12">
        <v>9</v>
      </c>
      <c r="AB18" s="12">
        <v>46</v>
      </c>
      <c r="AC18" s="12">
        <v>57</v>
      </c>
      <c r="AD18" s="12">
        <v>97</v>
      </c>
      <c r="AE18" s="12">
        <v>55</v>
      </c>
      <c r="AF18" s="12">
        <v>82</v>
      </c>
    </row>
    <row r="19" spans="1:32">
      <c r="A19" s="19"/>
      <c r="B19" s="13" t="s">
        <v>580</v>
      </c>
      <c r="C19" s="14">
        <v>0.04</v>
      </c>
      <c r="D19" s="14">
        <v>0.06</v>
      </c>
      <c r="E19" s="14">
        <v>0.06</v>
      </c>
      <c r="F19" s="14">
        <v>0.14000000000000001</v>
      </c>
      <c r="G19" s="14">
        <v>0.13</v>
      </c>
      <c r="H19" s="14">
        <v>0.06</v>
      </c>
      <c r="I19" s="14">
        <v>0.06</v>
      </c>
      <c r="J19" s="14">
        <v>0.04</v>
      </c>
      <c r="K19" s="14">
        <v>0.13</v>
      </c>
      <c r="L19" s="14">
        <v>0.04</v>
      </c>
      <c r="M19" s="14">
        <v>0.02</v>
      </c>
      <c r="N19" s="14">
        <v>0.02</v>
      </c>
      <c r="O19" s="14">
        <v>0.03</v>
      </c>
      <c r="P19" s="14">
        <v>0.05</v>
      </c>
      <c r="Q19" s="14">
        <v>0.02</v>
      </c>
      <c r="R19" s="14">
        <v>0.03</v>
      </c>
      <c r="S19" s="14">
        <v>0.08</v>
      </c>
      <c r="T19" s="14">
        <v>0.09</v>
      </c>
      <c r="U19" s="14">
        <v>0.06</v>
      </c>
      <c r="V19" s="14">
        <v>0.08</v>
      </c>
      <c r="W19" s="14">
        <v>0.04</v>
      </c>
      <c r="X19" s="14">
        <v>0.08</v>
      </c>
      <c r="Y19" s="14">
        <v>0.06</v>
      </c>
      <c r="Z19" s="14">
        <v>0.03</v>
      </c>
      <c r="AA19" s="14">
        <v>0.01</v>
      </c>
      <c r="AB19" s="14">
        <v>0.04</v>
      </c>
      <c r="AC19" s="14">
        <v>0.06</v>
      </c>
      <c r="AD19" s="14">
        <v>0.1</v>
      </c>
      <c r="AE19" s="14">
        <v>0.05</v>
      </c>
      <c r="AF19" s="14">
        <v>0.08</v>
      </c>
    </row>
    <row r="20" spans="1:32">
      <c r="A20" s="19"/>
      <c r="B20" s="11" t="s">
        <v>581</v>
      </c>
      <c r="C20" s="12">
        <v>2419</v>
      </c>
      <c r="D20" s="12">
        <v>123</v>
      </c>
      <c r="E20" s="12">
        <v>90</v>
      </c>
      <c r="F20" s="12">
        <v>194</v>
      </c>
      <c r="G20" s="12">
        <v>167</v>
      </c>
      <c r="H20" s="12">
        <v>149</v>
      </c>
      <c r="I20" s="12">
        <v>189</v>
      </c>
      <c r="J20" s="12">
        <v>39</v>
      </c>
      <c r="K20" s="12">
        <v>193</v>
      </c>
      <c r="L20" s="12">
        <v>98</v>
      </c>
      <c r="M20" s="12">
        <v>58</v>
      </c>
      <c r="N20" s="12">
        <v>49</v>
      </c>
      <c r="O20" s="12">
        <v>109</v>
      </c>
      <c r="P20" s="12">
        <v>65</v>
      </c>
      <c r="Q20" s="12">
        <v>40</v>
      </c>
      <c r="R20" s="12">
        <v>26</v>
      </c>
      <c r="S20" s="12">
        <v>170</v>
      </c>
      <c r="T20" s="12">
        <v>179</v>
      </c>
      <c r="U20" s="12">
        <v>52</v>
      </c>
      <c r="V20" s="12">
        <v>115</v>
      </c>
      <c r="W20" s="12">
        <v>45</v>
      </c>
      <c r="X20" s="12">
        <v>92</v>
      </c>
      <c r="Y20" s="12">
        <v>95</v>
      </c>
      <c r="Z20" s="12">
        <v>71</v>
      </c>
      <c r="AA20" s="12">
        <v>28</v>
      </c>
      <c r="AB20" s="12">
        <v>112</v>
      </c>
      <c r="AC20" s="12">
        <v>144</v>
      </c>
      <c r="AD20" s="12">
        <v>164</v>
      </c>
      <c r="AE20" s="12">
        <v>89</v>
      </c>
      <c r="AF20" s="12">
        <v>116</v>
      </c>
    </row>
    <row r="21" spans="1:32">
      <c r="A21" s="19"/>
      <c r="B21" s="13" t="s">
        <v>581</v>
      </c>
      <c r="C21" s="14">
        <v>0.09</v>
      </c>
      <c r="D21" s="14">
        <v>0.12</v>
      </c>
      <c r="E21" s="14">
        <v>0.09</v>
      </c>
      <c r="F21" s="14">
        <v>0.18</v>
      </c>
      <c r="G21" s="14">
        <v>0.16</v>
      </c>
      <c r="H21" s="14">
        <v>0.12</v>
      </c>
      <c r="I21" s="14">
        <v>0.12</v>
      </c>
      <c r="J21" s="14">
        <v>0.13</v>
      </c>
      <c r="K21" s="14">
        <v>0.19</v>
      </c>
      <c r="L21" s="14">
        <v>0.1</v>
      </c>
      <c r="M21" s="14">
        <v>0.06</v>
      </c>
      <c r="N21" s="14">
        <v>0.05</v>
      </c>
      <c r="O21" s="14">
        <v>0.11</v>
      </c>
      <c r="P21" s="14">
        <v>0.06</v>
      </c>
      <c r="Q21" s="14">
        <v>0.04</v>
      </c>
      <c r="R21" s="14">
        <v>0.05</v>
      </c>
      <c r="S21" s="14">
        <v>0.17</v>
      </c>
      <c r="T21" s="14">
        <v>0.17</v>
      </c>
      <c r="U21" s="14">
        <v>0.1</v>
      </c>
      <c r="V21" s="14">
        <v>0.11</v>
      </c>
      <c r="W21" s="14">
        <v>0.09</v>
      </c>
      <c r="X21" s="14">
        <v>0.09</v>
      </c>
      <c r="Y21" s="14">
        <v>0.09</v>
      </c>
      <c r="Z21" s="14">
        <v>7.0000000000000007E-2</v>
      </c>
      <c r="AA21" s="14">
        <v>0.03</v>
      </c>
      <c r="AB21" s="14">
        <v>0.11</v>
      </c>
      <c r="AC21" s="14">
        <v>0.14000000000000001</v>
      </c>
      <c r="AD21" s="14">
        <v>0.16</v>
      </c>
      <c r="AE21" s="14">
        <v>0.09</v>
      </c>
      <c r="AF21" s="14">
        <v>0.11</v>
      </c>
    </row>
    <row r="22" spans="1:32">
      <c r="A22" s="19"/>
      <c r="B22" s="11" t="s">
        <v>582</v>
      </c>
      <c r="C22" s="12">
        <v>2881</v>
      </c>
      <c r="D22" s="12">
        <v>146</v>
      </c>
      <c r="E22" s="12">
        <v>133</v>
      </c>
      <c r="F22" s="12">
        <v>111</v>
      </c>
      <c r="G22" s="12">
        <v>107</v>
      </c>
      <c r="H22" s="12">
        <v>131</v>
      </c>
      <c r="I22" s="12">
        <v>176</v>
      </c>
      <c r="J22" s="12">
        <v>45</v>
      </c>
      <c r="K22" s="12">
        <v>113</v>
      </c>
      <c r="L22" s="12">
        <v>89</v>
      </c>
      <c r="M22" s="12">
        <v>63</v>
      </c>
      <c r="N22" s="12">
        <v>91</v>
      </c>
      <c r="O22" s="12">
        <v>101</v>
      </c>
      <c r="P22" s="12">
        <v>99</v>
      </c>
      <c r="Q22" s="12">
        <v>81</v>
      </c>
      <c r="R22" s="12">
        <v>34</v>
      </c>
      <c r="S22" s="12">
        <v>104</v>
      </c>
      <c r="T22" s="12">
        <v>112</v>
      </c>
      <c r="U22" s="12">
        <v>71</v>
      </c>
      <c r="V22" s="12">
        <v>159</v>
      </c>
      <c r="W22" s="12">
        <v>46</v>
      </c>
      <c r="X22" s="12">
        <v>146</v>
      </c>
      <c r="Y22" s="12">
        <v>128</v>
      </c>
      <c r="Z22" s="12">
        <v>153</v>
      </c>
      <c r="AA22" s="12">
        <v>41</v>
      </c>
      <c r="AB22" s="12">
        <v>158</v>
      </c>
      <c r="AC22" s="12">
        <v>110</v>
      </c>
      <c r="AD22" s="12">
        <v>126</v>
      </c>
      <c r="AE22" s="12">
        <v>109</v>
      </c>
      <c r="AF22" s="12">
        <v>126</v>
      </c>
    </row>
    <row r="23" spans="1:32">
      <c r="A23" s="19"/>
      <c r="B23" s="13" t="s">
        <v>582</v>
      </c>
      <c r="C23" s="14">
        <v>0.11</v>
      </c>
      <c r="D23" s="14">
        <v>0.14000000000000001</v>
      </c>
      <c r="E23" s="14">
        <v>0.13</v>
      </c>
      <c r="F23" s="14">
        <v>0.1</v>
      </c>
      <c r="G23" s="14">
        <v>0.11</v>
      </c>
      <c r="H23" s="14">
        <v>0.11</v>
      </c>
      <c r="I23" s="14">
        <v>0.12</v>
      </c>
      <c r="J23" s="14">
        <v>0.15</v>
      </c>
      <c r="K23" s="14">
        <v>0.11</v>
      </c>
      <c r="L23" s="14">
        <v>0.09</v>
      </c>
      <c r="M23" s="14">
        <v>0.06</v>
      </c>
      <c r="N23" s="14">
        <v>0.09</v>
      </c>
      <c r="O23" s="14">
        <v>0.1</v>
      </c>
      <c r="P23" s="14">
        <v>0.1</v>
      </c>
      <c r="Q23" s="14">
        <v>0.08</v>
      </c>
      <c r="R23" s="14">
        <v>7.0000000000000007E-2</v>
      </c>
      <c r="S23" s="14">
        <v>0.1</v>
      </c>
      <c r="T23" s="14">
        <v>0.11</v>
      </c>
      <c r="U23" s="14">
        <v>0.14000000000000001</v>
      </c>
      <c r="V23" s="14">
        <v>0.16</v>
      </c>
      <c r="W23" s="14">
        <v>0.09</v>
      </c>
      <c r="X23" s="14">
        <v>0.15</v>
      </c>
      <c r="Y23" s="14">
        <v>0.13</v>
      </c>
      <c r="Z23" s="14">
        <v>0.15</v>
      </c>
      <c r="AA23" s="14">
        <v>0.04</v>
      </c>
      <c r="AB23" s="14">
        <v>0.15</v>
      </c>
      <c r="AC23" s="14">
        <v>0.11</v>
      </c>
      <c r="AD23" s="14">
        <v>0.13</v>
      </c>
      <c r="AE23" s="14">
        <v>0.11</v>
      </c>
      <c r="AF23" s="14">
        <v>0.12</v>
      </c>
    </row>
    <row r="24" spans="1:32">
      <c r="A24" s="19"/>
      <c r="B24" s="11" t="s">
        <v>583</v>
      </c>
      <c r="C24" s="12">
        <v>4319</v>
      </c>
      <c r="D24" s="12">
        <v>188</v>
      </c>
      <c r="E24" s="12">
        <v>148</v>
      </c>
      <c r="F24" s="12">
        <v>147</v>
      </c>
      <c r="G24" s="12">
        <v>161</v>
      </c>
      <c r="H24" s="12">
        <v>175</v>
      </c>
      <c r="I24" s="12">
        <v>225</v>
      </c>
      <c r="J24" s="12">
        <v>50</v>
      </c>
      <c r="K24" s="12">
        <v>93</v>
      </c>
      <c r="L24" s="12">
        <v>172</v>
      </c>
      <c r="M24" s="12">
        <v>183</v>
      </c>
      <c r="N24" s="12">
        <v>129</v>
      </c>
      <c r="O24" s="12">
        <v>157</v>
      </c>
      <c r="P24" s="12">
        <v>152</v>
      </c>
      <c r="Q24" s="12">
        <v>150</v>
      </c>
      <c r="R24" s="12">
        <v>94</v>
      </c>
      <c r="S24" s="12">
        <v>123</v>
      </c>
      <c r="T24" s="12">
        <v>132</v>
      </c>
      <c r="U24" s="12">
        <v>79</v>
      </c>
      <c r="V24" s="12">
        <v>187</v>
      </c>
      <c r="W24" s="12">
        <v>54</v>
      </c>
      <c r="X24" s="12">
        <v>251</v>
      </c>
      <c r="Y24" s="12">
        <v>156</v>
      </c>
      <c r="Z24" s="12">
        <v>237</v>
      </c>
      <c r="AA24" s="12">
        <v>145</v>
      </c>
      <c r="AB24" s="12">
        <v>213</v>
      </c>
      <c r="AC24" s="12">
        <v>139</v>
      </c>
      <c r="AD24" s="12">
        <v>202</v>
      </c>
      <c r="AE24" s="12">
        <v>167</v>
      </c>
      <c r="AF24" s="12">
        <v>178</v>
      </c>
    </row>
    <row r="25" spans="1:32">
      <c r="A25" s="19"/>
      <c r="B25" s="13" t="s">
        <v>583</v>
      </c>
      <c r="C25" s="14">
        <v>0.16</v>
      </c>
      <c r="D25" s="14">
        <v>0.18</v>
      </c>
      <c r="E25" s="14">
        <v>0.14000000000000001</v>
      </c>
      <c r="F25" s="14">
        <v>0.14000000000000001</v>
      </c>
      <c r="G25" s="14">
        <v>0.16</v>
      </c>
      <c r="H25" s="14">
        <v>0.14000000000000001</v>
      </c>
      <c r="I25" s="14">
        <v>0.15</v>
      </c>
      <c r="J25" s="14">
        <v>0.17</v>
      </c>
      <c r="K25" s="14">
        <v>0.09</v>
      </c>
      <c r="L25" s="14">
        <v>0.17</v>
      </c>
      <c r="M25" s="14">
        <v>0.18</v>
      </c>
      <c r="N25" s="14">
        <v>0.13</v>
      </c>
      <c r="O25" s="14">
        <v>0.16</v>
      </c>
      <c r="P25" s="14">
        <v>0.15</v>
      </c>
      <c r="Q25" s="14">
        <v>0.14000000000000001</v>
      </c>
      <c r="R25" s="14">
        <v>0.19</v>
      </c>
      <c r="S25" s="14">
        <v>0.12</v>
      </c>
      <c r="T25" s="14">
        <v>0.13</v>
      </c>
      <c r="U25" s="14">
        <v>0.16</v>
      </c>
      <c r="V25" s="14">
        <v>0.18</v>
      </c>
      <c r="W25" s="14">
        <v>0.11</v>
      </c>
      <c r="X25" s="14">
        <v>0.25</v>
      </c>
      <c r="Y25" s="14">
        <v>0.16</v>
      </c>
      <c r="Z25" s="14">
        <v>0.23</v>
      </c>
      <c r="AA25" s="14">
        <v>0.14000000000000001</v>
      </c>
      <c r="AB25" s="14">
        <v>0.2</v>
      </c>
      <c r="AC25" s="14">
        <v>0.14000000000000001</v>
      </c>
      <c r="AD25" s="14">
        <v>0.2</v>
      </c>
      <c r="AE25" s="14">
        <v>0.17</v>
      </c>
      <c r="AF25" s="14">
        <v>0.17</v>
      </c>
    </row>
    <row r="26" spans="1:32">
      <c r="A26" s="19"/>
      <c r="B26" s="11" t="s">
        <v>584</v>
      </c>
      <c r="C26" s="12">
        <v>5635</v>
      </c>
      <c r="D26" s="12">
        <v>213</v>
      </c>
      <c r="E26" s="12">
        <v>195</v>
      </c>
      <c r="F26" s="12">
        <v>134</v>
      </c>
      <c r="G26" s="12">
        <v>136</v>
      </c>
      <c r="H26" s="12">
        <v>240</v>
      </c>
      <c r="I26" s="12">
        <v>294</v>
      </c>
      <c r="J26" s="12">
        <v>53</v>
      </c>
      <c r="K26" s="12">
        <v>87</v>
      </c>
      <c r="L26" s="12">
        <v>210</v>
      </c>
      <c r="M26" s="12">
        <v>304</v>
      </c>
      <c r="N26" s="12">
        <v>220</v>
      </c>
      <c r="O26" s="12">
        <v>231</v>
      </c>
      <c r="P26" s="12">
        <v>207</v>
      </c>
      <c r="Q26" s="12">
        <v>266</v>
      </c>
      <c r="R26" s="12">
        <v>98</v>
      </c>
      <c r="S26" s="12">
        <v>149</v>
      </c>
      <c r="T26" s="12">
        <v>166</v>
      </c>
      <c r="U26" s="12">
        <v>68</v>
      </c>
      <c r="V26" s="12">
        <v>217</v>
      </c>
      <c r="W26" s="12">
        <v>116</v>
      </c>
      <c r="X26" s="12">
        <v>206</v>
      </c>
      <c r="Y26" s="12">
        <v>162</v>
      </c>
      <c r="Z26" s="12">
        <v>230</v>
      </c>
      <c r="AA26" s="12">
        <v>275</v>
      </c>
      <c r="AB26" s="12">
        <v>206</v>
      </c>
      <c r="AC26" s="12">
        <v>172</v>
      </c>
      <c r="AD26" s="12">
        <v>167</v>
      </c>
      <c r="AE26" s="12">
        <v>183</v>
      </c>
      <c r="AF26" s="12">
        <v>146</v>
      </c>
    </row>
    <row r="27" spans="1:32">
      <c r="A27" s="19"/>
      <c r="B27" s="13" t="s">
        <v>584</v>
      </c>
      <c r="C27" s="14">
        <v>0.21</v>
      </c>
      <c r="D27" s="14">
        <v>0.21</v>
      </c>
      <c r="E27" s="14">
        <v>0.19</v>
      </c>
      <c r="F27" s="14">
        <v>0.13</v>
      </c>
      <c r="G27" s="14">
        <v>0.13</v>
      </c>
      <c r="H27" s="14">
        <v>0.2</v>
      </c>
      <c r="I27" s="14">
        <v>0.19</v>
      </c>
      <c r="J27" s="14">
        <v>0.18</v>
      </c>
      <c r="K27" s="14">
        <v>0.09</v>
      </c>
      <c r="L27" s="14">
        <v>0.21</v>
      </c>
      <c r="M27" s="14">
        <v>0.3</v>
      </c>
      <c r="N27" s="14">
        <v>0.22</v>
      </c>
      <c r="O27" s="14">
        <v>0.23</v>
      </c>
      <c r="P27" s="14">
        <v>0.21</v>
      </c>
      <c r="Q27" s="14">
        <v>0.26</v>
      </c>
      <c r="R27" s="14">
        <v>0.2</v>
      </c>
      <c r="S27" s="14">
        <v>0.15</v>
      </c>
      <c r="T27" s="14">
        <v>0.16</v>
      </c>
      <c r="U27" s="14">
        <v>0.13</v>
      </c>
      <c r="V27" s="14">
        <v>0.21</v>
      </c>
      <c r="W27" s="14">
        <v>0.23</v>
      </c>
      <c r="X27" s="14">
        <v>0.2</v>
      </c>
      <c r="Y27" s="14">
        <v>0.16</v>
      </c>
      <c r="Z27" s="14">
        <v>0.23</v>
      </c>
      <c r="AA27" s="14">
        <v>0.26</v>
      </c>
      <c r="AB27" s="14">
        <v>0.2</v>
      </c>
      <c r="AC27" s="14">
        <v>0.17</v>
      </c>
      <c r="AD27" s="14">
        <v>0.17</v>
      </c>
      <c r="AE27" s="14">
        <v>0.18</v>
      </c>
      <c r="AF27" s="14">
        <v>0.14000000000000001</v>
      </c>
    </row>
    <row r="28" spans="1:32">
      <c r="A28" s="19"/>
      <c r="B28" s="11" t="s">
        <v>585</v>
      </c>
      <c r="C28" s="12">
        <v>3158</v>
      </c>
      <c r="D28" s="12">
        <v>89</v>
      </c>
      <c r="E28" s="12">
        <v>110</v>
      </c>
      <c r="F28" s="12">
        <v>67</v>
      </c>
      <c r="G28" s="12">
        <v>74</v>
      </c>
      <c r="H28" s="12">
        <v>98</v>
      </c>
      <c r="I28" s="12">
        <v>123</v>
      </c>
      <c r="J28" s="12">
        <v>25</v>
      </c>
      <c r="K28" s="12">
        <v>38</v>
      </c>
      <c r="L28" s="12">
        <v>91</v>
      </c>
      <c r="M28" s="12">
        <v>195</v>
      </c>
      <c r="N28" s="12">
        <v>177</v>
      </c>
      <c r="O28" s="12">
        <v>123</v>
      </c>
      <c r="P28" s="12">
        <v>117</v>
      </c>
      <c r="Q28" s="12">
        <v>182</v>
      </c>
      <c r="R28" s="12">
        <v>79</v>
      </c>
      <c r="S28" s="12">
        <v>57</v>
      </c>
      <c r="T28" s="12">
        <v>54</v>
      </c>
      <c r="U28" s="12">
        <v>57</v>
      </c>
      <c r="V28" s="12">
        <v>75</v>
      </c>
      <c r="W28" s="12">
        <v>93</v>
      </c>
      <c r="X28" s="12">
        <v>64</v>
      </c>
      <c r="Y28" s="12">
        <v>106</v>
      </c>
      <c r="Z28" s="12">
        <v>116</v>
      </c>
      <c r="AA28" s="12">
        <v>167</v>
      </c>
      <c r="AB28" s="12">
        <v>120</v>
      </c>
      <c r="AC28" s="12">
        <v>74</v>
      </c>
      <c r="AD28" s="12">
        <v>86</v>
      </c>
      <c r="AE28" s="12">
        <v>136</v>
      </c>
      <c r="AF28" s="12">
        <v>73</v>
      </c>
    </row>
    <row r="29" spans="1:32">
      <c r="A29" s="19"/>
      <c r="B29" s="13" t="s">
        <v>585</v>
      </c>
      <c r="C29" s="14">
        <v>0.12</v>
      </c>
      <c r="D29" s="14">
        <v>0.09</v>
      </c>
      <c r="E29" s="14">
        <v>0.1</v>
      </c>
      <c r="F29" s="14">
        <v>0.06</v>
      </c>
      <c r="G29" s="14">
        <v>7.0000000000000007E-2</v>
      </c>
      <c r="H29" s="14">
        <v>0.08</v>
      </c>
      <c r="I29" s="14">
        <v>0.08</v>
      </c>
      <c r="J29" s="14">
        <v>0.08</v>
      </c>
      <c r="K29" s="14">
        <v>0.04</v>
      </c>
      <c r="L29" s="14">
        <v>0.09</v>
      </c>
      <c r="M29" s="14">
        <v>0.19</v>
      </c>
      <c r="N29" s="14">
        <v>0.17</v>
      </c>
      <c r="O29" s="14">
        <v>0.12</v>
      </c>
      <c r="P29" s="14">
        <v>0.12</v>
      </c>
      <c r="Q29" s="14">
        <v>0.18</v>
      </c>
      <c r="R29" s="14">
        <v>0.16</v>
      </c>
      <c r="S29" s="14">
        <v>0.06</v>
      </c>
      <c r="T29" s="14">
        <v>0.05</v>
      </c>
      <c r="U29" s="14">
        <v>0.11</v>
      </c>
      <c r="V29" s="14">
        <v>7.0000000000000007E-2</v>
      </c>
      <c r="W29" s="14">
        <v>0.19</v>
      </c>
      <c r="X29" s="14">
        <v>0.06</v>
      </c>
      <c r="Y29" s="14">
        <v>0.11</v>
      </c>
      <c r="Z29" s="14">
        <v>0.11</v>
      </c>
      <c r="AA29" s="14">
        <v>0.16</v>
      </c>
      <c r="AB29" s="14">
        <v>0.12</v>
      </c>
      <c r="AC29" s="14">
        <v>7.0000000000000007E-2</v>
      </c>
      <c r="AD29" s="14">
        <v>0.08</v>
      </c>
      <c r="AE29" s="14">
        <v>0.14000000000000001</v>
      </c>
      <c r="AF29" s="14">
        <v>7.0000000000000007E-2</v>
      </c>
    </row>
    <row r="30" spans="1:32">
      <c r="A30" s="19"/>
      <c r="B30" s="11" t="s">
        <v>586</v>
      </c>
      <c r="C30" s="12">
        <v>4582</v>
      </c>
      <c r="D30" s="12">
        <v>86</v>
      </c>
      <c r="E30" s="12">
        <v>227</v>
      </c>
      <c r="F30" s="12">
        <v>90</v>
      </c>
      <c r="G30" s="12">
        <v>77</v>
      </c>
      <c r="H30" s="12">
        <v>154</v>
      </c>
      <c r="I30" s="12">
        <v>195</v>
      </c>
      <c r="J30" s="12">
        <v>41</v>
      </c>
      <c r="K30" s="12">
        <v>65</v>
      </c>
      <c r="L30" s="12">
        <v>169</v>
      </c>
      <c r="M30" s="12">
        <v>166</v>
      </c>
      <c r="N30" s="12">
        <v>277</v>
      </c>
      <c r="O30" s="12">
        <v>181</v>
      </c>
      <c r="P30" s="12">
        <v>251</v>
      </c>
      <c r="Q30" s="12">
        <v>256</v>
      </c>
      <c r="R30" s="12">
        <v>125</v>
      </c>
      <c r="S30" s="12">
        <v>132</v>
      </c>
      <c r="T30" s="12">
        <v>117</v>
      </c>
      <c r="U30" s="12">
        <v>122</v>
      </c>
      <c r="V30" s="12">
        <v>143</v>
      </c>
      <c r="W30" s="12">
        <v>90</v>
      </c>
      <c r="X30" s="12">
        <v>60</v>
      </c>
      <c r="Y30" s="12">
        <v>194</v>
      </c>
      <c r="Z30" s="12">
        <v>147</v>
      </c>
      <c r="AA30" s="12">
        <v>361</v>
      </c>
      <c r="AB30" s="12">
        <v>99</v>
      </c>
      <c r="AC30" s="12">
        <v>204</v>
      </c>
      <c r="AD30" s="12">
        <v>71</v>
      </c>
      <c r="AE30" s="12">
        <v>132</v>
      </c>
      <c r="AF30" s="12">
        <v>146</v>
      </c>
    </row>
    <row r="31" spans="1:32">
      <c r="A31" s="19"/>
      <c r="B31" s="13" t="s">
        <v>587</v>
      </c>
      <c r="C31" s="14">
        <v>0.17</v>
      </c>
      <c r="D31" s="14">
        <v>0.08</v>
      </c>
      <c r="E31" s="14">
        <v>0.22</v>
      </c>
      <c r="F31" s="14">
        <v>0.09</v>
      </c>
      <c r="G31" s="14">
        <v>0.08</v>
      </c>
      <c r="H31" s="14">
        <v>0.12</v>
      </c>
      <c r="I31" s="14">
        <v>0.13</v>
      </c>
      <c r="J31" s="14">
        <v>0.14000000000000001</v>
      </c>
      <c r="K31" s="14">
        <v>0.06</v>
      </c>
      <c r="L31" s="14">
        <v>0.17</v>
      </c>
      <c r="M31" s="14">
        <v>0.16</v>
      </c>
      <c r="N31" s="14">
        <v>0.27</v>
      </c>
      <c r="O31" s="14">
        <v>0.18</v>
      </c>
      <c r="P31" s="14">
        <v>0.25</v>
      </c>
      <c r="Q31" s="14">
        <v>0.25</v>
      </c>
      <c r="R31" s="14">
        <v>0.25</v>
      </c>
      <c r="S31" s="14">
        <v>0.13</v>
      </c>
      <c r="T31" s="14">
        <v>0.12</v>
      </c>
      <c r="U31" s="14">
        <v>0.24</v>
      </c>
      <c r="V31" s="14">
        <v>0.14000000000000001</v>
      </c>
      <c r="W31" s="14">
        <v>0.18</v>
      </c>
      <c r="X31" s="14">
        <v>0.06</v>
      </c>
      <c r="Y31" s="14">
        <v>0.19</v>
      </c>
      <c r="Z31" s="14">
        <v>0.14000000000000001</v>
      </c>
      <c r="AA31" s="14">
        <v>0.35</v>
      </c>
      <c r="AB31" s="14">
        <v>0.09</v>
      </c>
      <c r="AC31" s="14">
        <v>0.2</v>
      </c>
      <c r="AD31" s="14">
        <v>7.0000000000000007E-2</v>
      </c>
      <c r="AE31" s="14">
        <v>0.13</v>
      </c>
      <c r="AF31" s="14">
        <v>0.14000000000000001</v>
      </c>
    </row>
    <row r="32" spans="1:32">
      <c r="A32" s="19"/>
      <c r="B32" s="11" t="s">
        <v>386</v>
      </c>
      <c r="C32" s="12">
        <v>111</v>
      </c>
      <c r="D32" s="12">
        <v>1</v>
      </c>
      <c r="E32" s="12">
        <v>5</v>
      </c>
      <c r="F32" s="12">
        <v>1</v>
      </c>
      <c r="G32" s="12">
        <v>13</v>
      </c>
      <c r="H32" s="12">
        <v>4</v>
      </c>
      <c r="I32" s="12">
        <v>5</v>
      </c>
      <c r="J32" s="12">
        <v>0</v>
      </c>
      <c r="K32" s="12">
        <v>5</v>
      </c>
      <c r="L32" s="12">
        <v>4</v>
      </c>
      <c r="M32" s="12">
        <v>1</v>
      </c>
      <c r="N32" s="12">
        <v>1</v>
      </c>
      <c r="O32" s="12">
        <v>12</v>
      </c>
      <c r="P32" s="12">
        <v>9</v>
      </c>
      <c r="Q32" s="12">
        <v>1</v>
      </c>
      <c r="R32" s="12">
        <v>4</v>
      </c>
      <c r="S32" s="12">
        <v>6</v>
      </c>
      <c r="T32" s="12">
        <v>8</v>
      </c>
      <c r="U32" s="12">
        <v>0</v>
      </c>
      <c r="V32" s="12">
        <v>3</v>
      </c>
      <c r="W32" s="12">
        <v>1</v>
      </c>
      <c r="X32" s="12">
        <v>1</v>
      </c>
      <c r="Y32" s="12">
        <v>6</v>
      </c>
      <c r="Z32" s="12">
        <v>3</v>
      </c>
      <c r="AA32" s="12">
        <v>3</v>
      </c>
      <c r="AB32" s="12">
        <v>10</v>
      </c>
      <c r="AC32" s="12">
        <v>0</v>
      </c>
      <c r="AD32" s="12">
        <v>0</v>
      </c>
      <c r="AE32" s="12">
        <v>7</v>
      </c>
      <c r="AF32" s="12">
        <v>0</v>
      </c>
    </row>
    <row r="33" spans="1:32">
      <c r="A33" s="19"/>
      <c r="B33" s="13" t="s">
        <v>399</v>
      </c>
      <c r="C33" s="14">
        <v>0.01</v>
      </c>
      <c r="D33" s="15" t="s">
        <v>375</v>
      </c>
      <c r="E33" s="15" t="s">
        <v>375</v>
      </c>
      <c r="F33" s="15" t="s">
        <v>375</v>
      </c>
      <c r="G33" s="14">
        <v>0.01</v>
      </c>
      <c r="H33" s="15" t="s">
        <v>375</v>
      </c>
      <c r="I33" s="15" t="s">
        <v>375</v>
      </c>
      <c r="J33" s="15" t="s">
        <v>375</v>
      </c>
      <c r="K33" s="15" t="s">
        <v>375</v>
      </c>
      <c r="L33" s="15" t="s">
        <v>375</v>
      </c>
      <c r="M33" s="15" t="s">
        <v>375</v>
      </c>
      <c r="N33" s="15" t="s">
        <v>375</v>
      </c>
      <c r="O33" s="14">
        <v>0.01</v>
      </c>
      <c r="P33" s="14">
        <v>0.01</v>
      </c>
      <c r="Q33" s="15" t="s">
        <v>375</v>
      </c>
      <c r="R33" s="14">
        <v>0.01</v>
      </c>
      <c r="S33" s="14">
        <v>0.01</v>
      </c>
      <c r="T33" s="14">
        <v>0.01</v>
      </c>
      <c r="U33" s="15" t="s">
        <v>375</v>
      </c>
      <c r="V33" s="15" t="s">
        <v>375</v>
      </c>
      <c r="W33" s="15" t="s">
        <v>375</v>
      </c>
      <c r="X33" s="15" t="s">
        <v>375</v>
      </c>
      <c r="Y33" s="14">
        <v>0.01</v>
      </c>
      <c r="Z33" s="15" t="s">
        <v>375</v>
      </c>
      <c r="AA33" s="15" t="s">
        <v>375</v>
      </c>
      <c r="AB33" s="14">
        <v>0.01</v>
      </c>
      <c r="AC33" s="15" t="s">
        <v>375</v>
      </c>
      <c r="AD33" s="15" t="s">
        <v>375</v>
      </c>
      <c r="AE33" s="14">
        <v>0.01</v>
      </c>
      <c r="AF33" s="15" t="s">
        <v>375</v>
      </c>
    </row>
    <row r="34" spans="1:32">
      <c r="A34" s="19"/>
      <c r="B34" s="11" t="s">
        <v>588</v>
      </c>
      <c r="C34" s="12">
        <v>3348</v>
      </c>
      <c r="D34" s="12">
        <v>176</v>
      </c>
      <c r="E34" s="12">
        <v>137</v>
      </c>
      <c r="F34" s="12">
        <v>320</v>
      </c>
      <c r="G34" s="12">
        <v>281</v>
      </c>
      <c r="H34" s="12">
        <v>278</v>
      </c>
      <c r="I34" s="12">
        <v>322</v>
      </c>
      <c r="J34" s="12">
        <v>42</v>
      </c>
      <c r="K34" s="12">
        <v>413</v>
      </c>
      <c r="L34" s="12">
        <v>174</v>
      </c>
      <c r="M34" s="12">
        <v>38</v>
      </c>
      <c r="N34" s="12">
        <v>67</v>
      </c>
      <c r="O34" s="12">
        <v>90</v>
      </c>
      <c r="P34" s="12">
        <v>101</v>
      </c>
      <c r="Q34" s="12">
        <v>54</v>
      </c>
      <c r="R34" s="12">
        <v>40</v>
      </c>
      <c r="S34" s="12">
        <v>264</v>
      </c>
      <c r="T34" s="12">
        <v>254</v>
      </c>
      <c r="U34" s="12">
        <v>59</v>
      </c>
      <c r="V34" s="12">
        <v>128</v>
      </c>
      <c r="W34" s="12">
        <v>56</v>
      </c>
      <c r="X34" s="12">
        <v>191</v>
      </c>
      <c r="Y34" s="12">
        <v>156</v>
      </c>
      <c r="Z34" s="12">
        <v>60</v>
      </c>
      <c r="AA34" s="12">
        <v>18</v>
      </c>
      <c r="AB34" s="12">
        <v>124</v>
      </c>
      <c r="AC34" s="12">
        <v>162</v>
      </c>
      <c r="AD34" s="12">
        <v>187</v>
      </c>
      <c r="AE34" s="12">
        <v>178</v>
      </c>
      <c r="AF34" s="12">
        <v>247</v>
      </c>
    </row>
    <row r="35" spans="1:32">
      <c r="A35" s="19"/>
      <c r="B35" s="13" t="s">
        <v>589</v>
      </c>
      <c r="C35" s="14">
        <v>0.13</v>
      </c>
      <c r="D35" s="14">
        <v>0.18</v>
      </c>
      <c r="E35" s="14">
        <v>0.13</v>
      </c>
      <c r="F35" s="14">
        <v>0.3</v>
      </c>
      <c r="G35" s="14">
        <v>0.28000000000000003</v>
      </c>
      <c r="H35" s="14">
        <v>0.23</v>
      </c>
      <c r="I35" s="14">
        <v>0.21</v>
      </c>
      <c r="J35" s="14">
        <v>0.15</v>
      </c>
      <c r="K35" s="14">
        <v>0.42</v>
      </c>
      <c r="L35" s="14">
        <v>0.17</v>
      </c>
      <c r="M35" s="14">
        <v>0.05</v>
      </c>
      <c r="N35" s="14">
        <v>7.0000000000000007E-2</v>
      </c>
      <c r="O35" s="14">
        <v>0.09</v>
      </c>
      <c r="P35" s="14">
        <v>0.1</v>
      </c>
      <c r="Q35" s="14">
        <v>0.05</v>
      </c>
      <c r="R35" s="14">
        <v>7.0000000000000007E-2</v>
      </c>
      <c r="S35" s="14">
        <v>0.26</v>
      </c>
      <c r="T35" s="14">
        <v>0.25</v>
      </c>
      <c r="U35" s="14">
        <v>0.12</v>
      </c>
      <c r="V35" s="14">
        <v>0.13</v>
      </c>
      <c r="W35" s="14">
        <v>0.11</v>
      </c>
      <c r="X35" s="14">
        <v>0.19</v>
      </c>
      <c r="Y35" s="14">
        <v>0.15</v>
      </c>
      <c r="Z35" s="14">
        <v>7.0000000000000007E-2</v>
      </c>
      <c r="AA35" s="14">
        <v>0.02</v>
      </c>
      <c r="AB35" s="14">
        <v>0.12</v>
      </c>
      <c r="AC35" s="14">
        <v>0.17</v>
      </c>
      <c r="AD35" s="14">
        <v>0.19</v>
      </c>
      <c r="AE35" s="14">
        <v>0.17</v>
      </c>
      <c r="AF35" s="14">
        <v>0.25</v>
      </c>
    </row>
    <row r="36" spans="1:32">
      <c r="A36" s="19"/>
      <c r="B36" s="11" t="s">
        <v>590</v>
      </c>
      <c r="C36" s="12">
        <v>5300</v>
      </c>
      <c r="D36" s="12">
        <v>269</v>
      </c>
      <c r="E36" s="12">
        <v>223</v>
      </c>
      <c r="F36" s="12">
        <v>305</v>
      </c>
      <c r="G36" s="12">
        <v>274</v>
      </c>
      <c r="H36" s="12">
        <v>280</v>
      </c>
      <c r="I36" s="12">
        <v>365</v>
      </c>
      <c r="J36" s="12">
        <v>84</v>
      </c>
      <c r="K36" s="12">
        <v>306</v>
      </c>
      <c r="L36" s="12">
        <v>187</v>
      </c>
      <c r="M36" s="12">
        <v>121</v>
      </c>
      <c r="N36" s="12">
        <v>140</v>
      </c>
      <c r="O36" s="12">
        <v>210</v>
      </c>
      <c r="P36" s="12">
        <v>164</v>
      </c>
      <c r="Q36" s="12">
        <v>121</v>
      </c>
      <c r="R36" s="12">
        <v>60</v>
      </c>
      <c r="S36" s="12">
        <v>274</v>
      </c>
      <c r="T36" s="12">
        <v>291</v>
      </c>
      <c r="U36" s="12">
        <v>123</v>
      </c>
      <c r="V36" s="12">
        <v>274</v>
      </c>
      <c r="W36" s="12">
        <v>91</v>
      </c>
      <c r="X36" s="12">
        <v>238</v>
      </c>
      <c r="Y36" s="12">
        <v>223</v>
      </c>
      <c r="Z36" s="12">
        <v>224</v>
      </c>
      <c r="AA36" s="12">
        <v>69</v>
      </c>
      <c r="AB36" s="12">
        <v>270</v>
      </c>
      <c r="AC36" s="12">
        <v>254</v>
      </c>
      <c r="AD36" s="12">
        <v>290</v>
      </c>
      <c r="AE36" s="12">
        <v>198</v>
      </c>
      <c r="AF36" s="12">
        <v>242</v>
      </c>
    </row>
    <row r="37" spans="1:32">
      <c r="A37" s="19"/>
      <c r="B37" s="13" t="s">
        <v>591</v>
      </c>
      <c r="C37" s="14">
        <v>0.2</v>
      </c>
      <c r="D37" s="14">
        <v>0.26</v>
      </c>
      <c r="E37" s="14">
        <v>0.22</v>
      </c>
      <c r="F37" s="14">
        <v>0.28000000000000003</v>
      </c>
      <c r="G37" s="14">
        <v>0.27</v>
      </c>
      <c r="H37" s="14">
        <v>0.23</v>
      </c>
      <c r="I37" s="14">
        <v>0.24</v>
      </c>
      <c r="J37" s="14">
        <v>0.28000000000000003</v>
      </c>
      <c r="K37" s="14">
        <v>0.3</v>
      </c>
      <c r="L37" s="14">
        <v>0.19</v>
      </c>
      <c r="M37" s="14">
        <v>0.12</v>
      </c>
      <c r="N37" s="14">
        <v>0.14000000000000001</v>
      </c>
      <c r="O37" s="14">
        <v>0.21</v>
      </c>
      <c r="P37" s="14">
        <v>0.16</v>
      </c>
      <c r="Q37" s="14">
        <v>0.12</v>
      </c>
      <c r="R37" s="14">
        <v>0.12</v>
      </c>
      <c r="S37" s="14">
        <v>0.27</v>
      </c>
      <c r="T37" s="14">
        <v>0.28000000000000003</v>
      </c>
      <c r="U37" s="14">
        <v>0.24</v>
      </c>
      <c r="V37" s="14">
        <v>0.27</v>
      </c>
      <c r="W37" s="14">
        <v>0.18</v>
      </c>
      <c r="X37" s="14">
        <v>0.24</v>
      </c>
      <c r="Y37" s="14">
        <v>0.22</v>
      </c>
      <c r="Z37" s="14">
        <v>0.22</v>
      </c>
      <c r="AA37" s="14">
        <v>7.0000000000000007E-2</v>
      </c>
      <c r="AB37" s="14">
        <v>0.26</v>
      </c>
      <c r="AC37" s="14">
        <v>0.25</v>
      </c>
      <c r="AD37" s="14">
        <v>0.28999999999999998</v>
      </c>
      <c r="AE37" s="14">
        <v>0.2</v>
      </c>
      <c r="AF37" s="14">
        <v>0.23</v>
      </c>
    </row>
    <row r="38" spans="1:32">
      <c r="A38" s="19"/>
      <c r="B38" s="11" t="s">
        <v>592</v>
      </c>
      <c r="C38" s="12">
        <v>17694</v>
      </c>
      <c r="D38" s="12">
        <v>576</v>
      </c>
      <c r="E38" s="12">
        <v>680</v>
      </c>
      <c r="F38" s="12">
        <v>438</v>
      </c>
      <c r="G38" s="12">
        <v>448</v>
      </c>
      <c r="H38" s="12">
        <v>667</v>
      </c>
      <c r="I38" s="12">
        <v>837</v>
      </c>
      <c r="J38" s="12">
        <v>169</v>
      </c>
      <c r="K38" s="12">
        <v>283</v>
      </c>
      <c r="L38" s="12">
        <v>642</v>
      </c>
      <c r="M38" s="12">
        <v>848</v>
      </c>
      <c r="N38" s="12">
        <v>803</v>
      </c>
      <c r="O38" s="12">
        <v>692</v>
      </c>
      <c r="P38" s="12">
        <v>727</v>
      </c>
      <c r="Q38" s="12">
        <v>854</v>
      </c>
      <c r="R38" s="12">
        <v>396</v>
      </c>
      <c r="S38" s="12">
        <v>461</v>
      </c>
      <c r="T38" s="12">
        <v>469</v>
      </c>
      <c r="U38" s="12">
        <v>326</v>
      </c>
      <c r="V38" s="12">
        <v>622</v>
      </c>
      <c r="W38" s="12">
        <v>353</v>
      </c>
      <c r="X38" s="12">
        <v>581</v>
      </c>
      <c r="Y38" s="12">
        <v>618</v>
      </c>
      <c r="Z38" s="12">
        <v>730</v>
      </c>
      <c r="AA38" s="12">
        <v>948</v>
      </c>
      <c r="AB38" s="12">
        <v>638</v>
      </c>
      <c r="AC38" s="12">
        <v>589</v>
      </c>
      <c r="AD38" s="12">
        <v>526</v>
      </c>
      <c r="AE38" s="12">
        <v>618</v>
      </c>
      <c r="AF38" s="12">
        <v>543</v>
      </c>
    </row>
    <row r="39" spans="1:32">
      <c r="A39" s="19"/>
      <c r="B39" s="13" t="s">
        <v>593</v>
      </c>
      <c r="C39" s="14">
        <v>0.66</v>
      </c>
      <c r="D39" s="14">
        <v>0.56000000000000005</v>
      </c>
      <c r="E39" s="14">
        <v>0.65</v>
      </c>
      <c r="F39" s="14">
        <v>0.42</v>
      </c>
      <c r="G39" s="14">
        <v>0.44</v>
      </c>
      <c r="H39" s="14">
        <v>0.54</v>
      </c>
      <c r="I39" s="14">
        <v>0.55000000000000004</v>
      </c>
      <c r="J39" s="14">
        <v>0.57000000000000006</v>
      </c>
      <c r="K39" s="14">
        <v>0.28000000000000003</v>
      </c>
      <c r="L39" s="14">
        <v>0.64</v>
      </c>
      <c r="M39" s="14">
        <v>0.83000000000000007</v>
      </c>
      <c r="N39" s="14">
        <v>0.79</v>
      </c>
      <c r="O39" s="14">
        <v>0.69000000000000006</v>
      </c>
      <c r="P39" s="14">
        <v>0.73</v>
      </c>
      <c r="Q39" s="14">
        <v>0.83000000000000007</v>
      </c>
      <c r="R39" s="14">
        <v>0.8</v>
      </c>
      <c r="S39" s="14">
        <v>0.46</v>
      </c>
      <c r="T39" s="14">
        <v>0.46</v>
      </c>
      <c r="U39" s="14">
        <v>0.64</v>
      </c>
      <c r="V39" s="14">
        <v>0.6</v>
      </c>
      <c r="W39" s="14">
        <v>0.71</v>
      </c>
      <c r="X39" s="14">
        <v>0.57000000000000006</v>
      </c>
      <c r="Y39" s="14">
        <v>0.62</v>
      </c>
      <c r="Z39" s="14">
        <v>0.71</v>
      </c>
      <c r="AA39" s="14">
        <v>0.91</v>
      </c>
      <c r="AB39" s="14">
        <v>0.61</v>
      </c>
      <c r="AC39" s="14">
        <v>0.57999999999999996</v>
      </c>
      <c r="AD39" s="14">
        <v>0.52</v>
      </c>
      <c r="AE39" s="14">
        <v>0.62</v>
      </c>
      <c r="AF39" s="14">
        <v>0.52</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626</v>
      </c>
      <c r="C3" s="17"/>
      <c r="D3" s="17"/>
      <c r="E3" s="17"/>
      <c r="F3" s="17"/>
      <c r="H3" s="17" t="s">
        <v>627</v>
      </c>
      <c r="I3" s="17"/>
      <c r="J3" s="17"/>
      <c r="K3" s="17"/>
      <c r="L3" s="17"/>
    </row>
    <row r="4" spans="1:32" ht="27" customHeight="1">
      <c r="B4" s="17" t="s">
        <v>628</v>
      </c>
      <c r="C4" s="17"/>
      <c r="D4" s="17"/>
      <c r="E4" s="17"/>
      <c r="F4" s="17"/>
      <c r="H4" s="17" t="s">
        <v>629</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HYPERLINK("#Content!A38","&lt;&lt;Back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719</v>
      </c>
      <c r="D12" s="12">
        <v>24</v>
      </c>
      <c r="E12" s="12">
        <v>81</v>
      </c>
      <c r="F12" s="12">
        <v>75</v>
      </c>
      <c r="G12" s="12">
        <v>42</v>
      </c>
      <c r="H12" s="12">
        <v>38</v>
      </c>
      <c r="I12" s="12">
        <v>47</v>
      </c>
      <c r="J12" s="12">
        <v>9</v>
      </c>
      <c r="K12" s="12">
        <v>95</v>
      </c>
      <c r="L12" s="12">
        <v>61</v>
      </c>
      <c r="M12" s="12">
        <v>8</v>
      </c>
      <c r="N12" s="12">
        <v>21</v>
      </c>
      <c r="O12" s="12">
        <v>24</v>
      </c>
      <c r="P12" s="12">
        <v>33</v>
      </c>
      <c r="Q12" s="12">
        <v>22</v>
      </c>
      <c r="R12" s="12">
        <v>5</v>
      </c>
      <c r="S12" s="12">
        <v>76</v>
      </c>
      <c r="T12" s="12">
        <v>78</v>
      </c>
      <c r="U12" s="12">
        <v>13</v>
      </c>
      <c r="V12" s="12">
        <v>13</v>
      </c>
      <c r="W12" s="12">
        <v>14</v>
      </c>
      <c r="X12" s="12">
        <v>7</v>
      </c>
      <c r="Y12" s="12">
        <v>39</v>
      </c>
      <c r="Z12" s="12">
        <v>6</v>
      </c>
      <c r="AA12" s="12">
        <v>13</v>
      </c>
      <c r="AB12" s="12">
        <v>54</v>
      </c>
      <c r="AC12" s="12">
        <v>73</v>
      </c>
      <c r="AD12" s="12">
        <v>47</v>
      </c>
      <c r="AE12" s="12">
        <v>27</v>
      </c>
      <c r="AF12" s="12">
        <v>36</v>
      </c>
    </row>
    <row r="13" spans="1:32">
      <c r="A13" s="19"/>
      <c r="B13" s="13" t="s">
        <v>577</v>
      </c>
      <c r="C13" s="14">
        <v>0.03</v>
      </c>
      <c r="D13" s="14">
        <v>0.02</v>
      </c>
      <c r="E13" s="14">
        <v>0.08</v>
      </c>
      <c r="F13" s="14">
        <v>7.0000000000000007E-2</v>
      </c>
      <c r="G13" s="14">
        <v>0.04</v>
      </c>
      <c r="H13" s="14">
        <v>0.03</v>
      </c>
      <c r="I13" s="14">
        <v>0.03</v>
      </c>
      <c r="J13" s="14">
        <v>0.03</v>
      </c>
      <c r="K13" s="14">
        <v>0.09</v>
      </c>
      <c r="L13" s="14">
        <v>0.06</v>
      </c>
      <c r="M13" s="14">
        <v>0.01</v>
      </c>
      <c r="N13" s="14">
        <v>0.02</v>
      </c>
      <c r="O13" s="14">
        <v>0.02</v>
      </c>
      <c r="P13" s="14">
        <v>0.03</v>
      </c>
      <c r="Q13" s="14">
        <v>0.02</v>
      </c>
      <c r="R13" s="14">
        <v>0.01</v>
      </c>
      <c r="S13" s="14">
        <v>0.08</v>
      </c>
      <c r="T13" s="14">
        <v>0.08</v>
      </c>
      <c r="U13" s="14">
        <v>0.02</v>
      </c>
      <c r="V13" s="14">
        <v>0.01</v>
      </c>
      <c r="W13" s="14">
        <v>0.03</v>
      </c>
      <c r="X13" s="14">
        <v>0.01</v>
      </c>
      <c r="Y13" s="14">
        <v>0.04</v>
      </c>
      <c r="Z13" s="14">
        <v>0.01</v>
      </c>
      <c r="AA13" s="14">
        <v>0.01</v>
      </c>
      <c r="AB13" s="14">
        <v>0.05</v>
      </c>
      <c r="AC13" s="14">
        <v>7.0000000000000007E-2</v>
      </c>
      <c r="AD13" s="14">
        <v>0.05</v>
      </c>
      <c r="AE13" s="14">
        <v>0.03</v>
      </c>
      <c r="AF13" s="14">
        <v>0.04</v>
      </c>
    </row>
    <row r="14" spans="1:32">
      <c r="A14" s="19"/>
      <c r="B14" s="11" t="s">
        <v>578</v>
      </c>
      <c r="C14" s="12">
        <v>812</v>
      </c>
      <c r="D14" s="12">
        <v>17</v>
      </c>
      <c r="E14" s="12">
        <v>46</v>
      </c>
      <c r="F14" s="12">
        <v>55</v>
      </c>
      <c r="G14" s="12">
        <v>54</v>
      </c>
      <c r="H14" s="12">
        <v>100</v>
      </c>
      <c r="I14" s="12">
        <v>114</v>
      </c>
      <c r="J14" s="12">
        <v>14</v>
      </c>
      <c r="K14" s="12">
        <v>63</v>
      </c>
      <c r="L14" s="12">
        <v>8</v>
      </c>
      <c r="M14" s="12">
        <v>24</v>
      </c>
      <c r="N14" s="12">
        <v>9</v>
      </c>
      <c r="O14" s="12">
        <v>26</v>
      </c>
      <c r="P14" s="12">
        <v>23</v>
      </c>
      <c r="Q14" s="12">
        <v>8</v>
      </c>
      <c r="R14" s="12">
        <v>10</v>
      </c>
      <c r="S14" s="12">
        <v>40</v>
      </c>
      <c r="T14" s="12">
        <v>38</v>
      </c>
      <c r="U14" s="12">
        <v>8</v>
      </c>
      <c r="V14" s="12">
        <v>24</v>
      </c>
      <c r="W14" s="12">
        <v>4</v>
      </c>
      <c r="X14" s="12">
        <v>11</v>
      </c>
      <c r="Y14" s="12">
        <v>32</v>
      </c>
      <c r="Z14" s="12">
        <v>5</v>
      </c>
      <c r="AA14" s="12">
        <v>48</v>
      </c>
      <c r="AB14" s="12">
        <v>24</v>
      </c>
      <c r="AC14" s="12">
        <v>34</v>
      </c>
      <c r="AD14" s="12">
        <v>26</v>
      </c>
      <c r="AE14" s="12">
        <v>48</v>
      </c>
      <c r="AF14" s="12">
        <v>58</v>
      </c>
    </row>
    <row r="15" spans="1:32">
      <c r="A15" s="19"/>
      <c r="B15" s="13" t="s">
        <v>578</v>
      </c>
      <c r="C15" s="14">
        <v>0.03</v>
      </c>
      <c r="D15" s="14">
        <v>0.02</v>
      </c>
      <c r="E15" s="14">
        <v>0.04</v>
      </c>
      <c r="F15" s="14">
        <v>0.05</v>
      </c>
      <c r="G15" s="14">
        <v>0.05</v>
      </c>
      <c r="H15" s="14">
        <v>0.08</v>
      </c>
      <c r="I15" s="14">
        <v>7.0000000000000007E-2</v>
      </c>
      <c r="J15" s="14">
        <v>0.05</v>
      </c>
      <c r="K15" s="14">
        <v>0.06</v>
      </c>
      <c r="L15" s="14">
        <v>0.01</v>
      </c>
      <c r="M15" s="14">
        <v>0.02</v>
      </c>
      <c r="N15" s="14">
        <v>0.01</v>
      </c>
      <c r="O15" s="14">
        <v>0.03</v>
      </c>
      <c r="P15" s="14">
        <v>0.02</v>
      </c>
      <c r="Q15" s="14">
        <v>0.01</v>
      </c>
      <c r="R15" s="14">
        <v>0.02</v>
      </c>
      <c r="S15" s="14">
        <v>0.04</v>
      </c>
      <c r="T15" s="14">
        <v>0.04</v>
      </c>
      <c r="U15" s="14">
        <v>0.02</v>
      </c>
      <c r="V15" s="14">
        <v>0.02</v>
      </c>
      <c r="W15" s="14">
        <v>0.01</v>
      </c>
      <c r="X15" s="14">
        <v>0.01</v>
      </c>
      <c r="Y15" s="14">
        <v>0.03</v>
      </c>
      <c r="Z15" s="14">
        <v>0.01</v>
      </c>
      <c r="AA15" s="14">
        <v>0.05</v>
      </c>
      <c r="AB15" s="14">
        <v>0.02</v>
      </c>
      <c r="AC15" s="14">
        <v>0.03</v>
      </c>
      <c r="AD15" s="14">
        <v>0.02</v>
      </c>
      <c r="AE15" s="14">
        <v>0.05</v>
      </c>
      <c r="AF15" s="14">
        <v>0.06</v>
      </c>
    </row>
    <row r="16" spans="1:32">
      <c r="A16" s="19"/>
      <c r="B16" s="11" t="s">
        <v>579</v>
      </c>
      <c r="C16" s="12">
        <v>1173</v>
      </c>
      <c r="D16" s="12">
        <v>46</v>
      </c>
      <c r="E16" s="12">
        <v>64</v>
      </c>
      <c r="F16" s="12">
        <v>99</v>
      </c>
      <c r="G16" s="12">
        <v>99</v>
      </c>
      <c r="H16" s="12">
        <v>73</v>
      </c>
      <c r="I16" s="12">
        <v>86</v>
      </c>
      <c r="J16" s="12">
        <v>13</v>
      </c>
      <c r="K16" s="12">
        <v>90</v>
      </c>
      <c r="L16" s="12">
        <v>24</v>
      </c>
      <c r="M16" s="12">
        <v>44</v>
      </c>
      <c r="N16" s="12">
        <v>13</v>
      </c>
      <c r="O16" s="12">
        <v>45</v>
      </c>
      <c r="P16" s="12">
        <v>55</v>
      </c>
      <c r="Q16" s="12">
        <v>31</v>
      </c>
      <c r="R16" s="12">
        <v>18</v>
      </c>
      <c r="S16" s="12">
        <v>70</v>
      </c>
      <c r="T16" s="12">
        <v>59</v>
      </c>
      <c r="U16" s="12">
        <v>11</v>
      </c>
      <c r="V16" s="12">
        <v>77</v>
      </c>
      <c r="W16" s="12">
        <v>10</v>
      </c>
      <c r="X16" s="12">
        <v>38</v>
      </c>
      <c r="Y16" s="12">
        <v>47</v>
      </c>
      <c r="Z16" s="12">
        <v>25</v>
      </c>
      <c r="AA16" s="12">
        <v>90</v>
      </c>
      <c r="AB16" s="12">
        <v>24</v>
      </c>
      <c r="AC16" s="12">
        <v>88</v>
      </c>
      <c r="AD16" s="12">
        <v>76</v>
      </c>
      <c r="AE16" s="12">
        <v>78</v>
      </c>
      <c r="AF16" s="12">
        <v>86</v>
      </c>
    </row>
    <row r="17" spans="1:32">
      <c r="A17" s="19"/>
      <c r="B17" s="13" t="s">
        <v>579</v>
      </c>
      <c r="C17" s="14">
        <v>0.04</v>
      </c>
      <c r="D17" s="14">
        <v>0.05</v>
      </c>
      <c r="E17" s="14">
        <v>0.06</v>
      </c>
      <c r="F17" s="14">
        <v>0.09</v>
      </c>
      <c r="G17" s="14">
        <v>0.1</v>
      </c>
      <c r="H17" s="14">
        <v>0.06</v>
      </c>
      <c r="I17" s="14">
        <v>0.06</v>
      </c>
      <c r="J17" s="14">
        <v>0.04</v>
      </c>
      <c r="K17" s="14">
        <v>0.09</v>
      </c>
      <c r="L17" s="14">
        <v>0.02</v>
      </c>
      <c r="M17" s="14">
        <v>0.04</v>
      </c>
      <c r="N17" s="14">
        <v>0.01</v>
      </c>
      <c r="O17" s="14">
        <v>0.04</v>
      </c>
      <c r="P17" s="14">
        <v>0.05</v>
      </c>
      <c r="Q17" s="14">
        <v>0.03</v>
      </c>
      <c r="R17" s="14">
        <v>0.04</v>
      </c>
      <c r="S17" s="14">
        <v>7.0000000000000007E-2</v>
      </c>
      <c r="T17" s="14">
        <v>0.06</v>
      </c>
      <c r="U17" s="14">
        <v>0.02</v>
      </c>
      <c r="V17" s="14">
        <v>0.08</v>
      </c>
      <c r="W17" s="14">
        <v>0.02</v>
      </c>
      <c r="X17" s="14">
        <v>0.04</v>
      </c>
      <c r="Y17" s="14">
        <v>0.05</v>
      </c>
      <c r="Z17" s="14">
        <v>0.02</v>
      </c>
      <c r="AA17" s="14">
        <v>0.09</v>
      </c>
      <c r="AB17" s="14">
        <v>0.02</v>
      </c>
      <c r="AC17" s="14">
        <v>0.09</v>
      </c>
      <c r="AD17" s="14">
        <v>0.08</v>
      </c>
      <c r="AE17" s="14">
        <v>0.08</v>
      </c>
      <c r="AF17" s="14">
        <v>0.08</v>
      </c>
    </row>
    <row r="18" spans="1:32">
      <c r="A18" s="19"/>
      <c r="B18" s="11" t="s">
        <v>580</v>
      </c>
      <c r="C18" s="12">
        <v>1645</v>
      </c>
      <c r="D18" s="12">
        <v>78</v>
      </c>
      <c r="E18" s="12">
        <v>105</v>
      </c>
      <c r="F18" s="12">
        <v>113</v>
      </c>
      <c r="G18" s="12">
        <v>90</v>
      </c>
      <c r="H18" s="12">
        <v>128</v>
      </c>
      <c r="I18" s="12">
        <v>152</v>
      </c>
      <c r="J18" s="12">
        <v>24</v>
      </c>
      <c r="K18" s="12">
        <v>88</v>
      </c>
      <c r="L18" s="12">
        <v>40</v>
      </c>
      <c r="M18" s="12">
        <v>55</v>
      </c>
      <c r="N18" s="12">
        <v>28</v>
      </c>
      <c r="O18" s="12">
        <v>51</v>
      </c>
      <c r="P18" s="12">
        <v>73</v>
      </c>
      <c r="Q18" s="12">
        <v>31</v>
      </c>
      <c r="R18" s="12">
        <v>23</v>
      </c>
      <c r="S18" s="12">
        <v>75</v>
      </c>
      <c r="T18" s="12">
        <v>77</v>
      </c>
      <c r="U18" s="12">
        <v>28</v>
      </c>
      <c r="V18" s="12">
        <v>107</v>
      </c>
      <c r="W18" s="12">
        <v>25</v>
      </c>
      <c r="X18" s="12">
        <v>71</v>
      </c>
      <c r="Y18" s="12">
        <v>74</v>
      </c>
      <c r="Z18" s="12">
        <v>54</v>
      </c>
      <c r="AA18" s="12">
        <v>46</v>
      </c>
      <c r="AB18" s="12">
        <v>61</v>
      </c>
      <c r="AC18" s="12">
        <v>91</v>
      </c>
      <c r="AD18" s="12">
        <v>58</v>
      </c>
      <c r="AE18" s="12">
        <v>75</v>
      </c>
      <c r="AF18" s="12">
        <v>83</v>
      </c>
    </row>
    <row r="19" spans="1:32">
      <c r="A19" s="19"/>
      <c r="B19" s="13" t="s">
        <v>580</v>
      </c>
      <c r="C19" s="14">
        <v>0.06</v>
      </c>
      <c r="D19" s="14">
        <v>0.08</v>
      </c>
      <c r="E19" s="14">
        <v>0.1</v>
      </c>
      <c r="F19" s="14">
        <v>0.11</v>
      </c>
      <c r="G19" s="14">
        <v>0.09</v>
      </c>
      <c r="H19" s="14">
        <v>0.1</v>
      </c>
      <c r="I19" s="14">
        <v>0.1</v>
      </c>
      <c r="J19" s="14">
        <v>0.08</v>
      </c>
      <c r="K19" s="14">
        <v>0.09</v>
      </c>
      <c r="L19" s="14">
        <v>0.04</v>
      </c>
      <c r="M19" s="14">
        <v>0.06</v>
      </c>
      <c r="N19" s="14">
        <v>0.03</v>
      </c>
      <c r="O19" s="14">
        <v>0.05</v>
      </c>
      <c r="P19" s="14">
        <v>7.0000000000000007E-2</v>
      </c>
      <c r="Q19" s="14">
        <v>0.03</v>
      </c>
      <c r="R19" s="14">
        <v>0.05</v>
      </c>
      <c r="S19" s="14">
        <v>7.0000000000000007E-2</v>
      </c>
      <c r="T19" s="14">
        <v>0.08</v>
      </c>
      <c r="U19" s="14">
        <v>0.05</v>
      </c>
      <c r="V19" s="14">
        <v>0.1</v>
      </c>
      <c r="W19" s="14">
        <v>0.05</v>
      </c>
      <c r="X19" s="14">
        <v>7.0000000000000007E-2</v>
      </c>
      <c r="Y19" s="14">
        <v>7.0000000000000007E-2</v>
      </c>
      <c r="Z19" s="14">
        <v>0.05</v>
      </c>
      <c r="AA19" s="14">
        <v>0.04</v>
      </c>
      <c r="AB19" s="14">
        <v>0.06</v>
      </c>
      <c r="AC19" s="14">
        <v>0.09</v>
      </c>
      <c r="AD19" s="14">
        <v>0.06</v>
      </c>
      <c r="AE19" s="14">
        <v>7.0000000000000007E-2</v>
      </c>
      <c r="AF19" s="14">
        <v>0.08</v>
      </c>
    </row>
    <row r="20" spans="1:32">
      <c r="A20" s="19"/>
      <c r="B20" s="11" t="s">
        <v>581</v>
      </c>
      <c r="C20" s="12">
        <v>3341</v>
      </c>
      <c r="D20" s="12">
        <v>130</v>
      </c>
      <c r="E20" s="12">
        <v>151</v>
      </c>
      <c r="F20" s="12">
        <v>223</v>
      </c>
      <c r="G20" s="12">
        <v>153</v>
      </c>
      <c r="H20" s="12">
        <v>212</v>
      </c>
      <c r="I20" s="12">
        <v>268</v>
      </c>
      <c r="J20" s="12">
        <v>56</v>
      </c>
      <c r="K20" s="12">
        <v>143</v>
      </c>
      <c r="L20" s="12">
        <v>102</v>
      </c>
      <c r="M20" s="12">
        <v>103</v>
      </c>
      <c r="N20" s="12">
        <v>93</v>
      </c>
      <c r="O20" s="12">
        <v>130</v>
      </c>
      <c r="P20" s="12">
        <v>126</v>
      </c>
      <c r="Q20" s="12">
        <v>77</v>
      </c>
      <c r="R20" s="12">
        <v>31</v>
      </c>
      <c r="S20" s="12">
        <v>175</v>
      </c>
      <c r="T20" s="12">
        <v>165</v>
      </c>
      <c r="U20" s="12">
        <v>54</v>
      </c>
      <c r="V20" s="12">
        <v>145</v>
      </c>
      <c r="W20" s="12">
        <v>46</v>
      </c>
      <c r="X20" s="12">
        <v>105</v>
      </c>
      <c r="Y20" s="12">
        <v>167</v>
      </c>
      <c r="Z20" s="12">
        <v>117</v>
      </c>
      <c r="AA20" s="12">
        <v>95</v>
      </c>
      <c r="AB20" s="12">
        <v>108</v>
      </c>
      <c r="AC20" s="12">
        <v>138</v>
      </c>
      <c r="AD20" s="12">
        <v>195</v>
      </c>
      <c r="AE20" s="12">
        <v>152</v>
      </c>
      <c r="AF20" s="12">
        <v>142</v>
      </c>
    </row>
    <row r="21" spans="1:32">
      <c r="A21" s="19"/>
      <c r="B21" s="13" t="s">
        <v>581</v>
      </c>
      <c r="C21" s="14">
        <v>0.13</v>
      </c>
      <c r="D21" s="14">
        <v>0.13</v>
      </c>
      <c r="E21" s="14">
        <v>0.14000000000000001</v>
      </c>
      <c r="F21" s="14">
        <v>0.21</v>
      </c>
      <c r="G21" s="14">
        <v>0.15</v>
      </c>
      <c r="H21" s="14">
        <v>0.17</v>
      </c>
      <c r="I21" s="14">
        <v>0.18</v>
      </c>
      <c r="J21" s="14">
        <v>0.19</v>
      </c>
      <c r="K21" s="14">
        <v>0.14000000000000001</v>
      </c>
      <c r="L21" s="14">
        <v>0.1</v>
      </c>
      <c r="M21" s="14">
        <v>0.1</v>
      </c>
      <c r="N21" s="14">
        <v>0.09</v>
      </c>
      <c r="O21" s="14">
        <v>0.13</v>
      </c>
      <c r="P21" s="14">
        <v>0.13</v>
      </c>
      <c r="Q21" s="14">
        <v>7.0000000000000007E-2</v>
      </c>
      <c r="R21" s="14">
        <v>0.06</v>
      </c>
      <c r="S21" s="14">
        <v>0.17</v>
      </c>
      <c r="T21" s="14">
        <v>0.16</v>
      </c>
      <c r="U21" s="14">
        <v>0.11</v>
      </c>
      <c r="V21" s="14">
        <v>0.14000000000000001</v>
      </c>
      <c r="W21" s="14">
        <v>0.09</v>
      </c>
      <c r="X21" s="14">
        <v>0.1</v>
      </c>
      <c r="Y21" s="14">
        <v>0.17</v>
      </c>
      <c r="Z21" s="14">
        <v>0.12</v>
      </c>
      <c r="AA21" s="14">
        <v>0.09</v>
      </c>
      <c r="AB21" s="14">
        <v>0.11</v>
      </c>
      <c r="AC21" s="14">
        <v>0.14000000000000001</v>
      </c>
      <c r="AD21" s="14">
        <v>0.19</v>
      </c>
      <c r="AE21" s="14">
        <v>0.15</v>
      </c>
      <c r="AF21" s="14">
        <v>0.14000000000000001</v>
      </c>
    </row>
    <row r="22" spans="1:32">
      <c r="A22" s="19"/>
      <c r="B22" s="11" t="s">
        <v>582</v>
      </c>
      <c r="C22" s="12">
        <v>3440</v>
      </c>
      <c r="D22" s="12">
        <v>148</v>
      </c>
      <c r="E22" s="12">
        <v>117</v>
      </c>
      <c r="F22" s="12">
        <v>162</v>
      </c>
      <c r="G22" s="12">
        <v>116</v>
      </c>
      <c r="H22" s="12">
        <v>170</v>
      </c>
      <c r="I22" s="12">
        <v>205</v>
      </c>
      <c r="J22" s="12">
        <v>36</v>
      </c>
      <c r="K22" s="12">
        <v>120</v>
      </c>
      <c r="L22" s="12">
        <v>86</v>
      </c>
      <c r="M22" s="12">
        <v>92</v>
      </c>
      <c r="N22" s="12">
        <v>107</v>
      </c>
      <c r="O22" s="12">
        <v>144</v>
      </c>
      <c r="P22" s="12">
        <v>124</v>
      </c>
      <c r="Q22" s="12">
        <v>113</v>
      </c>
      <c r="R22" s="12">
        <v>41</v>
      </c>
      <c r="S22" s="12">
        <v>91</v>
      </c>
      <c r="T22" s="12">
        <v>138</v>
      </c>
      <c r="U22" s="12">
        <v>82</v>
      </c>
      <c r="V22" s="12">
        <v>179</v>
      </c>
      <c r="W22" s="12">
        <v>52</v>
      </c>
      <c r="X22" s="12">
        <v>156</v>
      </c>
      <c r="Y22" s="12">
        <v>137</v>
      </c>
      <c r="Z22" s="12">
        <v>142</v>
      </c>
      <c r="AA22" s="12">
        <v>93</v>
      </c>
      <c r="AB22" s="12">
        <v>168</v>
      </c>
      <c r="AC22" s="12">
        <v>101</v>
      </c>
      <c r="AD22" s="12">
        <v>189</v>
      </c>
      <c r="AE22" s="12">
        <v>132</v>
      </c>
      <c r="AF22" s="12">
        <v>139</v>
      </c>
    </row>
    <row r="23" spans="1:32">
      <c r="A23" s="19"/>
      <c r="B23" s="13" t="s">
        <v>582</v>
      </c>
      <c r="C23" s="14">
        <v>0.13</v>
      </c>
      <c r="D23" s="14">
        <v>0.14000000000000001</v>
      </c>
      <c r="E23" s="14">
        <v>0.11</v>
      </c>
      <c r="F23" s="14">
        <v>0.15</v>
      </c>
      <c r="G23" s="14">
        <v>0.11</v>
      </c>
      <c r="H23" s="14">
        <v>0.14000000000000001</v>
      </c>
      <c r="I23" s="14">
        <v>0.13</v>
      </c>
      <c r="J23" s="14">
        <v>0.12</v>
      </c>
      <c r="K23" s="14">
        <v>0.12</v>
      </c>
      <c r="L23" s="14">
        <v>0.09</v>
      </c>
      <c r="M23" s="14">
        <v>0.09</v>
      </c>
      <c r="N23" s="14">
        <v>0.11</v>
      </c>
      <c r="O23" s="14">
        <v>0.14000000000000001</v>
      </c>
      <c r="P23" s="14">
        <v>0.12</v>
      </c>
      <c r="Q23" s="14">
        <v>0.11</v>
      </c>
      <c r="R23" s="14">
        <v>0.08</v>
      </c>
      <c r="S23" s="14">
        <v>0.09</v>
      </c>
      <c r="T23" s="14">
        <v>0.13</v>
      </c>
      <c r="U23" s="14">
        <v>0.16</v>
      </c>
      <c r="V23" s="14">
        <v>0.17</v>
      </c>
      <c r="W23" s="14">
        <v>0.1</v>
      </c>
      <c r="X23" s="14">
        <v>0.15</v>
      </c>
      <c r="Y23" s="14">
        <v>0.14000000000000001</v>
      </c>
      <c r="Z23" s="14">
        <v>0.14000000000000001</v>
      </c>
      <c r="AA23" s="14">
        <v>0.09</v>
      </c>
      <c r="AB23" s="14">
        <v>0.16</v>
      </c>
      <c r="AC23" s="14">
        <v>0.1</v>
      </c>
      <c r="AD23" s="14">
        <v>0.19</v>
      </c>
      <c r="AE23" s="14">
        <v>0.13</v>
      </c>
      <c r="AF23" s="14">
        <v>0.13</v>
      </c>
    </row>
    <row r="24" spans="1:32">
      <c r="A24" s="19"/>
      <c r="B24" s="11" t="s">
        <v>583</v>
      </c>
      <c r="C24" s="12">
        <v>4540</v>
      </c>
      <c r="D24" s="12">
        <v>200</v>
      </c>
      <c r="E24" s="12">
        <v>133</v>
      </c>
      <c r="F24" s="12">
        <v>115</v>
      </c>
      <c r="G24" s="12">
        <v>138</v>
      </c>
      <c r="H24" s="12">
        <v>153</v>
      </c>
      <c r="I24" s="12">
        <v>201</v>
      </c>
      <c r="J24" s="12">
        <v>48</v>
      </c>
      <c r="K24" s="12">
        <v>107</v>
      </c>
      <c r="L24" s="12">
        <v>185</v>
      </c>
      <c r="M24" s="12">
        <v>184</v>
      </c>
      <c r="N24" s="12">
        <v>170</v>
      </c>
      <c r="O24" s="12">
        <v>181</v>
      </c>
      <c r="P24" s="12">
        <v>156</v>
      </c>
      <c r="Q24" s="12">
        <v>212</v>
      </c>
      <c r="R24" s="12">
        <v>100</v>
      </c>
      <c r="S24" s="12">
        <v>117</v>
      </c>
      <c r="T24" s="12">
        <v>150</v>
      </c>
      <c r="U24" s="12">
        <v>86</v>
      </c>
      <c r="V24" s="12">
        <v>187</v>
      </c>
      <c r="W24" s="12">
        <v>80</v>
      </c>
      <c r="X24" s="12">
        <v>203</v>
      </c>
      <c r="Y24" s="12">
        <v>145</v>
      </c>
      <c r="Z24" s="12">
        <v>218</v>
      </c>
      <c r="AA24" s="12">
        <v>148</v>
      </c>
      <c r="AB24" s="12">
        <v>203</v>
      </c>
      <c r="AC24" s="12">
        <v>111</v>
      </c>
      <c r="AD24" s="12">
        <v>158</v>
      </c>
      <c r="AE24" s="12">
        <v>167</v>
      </c>
      <c r="AF24" s="12">
        <v>184</v>
      </c>
    </row>
    <row r="25" spans="1:32">
      <c r="A25" s="19"/>
      <c r="B25" s="13" t="s">
        <v>583</v>
      </c>
      <c r="C25" s="14">
        <v>0.17</v>
      </c>
      <c r="D25" s="14">
        <v>0.2</v>
      </c>
      <c r="E25" s="14">
        <v>0.13</v>
      </c>
      <c r="F25" s="14">
        <v>0.11</v>
      </c>
      <c r="G25" s="14">
        <v>0.14000000000000001</v>
      </c>
      <c r="H25" s="14">
        <v>0.13</v>
      </c>
      <c r="I25" s="14">
        <v>0.13</v>
      </c>
      <c r="J25" s="14">
        <v>0.16</v>
      </c>
      <c r="K25" s="14">
        <v>0.11</v>
      </c>
      <c r="L25" s="14">
        <v>0.18</v>
      </c>
      <c r="M25" s="14">
        <v>0.18</v>
      </c>
      <c r="N25" s="14">
        <v>0.17</v>
      </c>
      <c r="O25" s="14">
        <v>0.18</v>
      </c>
      <c r="P25" s="14">
        <v>0.16</v>
      </c>
      <c r="Q25" s="14">
        <v>0.21</v>
      </c>
      <c r="R25" s="14">
        <v>0.2</v>
      </c>
      <c r="S25" s="14">
        <v>0.12</v>
      </c>
      <c r="T25" s="14">
        <v>0.15</v>
      </c>
      <c r="U25" s="14">
        <v>0.17</v>
      </c>
      <c r="V25" s="14">
        <v>0.18</v>
      </c>
      <c r="W25" s="14">
        <v>0.16</v>
      </c>
      <c r="X25" s="14">
        <v>0.2</v>
      </c>
      <c r="Y25" s="14">
        <v>0.15</v>
      </c>
      <c r="Z25" s="14">
        <v>0.21</v>
      </c>
      <c r="AA25" s="14">
        <v>0.14000000000000001</v>
      </c>
      <c r="AB25" s="14">
        <v>0.2</v>
      </c>
      <c r="AC25" s="14">
        <v>0.11</v>
      </c>
      <c r="AD25" s="14">
        <v>0.16</v>
      </c>
      <c r="AE25" s="14">
        <v>0.17</v>
      </c>
      <c r="AF25" s="14">
        <v>0.18</v>
      </c>
    </row>
    <row r="26" spans="1:32">
      <c r="A26" s="19"/>
      <c r="B26" s="11" t="s">
        <v>584</v>
      </c>
      <c r="C26" s="12">
        <v>4920</v>
      </c>
      <c r="D26" s="12">
        <v>213</v>
      </c>
      <c r="E26" s="12">
        <v>127</v>
      </c>
      <c r="F26" s="12">
        <v>80</v>
      </c>
      <c r="G26" s="12">
        <v>141</v>
      </c>
      <c r="H26" s="12">
        <v>159</v>
      </c>
      <c r="I26" s="12">
        <v>210</v>
      </c>
      <c r="J26" s="12">
        <v>51</v>
      </c>
      <c r="K26" s="12">
        <v>109</v>
      </c>
      <c r="L26" s="12">
        <v>221</v>
      </c>
      <c r="M26" s="12">
        <v>200</v>
      </c>
      <c r="N26" s="12">
        <v>220</v>
      </c>
      <c r="O26" s="12">
        <v>177</v>
      </c>
      <c r="P26" s="12">
        <v>166</v>
      </c>
      <c r="Q26" s="12">
        <v>287</v>
      </c>
      <c r="R26" s="12">
        <v>104</v>
      </c>
      <c r="S26" s="12">
        <v>126</v>
      </c>
      <c r="T26" s="12">
        <v>82</v>
      </c>
      <c r="U26" s="12">
        <v>81</v>
      </c>
      <c r="V26" s="12">
        <v>131</v>
      </c>
      <c r="W26" s="12">
        <v>109</v>
      </c>
      <c r="X26" s="12">
        <v>230</v>
      </c>
      <c r="Y26" s="12">
        <v>135</v>
      </c>
      <c r="Z26" s="12">
        <v>216</v>
      </c>
      <c r="AA26" s="12">
        <v>172</v>
      </c>
      <c r="AB26" s="12">
        <v>197</v>
      </c>
      <c r="AC26" s="12">
        <v>123</v>
      </c>
      <c r="AD26" s="12">
        <v>129</v>
      </c>
      <c r="AE26" s="12">
        <v>149</v>
      </c>
      <c r="AF26" s="12">
        <v>144</v>
      </c>
    </row>
    <row r="27" spans="1:32">
      <c r="A27" s="19"/>
      <c r="B27" s="13" t="s">
        <v>584</v>
      </c>
      <c r="C27" s="14">
        <v>0.19</v>
      </c>
      <c r="D27" s="14">
        <v>0.21</v>
      </c>
      <c r="E27" s="14">
        <v>0.12</v>
      </c>
      <c r="F27" s="14">
        <v>0.08</v>
      </c>
      <c r="G27" s="14">
        <v>0.14000000000000001</v>
      </c>
      <c r="H27" s="14">
        <v>0.13</v>
      </c>
      <c r="I27" s="14">
        <v>0.14000000000000001</v>
      </c>
      <c r="J27" s="14">
        <v>0.17</v>
      </c>
      <c r="K27" s="14">
        <v>0.11</v>
      </c>
      <c r="L27" s="14">
        <v>0.22</v>
      </c>
      <c r="M27" s="14">
        <v>0.2</v>
      </c>
      <c r="N27" s="14">
        <v>0.22</v>
      </c>
      <c r="O27" s="14">
        <v>0.18</v>
      </c>
      <c r="P27" s="14">
        <v>0.17</v>
      </c>
      <c r="Q27" s="14">
        <v>0.28000000000000003</v>
      </c>
      <c r="R27" s="14">
        <v>0.21</v>
      </c>
      <c r="S27" s="14">
        <v>0.13</v>
      </c>
      <c r="T27" s="14">
        <v>0.08</v>
      </c>
      <c r="U27" s="14">
        <v>0.16</v>
      </c>
      <c r="V27" s="14">
        <v>0.13</v>
      </c>
      <c r="W27" s="14">
        <v>0.22</v>
      </c>
      <c r="X27" s="14">
        <v>0.23</v>
      </c>
      <c r="Y27" s="14">
        <v>0.13</v>
      </c>
      <c r="Z27" s="14">
        <v>0.21</v>
      </c>
      <c r="AA27" s="14">
        <v>0.17</v>
      </c>
      <c r="AB27" s="14">
        <v>0.19</v>
      </c>
      <c r="AC27" s="14">
        <v>0.12</v>
      </c>
      <c r="AD27" s="14">
        <v>0.13</v>
      </c>
      <c r="AE27" s="14">
        <v>0.15</v>
      </c>
      <c r="AF27" s="14">
        <v>0.14000000000000001</v>
      </c>
    </row>
    <row r="28" spans="1:32">
      <c r="A28" s="19"/>
      <c r="B28" s="11" t="s">
        <v>585</v>
      </c>
      <c r="C28" s="12">
        <v>2164</v>
      </c>
      <c r="D28" s="12">
        <v>83</v>
      </c>
      <c r="E28" s="12">
        <v>52</v>
      </c>
      <c r="F28" s="12">
        <v>38</v>
      </c>
      <c r="G28" s="12">
        <v>73</v>
      </c>
      <c r="H28" s="12">
        <v>63</v>
      </c>
      <c r="I28" s="12">
        <v>74</v>
      </c>
      <c r="J28" s="12">
        <v>11</v>
      </c>
      <c r="K28" s="12">
        <v>57</v>
      </c>
      <c r="L28" s="12">
        <v>94</v>
      </c>
      <c r="M28" s="12">
        <v>113</v>
      </c>
      <c r="N28" s="12">
        <v>137</v>
      </c>
      <c r="O28" s="12">
        <v>67</v>
      </c>
      <c r="P28" s="12">
        <v>86</v>
      </c>
      <c r="Q28" s="12">
        <v>109</v>
      </c>
      <c r="R28" s="12">
        <v>57</v>
      </c>
      <c r="S28" s="12">
        <v>75</v>
      </c>
      <c r="T28" s="12">
        <v>55</v>
      </c>
      <c r="U28" s="12">
        <v>49</v>
      </c>
      <c r="V28" s="12">
        <v>56</v>
      </c>
      <c r="W28" s="12">
        <v>61</v>
      </c>
      <c r="X28" s="12">
        <v>95</v>
      </c>
      <c r="Y28" s="12">
        <v>83</v>
      </c>
      <c r="Z28" s="12">
        <v>95</v>
      </c>
      <c r="AA28" s="12">
        <v>105</v>
      </c>
      <c r="AB28" s="12">
        <v>83</v>
      </c>
      <c r="AC28" s="12">
        <v>65</v>
      </c>
      <c r="AD28" s="12">
        <v>46</v>
      </c>
      <c r="AE28" s="12">
        <v>81</v>
      </c>
      <c r="AF28" s="12">
        <v>66</v>
      </c>
    </row>
    <row r="29" spans="1:32">
      <c r="A29" s="19"/>
      <c r="B29" s="13" t="s">
        <v>585</v>
      </c>
      <c r="C29" s="14">
        <v>0.08</v>
      </c>
      <c r="D29" s="14">
        <v>0.08</v>
      </c>
      <c r="E29" s="14">
        <v>0.05</v>
      </c>
      <c r="F29" s="14">
        <v>0.04</v>
      </c>
      <c r="G29" s="14">
        <v>7.0000000000000007E-2</v>
      </c>
      <c r="H29" s="14">
        <v>0.05</v>
      </c>
      <c r="I29" s="14">
        <v>0.05</v>
      </c>
      <c r="J29" s="14">
        <v>0.04</v>
      </c>
      <c r="K29" s="14">
        <v>0.06</v>
      </c>
      <c r="L29" s="14">
        <v>0.09</v>
      </c>
      <c r="M29" s="14">
        <v>0.11</v>
      </c>
      <c r="N29" s="14">
        <v>0.13</v>
      </c>
      <c r="O29" s="14">
        <v>7.0000000000000007E-2</v>
      </c>
      <c r="P29" s="14">
        <v>0.09</v>
      </c>
      <c r="Q29" s="14">
        <v>0.11</v>
      </c>
      <c r="R29" s="14">
        <v>0.11</v>
      </c>
      <c r="S29" s="14">
        <v>7.0000000000000007E-2</v>
      </c>
      <c r="T29" s="14">
        <v>0.05</v>
      </c>
      <c r="U29" s="14">
        <v>0.1</v>
      </c>
      <c r="V29" s="14">
        <v>0.06</v>
      </c>
      <c r="W29" s="14">
        <v>0.12</v>
      </c>
      <c r="X29" s="14">
        <v>0.1</v>
      </c>
      <c r="Y29" s="14">
        <v>0.08</v>
      </c>
      <c r="Z29" s="14">
        <v>0.09</v>
      </c>
      <c r="AA29" s="14">
        <v>0.1</v>
      </c>
      <c r="AB29" s="14">
        <v>0.08</v>
      </c>
      <c r="AC29" s="14">
        <v>0.06</v>
      </c>
      <c r="AD29" s="14">
        <v>0.04</v>
      </c>
      <c r="AE29" s="14">
        <v>0.08</v>
      </c>
      <c r="AF29" s="14">
        <v>0.06</v>
      </c>
    </row>
    <row r="30" spans="1:32">
      <c r="A30" s="19"/>
      <c r="B30" s="11" t="s">
        <v>586</v>
      </c>
      <c r="C30" s="12">
        <v>2844</v>
      </c>
      <c r="D30" s="12">
        <v>76</v>
      </c>
      <c r="E30" s="12">
        <v>111</v>
      </c>
      <c r="F30" s="12">
        <v>79</v>
      </c>
      <c r="G30" s="12">
        <v>86</v>
      </c>
      <c r="H30" s="12">
        <v>93</v>
      </c>
      <c r="I30" s="12">
        <v>114</v>
      </c>
      <c r="J30" s="12">
        <v>21</v>
      </c>
      <c r="K30" s="12">
        <v>86</v>
      </c>
      <c r="L30" s="12">
        <v>167</v>
      </c>
      <c r="M30" s="12">
        <v>129</v>
      </c>
      <c r="N30" s="12">
        <v>173</v>
      </c>
      <c r="O30" s="12">
        <v>120</v>
      </c>
      <c r="P30" s="12">
        <v>138</v>
      </c>
      <c r="Q30" s="12">
        <v>129</v>
      </c>
      <c r="R30" s="12">
        <v>97</v>
      </c>
      <c r="S30" s="12">
        <v>107</v>
      </c>
      <c r="T30" s="12">
        <v>94</v>
      </c>
      <c r="U30" s="12">
        <v>86</v>
      </c>
      <c r="V30" s="12">
        <v>80</v>
      </c>
      <c r="W30" s="12">
        <v>84</v>
      </c>
      <c r="X30" s="12">
        <v>85</v>
      </c>
      <c r="Y30" s="12">
        <v>95</v>
      </c>
      <c r="Z30" s="12">
        <v>109</v>
      </c>
      <c r="AA30" s="12">
        <v>127</v>
      </c>
      <c r="AB30" s="12">
        <v>76</v>
      </c>
      <c r="AC30" s="12">
        <v>157</v>
      </c>
      <c r="AD30" s="12">
        <v>50</v>
      </c>
      <c r="AE30" s="12">
        <v>56</v>
      </c>
      <c r="AF30" s="12">
        <v>86</v>
      </c>
    </row>
    <row r="31" spans="1:32">
      <c r="A31" s="19"/>
      <c r="B31" s="13" t="s">
        <v>587</v>
      </c>
      <c r="C31" s="14">
        <v>0.11</v>
      </c>
      <c r="D31" s="14">
        <v>7.0000000000000007E-2</v>
      </c>
      <c r="E31" s="14">
        <v>0.11</v>
      </c>
      <c r="F31" s="14">
        <v>7.0000000000000007E-2</v>
      </c>
      <c r="G31" s="14">
        <v>0.08</v>
      </c>
      <c r="H31" s="14">
        <v>0.08</v>
      </c>
      <c r="I31" s="14">
        <v>7.0000000000000007E-2</v>
      </c>
      <c r="J31" s="14">
        <v>7.0000000000000007E-2</v>
      </c>
      <c r="K31" s="14">
        <v>0.08</v>
      </c>
      <c r="L31" s="14">
        <v>0.17</v>
      </c>
      <c r="M31" s="14">
        <v>0.13</v>
      </c>
      <c r="N31" s="14">
        <v>0.17</v>
      </c>
      <c r="O31" s="14">
        <v>0.12</v>
      </c>
      <c r="P31" s="14">
        <v>0.14000000000000001</v>
      </c>
      <c r="Q31" s="14">
        <v>0.12</v>
      </c>
      <c r="R31" s="14">
        <v>0.19</v>
      </c>
      <c r="S31" s="14">
        <v>0.11</v>
      </c>
      <c r="T31" s="14">
        <v>0.09</v>
      </c>
      <c r="U31" s="14">
        <v>0.17</v>
      </c>
      <c r="V31" s="14">
        <v>0.08</v>
      </c>
      <c r="W31" s="14">
        <v>0.17</v>
      </c>
      <c r="X31" s="14">
        <v>0.08</v>
      </c>
      <c r="Y31" s="14">
        <v>0.09</v>
      </c>
      <c r="Z31" s="14">
        <v>0.11</v>
      </c>
      <c r="AA31" s="14">
        <v>0.12</v>
      </c>
      <c r="AB31" s="14">
        <v>7.0000000000000007E-2</v>
      </c>
      <c r="AC31" s="14">
        <v>0.16</v>
      </c>
      <c r="AD31" s="14">
        <v>0.05</v>
      </c>
      <c r="AE31" s="14">
        <v>0.05</v>
      </c>
      <c r="AF31" s="14">
        <v>0.08</v>
      </c>
    </row>
    <row r="32" spans="1:32">
      <c r="A32" s="19"/>
      <c r="B32" s="11" t="s">
        <v>386</v>
      </c>
      <c r="C32" s="12">
        <v>856</v>
      </c>
      <c r="D32" s="12">
        <v>4</v>
      </c>
      <c r="E32" s="12">
        <v>59</v>
      </c>
      <c r="F32" s="12">
        <v>25</v>
      </c>
      <c r="G32" s="12">
        <v>25</v>
      </c>
      <c r="H32" s="12">
        <v>41</v>
      </c>
      <c r="I32" s="12">
        <v>56</v>
      </c>
      <c r="J32" s="12">
        <v>15</v>
      </c>
      <c r="K32" s="12">
        <v>47</v>
      </c>
      <c r="L32" s="12">
        <v>20</v>
      </c>
      <c r="M32" s="12">
        <v>56</v>
      </c>
      <c r="N32" s="12">
        <v>39</v>
      </c>
      <c r="O32" s="12">
        <v>38</v>
      </c>
      <c r="P32" s="12">
        <v>25</v>
      </c>
      <c r="Q32" s="12">
        <v>12</v>
      </c>
      <c r="R32" s="12">
        <v>14</v>
      </c>
      <c r="S32" s="12">
        <v>51</v>
      </c>
      <c r="T32" s="12">
        <v>86</v>
      </c>
      <c r="U32" s="12">
        <v>11</v>
      </c>
      <c r="V32" s="12">
        <v>27</v>
      </c>
      <c r="W32" s="12">
        <v>16</v>
      </c>
      <c r="X32" s="12">
        <v>9</v>
      </c>
      <c r="Y32" s="12">
        <v>49</v>
      </c>
      <c r="Z32" s="12">
        <v>28</v>
      </c>
      <c r="AA32" s="12">
        <v>100</v>
      </c>
      <c r="AB32" s="12">
        <v>44</v>
      </c>
      <c r="AC32" s="12">
        <v>25</v>
      </c>
      <c r="AD32" s="12">
        <v>29</v>
      </c>
      <c r="AE32" s="12">
        <v>36</v>
      </c>
      <c r="AF32" s="12">
        <v>8</v>
      </c>
    </row>
    <row r="33" spans="1:32">
      <c r="A33" s="19"/>
      <c r="B33" s="13" t="s">
        <v>399</v>
      </c>
      <c r="C33" s="14">
        <v>0.03</v>
      </c>
      <c r="D33" s="15" t="s">
        <v>375</v>
      </c>
      <c r="E33" s="14">
        <v>0.06</v>
      </c>
      <c r="F33" s="14">
        <v>0.02</v>
      </c>
      <c r="G33" s="14">
        <v>0.03</v>
      </c>
      <c r="H33" s="14">
        <v>0.03</v>
      </c>
      <c r="I33" s="14">
        <v>0.04</v>
      </c>
      <c r="J33" s="14">
        <v>0.05</v>
      </c>
      <c r="K33" s="14">
        <v>0.05</v>
      </c>
      <c r="L33" s="14">
        <v>0.02</v>
      </c>
      <c r="M33" s="14">
        <v>0.06</v>
      </c>
      <c r="N33" s="14">
        <v>0.04</v>
      </c>
      <c r="O33" s="14">
        <v>0.04</v>
      </c>
      <c r="P33" s="14">
        <v>0.02</v>
      </c>
      <c r="Q33" s="14">
        <v>0.01</v>
      </c>
      <c r="R33" s="14">
        <v>0.03</v>
      </c>
      <c r="S33" s="14">
        <v>0.05</v>
      </c>
      <c r="T33" s="14">
        <v>0.08</v>
      </c>
      <c r="U33" s="14">
        <v>0.02</v>
      </c>
      <c r="V33" s="14">
        <v>0.03</v>
      </c>
      <c r="W33" s="14">
        <v>0.03</v>
      </c>
      <c r="X33" s="14">
        <v>0.01</v>
      </c>
      <c r="Y33" s="14">
        <v>0.05</v>
      </c>
      <c r="Z33" s="14">
        <v>0.03</v>
      </c>
      <c r="AA33" s="14">
        <v>0.1</v>
      </c>
      <c r="AB33" s="14">
        <v>0.04</v>
      </c>
      <c r="AC33" s="14">
        <v>0.03</v>
      </c>
      <c r="AD33" s="14">
        <v>0.03</v>
      </c>
      <c r="AE33" s="14">
        <v>0.04</v>
      </c>
      <c r="AF33" s="14">
        <v>0.01</v>
      </c>
    </row>
    <row r="34" spans="1:32">
      <c r="A34" s="19"/>
      <c r="B34" s="11" t="s">
        <v>588</v>
      </c>
      <c r="C34" s="12">
        <v>4349</v>
      </c>
      <c r="D34" s="12">
        <v>165</v>
      </c>
      <c r="E34" s="12">
        <v>296</v>
      </c>
      <c r="F34" s="12">
        <v>342</v>
      </c>
      <c r="G34" s="12">
        <v>285</v>
      </c>
      <c r="H34" s="12">
        <v>339</v>
      </c>
      <c r="I34" s="12">
        <v>399</v>
      </c>
      <c r="J34" s="12">
        <v>60</v>
      </c>
      <c r="K34" s="12">
        <v>336</v>
      </c>
      <c r="L34" s="12">
        <v>133</v>
      </c>
      <c r="M34" s="12">
        <v>131</v>
      </c>
      <c r="N34" s="12">
        <v>71</v>
      </c>
      <c r="O34" s="12">
        <v>146</v>
      </c>
      <c r="P34" s="12">
        <v>184</v>
      </c>
      <c r="Q34" s="12">
        <v>92</v>
      </c>
      <c r="R34" s="12">
        <v>56</v>
      </c>
      <c r="S34" s="12">
        <v>261</v>
      </c>
      <c r="T34" s="12">
        <v>252</v>
      </c>
      <c r="U34" s="12">
        <v>60</v>
      </c>
      <c r="V34" s="12">
        <v>221</v>
      </c>
      <c r="W34" s="12">
        <v>53</v>
      </c>
      <c r="X34" s="12">
        <v>127</v>
      </c>
      <c r="Y34" s="12">
        <v>192</v>
      </c>
      <c r="Z34" s="12">
        <v>90</v>
      </c>
      <c r="AA34" s="12">
        <v>197</v>
      </c>
      <c r="AB34" s="12">
        <v>163</v>
      </c>
      <c r="AC34" s="12">
        <v>286</v>
      </c>
      <c r="AD34" s="12">
        <v>207</v>
      </c>
      <c r="AE34" s="12">
        <v>228</v>
      </c>
      <c r="AF34" s="12">
        <v>263</v>
      </c>
    </row>
    <row r="35" spans="1:32">
      <c r="A35" s="19"/>
      <c r="B35" s="13" t="s">
        <v>589</v>
      </c>
      <c r="C35" s="14">
        <v>0.16</v>
      </c>
      <c r="D35" s="14">
        <v>0.17</v>
      </c>
      <c r="E35" s="14">
        <v>0.28000000000000003</v>
      </c>
      <c r="F35" s="14">
        <v>0.32</v>
      </c>
      <c r="G35" s="14">
        <v>0.28000000000000003</v>
      </c>
      <c r="H35" s="14">
        <v>0.27</v>
      </c>
      <c r="I35" s="14">
        <v>0.26</v>
      </c>
      <c r="J35" s="14">
        <v>0.2</v>
      </c>
      <c r="K35" s="14">
        <v>0.33</v>
      </c>
      <c r="L35" s="14">
        <v>0.13</v>
      </c>
      <c r="M35" s="14">
        <v>0.13</v>
      </c>
      <c r="N35" s="14">
        <v>7.0000000000000007E-2</v>
      </c>
      <c r="O35" s="14">
        <v>0.14000000000000001</v>
      </c>
      <c r="P35" s="14">
        <v>0.17</v>
      </c>
      <c r="Q35" s="14">
        <v>0.09</v>
      </c>
      <c r="R35" s="14">
        <v>0.12</v>
      </c>
      <c r="S35" s="14">
        <v>0.26</v>
      </c>
      <c r="T35" s="14">
        <v>0.26</v>
      </c>
      <c r="U35" s="14">
        <v>0.11</v>
      </c>
      <c r="V35" s="14">
        <v>0.21</v>
      </c>
      <c r="W35" s="14">
        <v>0.11</v>
      </c>
      <c r="X35" s="14">
        <v>0.13</v>
      </c>
      <c r="Y35" s="14">
        <v>0.19</v>
      </c>
      <c r="Z35" s="14">
        <v>0.09</v>
      </c>
      <c r="AA35" s="14">
        <v>0.19</v>
      </c>
      <c r="AB35" s="14">
        <v>0.15</v>
      </c>
      <c r="AC35" s="14">
        <v>0.28000000000000003</v>
      </c>
      <c r="AD35" s="14">
        <v>0.21</v>
      </c>
      <c r="AE35" s="14">
        <v>0.23</v>
      </c>
      <c r="AF35" s="14">
        <v>0.26</v>
      </c>
    </row>
    <row r="36" spans="1:32">
      <c r="A36" s="19"/>
      <c r="B36" s="11" t="s">
        <v>590</v>
      </c>
      <c r="C36" s="12">
        <v>6781</v>
      </c>
      <c r="D36" s="12">
        <v>278</v>
      </c>
      <c r="E36" s="12">
        <v>268</v>
      </c>
      <c r="F36" s="12">
        <v>385</v>
      </c>
      <c r="G36" s="12">
        <v>269</v>
      </c>
      <c r="H36" s="12">
        <v>382</v>
      </c>
      <c r="I36" s="12">
        <v>473</v>
      </c>
      <c r="J36" s="12">
        <v>92</v>
      </c>
      <c r="K36" s="12">
        <v>263</v>
      </c>
      <c r="L36" s="12">
        <v>188</v>
      </c>
      <c r="M36" s="12">
        <v>195</v>
      </c>
      <c r="N36" s="12">
        <v>200</v>
      </c>
      <c r="O36" s="12">
        <v>274</v>
      </c>
      <c r="P36" s="12">
        <v>250</v>
      </c>
      <c r="Q36" s="12">
        <v>190</v>
      </c>
      <c r="R36" s="12">
        <v>72</v>
      </c>
      <c r="S36" s="12">
        <v>266</v>
      </c>
      <c r="T36" s="12">
        <v>303</v>
      </c>
      <c r="U36" s="12">
        <v>136</v>
      </c>
      <c r="V36" s="12">
        <v>324</v>
      </c>
      <c r="W36" s="12">
        <v>98</v>
      </c>
      <c r="X36" s="12">
        <v>261</v>
      </c>
      <c r="Y36" s="12">
        <v>304</v>
      </c>
      <c r="Z36" s="12">
        <v>259</v>
      </c>
      <c r="AA36" s="12">
        <v>188</v>
      </c>
      <c r="AB36" s="12">
        <v>276</v>
      </c>
      <c r="AC36" s="12">
        <v>239</v>
      </c>
      <c r="AD36" s="12">
        <v>384</v>
      </c>
      <c r="AE36" s="12">
        <v>284</v>
      </c>
      <c r="AF36" s="12">
        <v>281</v>
      </c>
    </row>
    <row r="37" spans="1:32">
      <c r="A37" s="19"/>
      <c r="B37" s="13" t="s">
        <v>591</v>
      </c>
      <c r="C37" s="14">
        <v>0.26</v>
      </c>
      <c r="D37" s="14">
        <v>0.27</v>
      </c>
      <c r="E37" s="14">
        <v>0.25</v>
      </c>
      <c r="F37" s="14">
        <v>0.36</v>
      </c>
      <c r="G37" s="14">
        <v>0.26</v>
      </c>
      <c r="H37" s="14">
        <v>0.31</v>
      </c>
      <c r="I37" s="14">
        <v>0.31</v>
      </c>
      <c r="J37" s="14">
        <v>0.31</v>
      </c>
      <c r="K37" s="14">
        <v>0.26</v>
      </c>
      <c r="L37" s="14">
        <v>0.19</v>
      </c>
      <c r="M37" s="14">
        <v>0.19</v>
      </c>
      <c r="N37" s="14">
        <v>0.2</v>
      </c>
      <c r="O37" s="14">
        <v>0.27</v>
      </c>
      <c r="P37" s="14">
        <v>0.25</v>
      </c>
      <c r="Q37" s="14">
        <v>0.18</v>
      </c>
      <c r="R37" s="14">
        <v>0.14000000000000001</v>
      </c>
      <c r="S37" s="14">
        <v>0.26</v>
      </c>
      <c r="T37" s="14">
        <v>0.28999999999999998</v>
      </c>
      <c r="U37" s="14">
        <v>0.27</v>
      </c>
      <c r="V37" s="14">
        <v>0.31</v>
      </c>
      <c r="W37" s="14">
        <v>0.19</v>
      </c>
      <c r="X37" s="14">
        <v>0.25</v>
      </c>
      <c r="Y37" s="14">
        <v>0.31</v>
      </c>
      <c r="Z37" s="14">
        <v>0.26</v>
      </c>
      <c r="AA37" s="14">
        <v>0.18</v>
      </c>
      <c r="AB37" s="14">
        <v>0.27</v>
      </c>
      <c r="AC37" s="14">
        <v>0.24</v>
      </c>
      <c r="AD37" s="14">
        <v>0.38</v>
      </c>
      <c r="AE37" s="14">
        <v>0.28000000000000003</v>
      </c>
      <c r="AF37" s="14">
        <v>0.27</v>
      </c>
    </row>
    <row r="38" spans="1:32">
      <c r="A38" s="19"/>
      <c r="B38" s="11" t="s">
        <v>592</v>
      </c>
      <c r="C38" s="12">
        <v>14468</v>
      </c>
      <c r="D38" s="12">
        <v>572</v>
      </c>
      <c r="E38" s="12">
        <v>423</v>
      </c>
      <c r="F38" s="12">
        <v>312</v>
      </c>
      <c r="G38" s="12">
        <v>438</v>
      </c>
      <c r="H38" s="12">
        <v>468</v>
      </c>
      <c r="I38" s="12">
        <v>599</v>
      </c>
      <c r="J38" s="12">
        <v>131</v>
      </c>
      <c r="K38" s="12">
        <v>359</v>
      </c>
      <c r="L38" s="12">
        <v>667</v>
      </c>
      <c r="M38" s="12">
        <v>626</v>
      </c>
      <c r="N38" s="12">
        <v>700</v>
      </c>
      <c r="O38" s="12">
        <v>545</v>
      </c>
      <c r="P38" s="12">
        <v>546</v>
      </c>
      <c r="Q38" s="12">
        <v>737</v>
      </c>
      <c r="R38" s="12">
        <v>358</v>
      </c>
      <c r="S38" s="12">
        <v>425</v>
      </c>
      <c r="T38" s="12">
        <v>381</v>
      </c>
      <c r="U38" s="12">
        <v>302</v>
      </c>
      <c r="V38" s="12">
        <v>454</v>
      </c>
      <c r="W38" s="12">
        <v>334</v>
      </c>
      <c r="X38" s="12">
        <v>613</v>
      </c>
      <c r="Y38" s="12">
        <v>458</v>
      </c>
      <c r="Z38" s="12">
        <v>638</v>
      </c>
      <c r="AA38" s="12">
        <v>552</v>
      </c>
      <c r="AB38" s="12">
        <v>559</v>
      </c>
      <c r="AC38" s="12">
        <v>456</v>
      </c>
      <c r="AD38" s="12">
        <v>383</v>
      </c>
      <c r="AE38" s="12">
        <v>453</v>
      </c>
      <c r="AF38" s="12">
        <v>480</v>
      </c>
    </row>
    <row r="39" spans="1:32">
      <c r="A39" s="19"/>
      <c r="B39" s="13" t="s">
        <v>593</v>
      </c>
      <c r="C39" s="14">
        <v>0.55000000000000004</v>
      </c>
      <c r="D39" s="14">
        <v>0.56000000000000005</v>
      </c>
      <c r="E39" s="14">
        <v>0.41</v>
      </c>
      <c r="F39" s="14">
        <v>0.3</v>
      </c>
      <c r="G39" s="14">
        <v>0.43</v>
      </c>
      <c r="H39" s="14">
        <v>0.39</v>
      </c>
      <c r="I39" s="14">
        <v>0.39</v>
      </c>
      <c r="J39" s="14">
        <v>0.44</v>
      </c>
      <c r="K39" s="14">
        <v>0.36</v>
      </c>
      <c r="L39" s="14">
        <v>0.66</v>
      </c>
      <c r="M39" s="14">
        <v>0.62</v>
      </c>
      <c r="N39" s="14">
        <v>0.69000000000000006</v>
      </c>
      <c r="O39" s="14">
        <v>0.55000000000000004</v>
      </c>
      <c r="P39" s="14">
        <v>0.56000000000000005</v>
      </c>
      <c r="Q39" s="14">
        <v>0.72</v>
      </c>
      <c r="R39" s="14">
        <v>0.71</v>
      </c>
      <c r="S39" s="14">
        <v>0.43</v>
      </c>
      <c r="T39" s="14">
        <v>0.37</v>
      </c>
      <c r="U39" s="14">
        <v>0.6</v>
      </c>
      <c r="V39" s="14">
        <v>0.45</v>
      </c>
      <c r="W39" s="14">
        <v>0.67</v>
      </c>
      <c r="X39" s="14">
        <v>0.61</v>
      </c>
      <c r="Y39" s="14">
        <v>0.45</v>
      </c>
      <c r="Z39" s="14">
        <v>0.62</v>
      </c>
      <c r="AA39" s="14">
        <v>0.53</v>
      </c>
      <c r="AB39" s="14">
        <v>0.54</v>
      </c>
      <c r="AC39" s="14">
        <v>0.45</v>
      </c>
      <c r="AD39" s="14">
        <v>0.38</v>
      </c>
      <c r="AE39" s="14">
        <v>0.45</v>
      </c>
      <c r="AF39" s="14">
        <v>0.46</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630</v>
      </c>
      <c r="C3" s="17"/>
      <c r="D3" s="17"/>
      <c r="E3" s="17"/>
      <c r="F3" s="17"/>
      <c r="H3" s="17" t="s">
        <v>631</v>
      </c>
      <c r="I3" s="17"/>
      <c r="J3" s="17"/>
      <c r="K3" s="17"/>
      <c r="L3" s="17"/>
    </row>
    <row r="4" spans="1:32" ht="27" customHeight="1">
      <c r="B4" s="17" t="s">
        <v>632</v>
      </c>
      <c r="C4" s="17"/>
      <c r="D4" s="17"/>
      <c r="E4" s="17"/>
      <c r="F4" s="17"/>
      <c r="H4" s="17" t="s">
        <v>633</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HYPERLINK("#Content!A39","&lt;&lt;Back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427</v>
      </c>
      <c r="D12" s="12">
        <v>17</v>
      </c>
      <c r="E12" s="12">
        <v>34</v>
      </c>
      <c r="F12" s="12">
        <v>63</v>
      </c>
      <c r="G12" s="12">
        <v>28</v>
      </c>
      <c r="H12" s="12">
        <v>27</v>
      </c>
      <c r="I12" s="12">
        <v>30</v>
      </c>
      <c r="J12" s="12">
        <v>3</v>
      </c>
      <c r="K12" s="12">
        <v>51</v>
      </c>
      <c r="L12" s="12">
        <v>32</v>
      </c>
      <c r="M12" s="12">
        <v>6</v>
      </c>
      <c r="N12" s="12">
        <v>11</v>
      </c>
      <c r="O12" s="12">
        <v>16</v>
      </c>
      <c r="P12" s="12">
        <v>8</v>
      </c>
      <c r="Q12" s="12">
        <v>14</v>
      </c>
      <c r="R12" s="12">
        <v>2</v>
      </c>
      <c r="S12" s="12">
        <v>45</v>
      </c>
      <c r="T12" s="12">
        <v>40</v>
      </c>
      <c r="U12" s="12">
        <v>13</v>
      </c>
      <c r="V12" s="12">
        <v>4</v>
      </c>
      <c r="W12" s="12">
        <v>13</v>
      </c>
      <c r="X12" s="12">
        <v>6</v>
      </c>
      <c r="Y12" s="12">
        <v>12</v>
      </c>
      <c r="Z12" s="12">
        <v>3</v>
      </c>
      <c r="AA12" s="12">
        <v>9</v>
      </c>
      <c r="AB12" s="12">
        <v>38</v>
      </c>
      <c r="AC12" s="12">
        <v>31</v>
      </c>
      <c r="AD12" s="12">
        <v>25</v>
      </c>
      <c r="AE12" s="12">
        <v>7</v>
      </c>
      <c r="AF12" s="12">
        <v>7</v>
      </c>
    </row>
    <row r="13" spans="1:32">
      <c r="A13" s="19"/>
      <c r="B13" s="13" t="s">
        <v>577</v>
      </c>
      <c r="C13" s="14">
        <v>0.02</v>
      </c>
      <c r="D13" s="14">
        <v>0.02</v>
      </c>
      <c r="E13" s="14">
        <v>0.03</v>
      </c>
      <c r="F13" s="14">
        <v>0.06</v>
      </c>
      <c r="G13" s="14">
        <v>0.03</v>
      </c>
      <c r="H13" s="14">
        <v>0.02</v>
      </c>
      <c r="I13" s="14">
        <v>0.02</v>
      </c>
      <c r="J13" s="14">
        <v>0.01</v>
      </c>
      <c r="K13" s="14">
        <v>0.05</v>
      </c>
      <c r="L13" s="14">
        <v>0.03</v>
      </c>
      <c r="M13" s="14">
        <v>0.01</v>
      </c>
      <c r="N13" s="14">
        <v>0.01</v>
      </c>
      <c r="O13" s="14">
        <v>0.02</v>
      </c>
      <c r="P13" s="14">
        <v>0.01</v>
      </c>
      <c r="Q13" s="14">
        <v>0.01</v>
      </c>
      <c r="R13" s="15" t="s">
        <v>375</v>
      </c>
      <c r="S13" s="14">
        <v>0.05</v>
      </c>
      <c r="T13" s="14">
        <v>0.04</v>
      </c>
      <c r="U13" s="14">
        <v>0.03</v>
      </c>
      <c r="V13" s="15" t="s">
        <v>375</v>
      </c>
      <c r="W13" s="14">
        <v>0.02</v>
      </c>
      <c r="X13" s="14">
        <v>0.01</v>
      </c>
      <c r="Y13" s="14">
        <v>0.01</v>
      </c>
      <c r="Z13" s="15" t="s">
        <v>375</v>
      </c>
      <c r="AA13" s="14">
        <v>0.01</v>
      </c>
      <c r="AB13" s="14">
        <v>0.04</v>
      </c>
      <c r="AC13" s="14">
        <v>0.03</v>
      </c>
      <c r="AD13" s="14">
        <v>0.03</v>
      </c>
      <c r="AE13" s="14">
        <v>0.01</v>
      </c>
      <c r="AF13" s="14">
        <v>0.01</v>
      </c>
    </row>
    <row r="14" spans="1:32">
      <c r="A14" s="19"/>
      <c r="B14" s="11" t="s">
        <v>578</v>
      </c>
      <c r="C14" s="12">
        <v>472</v>
      </c>
      <c r="D14" s="12">
        <v>13</v>
      </c>
      <c r="E14" s="12">
        <v>22</v>
      </c>
      <c r="F14" s="12">
        <v>25</v>
      </c>
      <c r="G14" s="12">
        <v>29</v>
      </c>
      <c r="H14" s="12">
        <v>80</v>
      </c>
      <c r="I14" s="12">
        <v>85</v>
      </c>
      <c r="J14" s="12">
        <v>5</v>
      </c>
      <c r="K14" s="12">
        <v>37</v>
      </c>
      <c r="L14" s="12">
        <v>14</v>
      </c>
      <c r="M14" s="12">
        <v>8</v>
      </c>
      <c r="N14" s="12">
        <v>3</v>
      </c>
      <c r="O14" s="12">
        <v>11</v>
      </c>
      <c r="P14" s="12">
        <v>11</v>
      </c>
      <c r="Q14" s="12">
        <v>5</v>
      </c>
      <c r="R14" s="12">
        <v>0</v>
      </c>
      <c r="S14" s="12">
        <v>13</v>
      </c>
      <c r="T14" s="12">
        <v>21</v>
      </c>
      <c r="U14" s="12">
        <v>1</v>
      </c>
      <c r="V14" s="12">
        <v>4</v>
      </c>
      <c r="W14" s="12">
        <v>4</v>
      </c>
      <c r="X14" s="12">
        <v>8</v>
      </c>
      <c r="Y14" s="12">
        <v>8</v>
      </c>
      <c r="Z14" s="12">
        <v>1</v>
      </c>
      <c r="AA14" s="12">
        <v>21</v>
      </c>
      <c r="AB14" s="12">
        <v>9</v>
      </c>
      <c r="AC14" s="12">
        <v>30</v>
      </c>
      <c r="AD14" s="12">
        <v>9</v>
      </c>
      <c r="AE14" s="12">
        <v>16</v>
      </c>
      <c r="AF14" s="12">
        <v>23</v>
      </c>
    </row>
    <row r="15" spans="1:32">
      <c r="A15" s="19"/>
      <c r="B15" s="13" t="s">
        <v>578</v>
      </c>
      <c r="C15" s="14">
        <v>0.02</v>
      </c>
      <c r="D15" s="14">
        <v>0.01</v>
      </c>
      <c r="E15" s="14">
        <v>0.02</v>
      </c>
      <c r="F15" s="14">
        <v>0.02</v>
      </c>
      <c r="G15" s="14">
        <v>0.03</v>
      </c>
      <c r="H15" s="14">
        <v>0.06</v>
      </c>
      <c r="I15" s="14">
        <v>0.06</v>
      </c>
      <c r="J15" s="14">
        <v>0.02</v>
      </c>
      <c r="K15" s="14">
        <v>0.04</v>
      </c>
      <c r="L15" s="14">
        <v>0.01</v>
      </c>
      <c r="M15" s="14">
        <v>0.01</v>
      </c>
      <c r="N15" s="15" t="s">
        <v>375</v>
      </c>
      <c r="O15" s="14">
        <v>0.01</v>
      </c>
      <c r="P15" s="14">
        <v>0.01</v>
      </c>
      <c r="Q15" s="14">
        <v>0.01</v>
      </c>
      <c r="R15" s="15" t="s">
        <v>375</v>
      </c>
      <c r="S15" s="14">
        <v>0.01</v>
      </c>
      <c r="T15" s="14">
        <v>0.02</v>
      </c>
      <c r="U15" s="15" t="s">
        <v>375</v>
      </c>
      <c r="V15" s="15" t="s">
        <v>375</v>
      </c>
      <c r="W15" s="14">
        <v>0.01</v>
      </c>
      <c r="X15" s="14">
        <v>0.01</v>
      </c>
      <c r="Y15" s="14">
        <v>0.01</v>
      </c>
      <c r="Z15" s="15" t="s">
        <v>375</v>
      </c>
      <c r="AA15" s="14">
        <v>0.02</v>
      </c>
      <c r="AB15" s="14">
        <v>0.01</v>
      </c>
      <c r="AC15" s="14">
        <v>0.03</v>
      </c>
      <c r="AD15" s="14">
        <v>0.01</v>
      </c>
      <c r="AE15" s="14">
        <v>0.02</v>
      </c>
      <c r="AF15" s="14">
        <v>0.02</v>
      </c>
    </row>
    <row r="16" spans="1:32">
      <c r="A16" s="19"/>
      <c r="B16" s="11" t="s">
        <v>579</v>
      </c>
      <c r="C16" s="12">
        <v>807</v>
      </c>
      <c r="D16" s="12">
        <v>23</v>
      </c>
      <c r="E16" s="12">
        <v>50</v>
      </c>
      <c r="F16" s="12">
        <v>62</v>
      </c>
      <c r="G16" s="12">
        <v>83</v>
      </c>
      <c r="H16" s="12">
        <v>64</v>
      </c>
      <c r="I16" s="12">
        <v>72</v>
      </c>
      <c r="J16" s="12">
        <v>8</v>
      </c>
      <c r="K16" s="12">
        <v>52</v>
      </c>
      <c r="L16" s="12">
        <v>19</v>
      </c>
      <c r="M16" s="12">
        <v>9</v>
      </c>
      <c r="N16" s="12">
        <v>12</v>
      </c>
      <c r="O16" s="12">
        <v>30</v>
      </c>
      <c r="P16" s="12">
        <v>29</v>
      </c>
      <c r="Q16" s="12">
        <v>18</v>
      </c>
      <c r="R16" s="12">
        <v>10</v>
      </c>
      <c r="S16" s="12">
        <v>30</v>
      </c>
      <c r="T16" s="12">
        <v>40</v>
      </c>
      <c r="U16" s="12">
        <v>12</v>
      </c>
      <c r="V16" s="12">
        <v>33</v>
      </c>
      <c r="W16" s="12">
        <v>5</v>
      </c>
      <c r="X16" s="12">
        <v>24</v>
      </c>
      <c r="Y16" s="12">
        <v>30</v>
      </c>
      <c r="Z16" s="12">
        <v>20</v>
      </c>
      <c r="AA16" s="12">
        <v>71</v>
      </c>
      <c r="AB16" s="12">
        <v>15</v>
      </c>
      <c r="AC16" s="12">
        <v>55</v>
      </c>
      <c r="AD16" s="12">
        <v>58</v>
      </c>
      <c r="AE16" s="12">
        <v>46</v>
      </c>
      <c r="AF16" s="12">
        <v>48</v>
      </c>
    </row>
    <row r="17" spans="1:32">
      <c r="A17" s="19"/>
      <c r="B17" s="13" t="s">
        <v>579</v>
      </c>
      <c r="C17" s="14">
        <v>0.03</v>
      </c>
      <c r="D17" s="14">
        <v>0.02</v>
      </c>
      <c r="E17" s="14">
        <v>0.05</v>
      </c>
      <c r="F17" s="14">
        <v>0.06</v>
      </c>
      <c r="G17" s="14">
        <v>0.08</v>
      </c>
      <c r="H17" s="14">
        <v>0.05</v>
      </c>
      <c r="I17" s="14">
        <v>0.05</v>
      </c>
      <c r="J17" s="14">
        <v>0.03</v>
      </c>
      <c r="K17" s="14">
        <v>0.05</v>
      </c>
      <c r="L17" s="14">
        <v>0.02</v>
      </c>
      <c r="M17" s="14">
        <v>0.01</v>
      </c>
      <c r="N17" s="14">
        <v>0.01</v>
      </c>
      <c r="O17" s="14">
        <v>0.03</v>
      </c>
      <c r="P17" s="14">
        <v>0.03</v>
      </c>
      <c r="Q17" s="14">
        <v>0.02</v>
      </c>
      <c r="R17" s="14">
        <v>0.02</v>
      </c>
      <c r="S17" s="14">
        <v>0.03</v>
      </c>
      <c r="T17" s="14">
        <v>0.04</v>
      </c>
      <c r="U17" s="14">
        <v>0.02</v>
      </c>
      <c r="V17" s="14">
        <v>0.03</v>
      </c>
      <c r="W17" s="14">
        <v>0.01</v>
      </c>
      <c r="X17" s="14">
        <v>0.02</v>
      </c>
      <c r="Y17" s="14">
        <v>0.03</v>
      </c>
      <c r="Z17" s="14">
        <v>0.02</v>
      </c>
      <c r="AA17" s="14">
        <v>7.0000000000000007E-2</v>
      </c>
      <c r="AB17" s="14">
        <v>0.01</v>
      </c>
      <c r="AC17" s="14">
        <v>0.06</v>
      </c>
      <c r="AD17" s="14">
        <v>0.06</v>
      </c>
      <c r="AE17" s="14">
        <v>0.05</v>
      </c>
      <c r="AF17" s="14">
        <v>0.05</v>
      </c>
    </row>
    <row r="18" spans="1:32">
      <c r="A18" s="19"/>
      <c r="B18" s="11" t="s">
        <v>580</v>
      </c>
      <c r="C18" s="12">
        <v>1148</v>
      </c>
      <c r="D18" s="12">
        <v>40</v>
      </c>
      <c r="E18" s="12">
        <v>84</v>
      </c>
      <c r="F18" s="12">
        <v>90</v>
      </c>
      <c r="G18" s="12">
        <v>81</v>
      </c>
      <c r="H18" s="12">
        <v>93</v>
      </c>
      <c r="I18" s="12">
        <v>106</v>
      </c>
      <c r="J18" s="12">
        <v>13</v>
      </c>
      <c r="K18" s="12">
        <v>68</v>
      </c>
      <c r="L18" s="12">
        <v>31</v>
      </c>
      <c r="M18" s="12">
        <v>20</v>
      </c>
      <c r="N18" s="12">
        <v>17</v>
      </c>
      <c r="O18" s="12">
        <v>24</v>
      </c>
      <c r="P18" s="12">
        <v>58</v>
      </c>
      <c r="Q18" s="12">
        <v>37</v>
      </c>
      <c r="R18" s="12">
        <v>11</v>
      </c>
      <c r="S18" s="12">
        <v>61</v>
      </c>
      <c r="T18" s="12">
        <v>36</v>
      </c>
      <c r="U18" s="12">
        <v>11</v>
      </c>
      <c r="V18" s="12">
        <v>60</v>
      </c>
      <c r="W18" s="12">
        <v>19</v>
      </c>
      <c r="X18" s="12">
        <v>39</v>
      </c>
      <c r="Y18" s="12">
        <v>54</v>
      </c>
      <c r="Z18" s="12">
        <v>41</v>
      </c>
      <c r="AA18" s="12">
        <v>65</v>
      </c>
      <c r="AB18" s="12">
        <v>32</v>
      </c>
      <c r="AC18" s="12">
        <v>64</v>
      </c>
      <c r="AD18" s="12">
        <v>44</v>
      </c>
      <c r="AE18" s="12">
        <v>57</v>
      </c>
      <c r="AF18" s="12">
        <v>52</v>
      </c>
    </row>
    <row r="19" spans="1:32">
      <c r="A19" s="19"/>
      <c r="B19" s="13" t="s">
        <v>580</v>
      </c>
      <c r="C19" s="14">
        <v>0.04</v>
      </c>
      <c r="D19" s="14">
        <v>0.04</v>
      </c>
      <c r="E19" s="14">
        <v>0.08</v>
      </c>
      <c r="F19" s="14">
        <v>0.08</v>
      </c>
      <c r="G19" s="14">
        <v>0.08</v>
      </c>
      <c r="H19" s="14">
        <v>0.08</v>
      </c>
      <c r="I19" s="14">
        <v>7.0000000000000007E-2</v>
      </c>
      <c r="J19" s="14">
        <v>0.04</v>
      </c>
      <c r="K19" s="14">
        <v>7.0000000000000007E-2</v>
      </c>
      <c r="L19" s="14">
        <v>0.03</v>
      </c>
      <c r="M19" s="14">
        <v>0.02</v>
      </c>
      <c r="N19" s="14">
        <v>0.02</v>
      </c>
      <c r="O19" s="14">
        <v>0.02</v>
      </c>
      <c r="P19" s="14">
        <v>0.06</v>
      </c>
      <c r="Q19" s="14">
        <v>0.04</v>
      </c>
      <c r="R19" s="14">
        <v>0.02</v>
      </c>
      <c r="S19" s="14">
        <v>0.06</v>
      </c>
      <c r="T19" s="14">
        <v>0.04</v>
      </c>
      <c r="U19" s="14">
        <v>0.02</v>
      </c>
      <c r="V19" s="14">
        <v>0.06</v>
      </c>
      <c r="W19" s="14">
        <v>0.04</v>
      </c>
      <c r="X19" s="14">
        <v>0.04</v>
      </c>
      <c r="Y19" s="14">
        <v>0.05</v>
      </c>
      <c r="Z19" s="14">
        <v>0.04</v>
      </c>
      <c r="AA19" s="14">
        <v>0.06</v>
      </c>
      <c r="AB19" s="14">
        <v>0.03</v>
      </c>
      <c r="AC19" s="14">
        <v>0.06</v>
      </c>
      <c r="AD19" s="14">
        <v>0.04</v>
      </c>
      <c r="AE19" s="14">
        <v>0.06</v>
      </c>
      <c r="AF19" s="14">
        <v>0.05</v>
      </c>
    </row>
    <row r="20" spans="1:32">
      <c r="A20" s="19"/>
      <c r="B20" s="11" t="s">
        <v>581</v>
      </c>
      <c r="C20" s="12">
        <v>2224</v>
      </c>
      <c r="D20" s="12">
        <v>87</v>
      </c>
      <c r="E20" s="12">
        <v>129</v>
      </c>
      <c r="F20" s="12">
        <v>191</v>
      </c>
      <c r="G20" s="12">
        <v>105</v>
      </c>
      <c r="H20" s="12">
        <v>142</v>
      </c>
      <c r="I20" s="12">
        <v>187</v>
      </c>
      <c r="J20" s="12">
        <v>45</v>
      </c>
      <c r="K20" s="12">
        <v>132</v>
      </c>
      <c r="L20" s="12">
        <v>68</v>
      </c>
      <c r="M20" s="12">
        <v>73</v>
      </c>
      <c r="N20" s="12">
        <v>31</v>
      </c>
      <c r="O20" s="12">
        <v>90</v>
      </c>
      <c r="P20" s="12">
        <v>102</v>
      </c>
      <c r="Q20" s="12">
        <v>43</v>
      </c>
      <c r="R20" s="12">
        <v>26</v>
      </c>
      <c r="S20" s="12">
        <v>114</v>
      </c>
      <c r="T20" s="12">
        <v>149</v>
      </c>
      <c r="U20" s="12">
        <v>34</v>
      </c>
      <c r="V20" s="12">
        <v>115</v>
      </c>
      <c r="W20" s="12">
        <v>26</v>
      </c>
      <c r="X20" s="12">
        <v>73</v>
      </c>
      <c r="Y20" s="12">
        <v>111</v>
      </c>
      <c r="Z20" s="12">
        <v>83</v>
      </c>
      <c r="AA20" s="12">
        <v>80</v>
      </c>
      <c r="AB20" s="12">
        <v>70</v>
      </c>
      <c r="AC20" s="12">
        <v>114</v>
      </c>
      <c r="AD20" s="12">
        <v>112</v>
      </c>
      <c r="AE20" s="12">
        <v>80</v>
      </c>
      <c r="AF20" s="12">
        <v>92</v>
      </c>
    </row>
    <row r="21" spans="1:32">
      <c r="A21" s="19"/>
      <c r="B21" s="13" t="s">
        <v>581</v>
      </c>
      <c r="C21" s="14">
        <v>0.08</v>
      </c>
      <c r="D21" s="14">
        <v>0.09</v>
      </c>
      <c r="E21" s="14">
        <v>0.12</v>
      </c>
      <c r="F21" s="14">
        <v>0.18</v>
      </c>
      <c r="G21" s="14">
        <v>0.1</v>
      </c>
      <c r="H21" s="14">
        <v>0.12</v>
      </c>
      <c r="I21" s="14">
        <v>0.12</v>
      </c>
      <c r="J21" s="14">
        <v>0.15</v>
      </c>
      <c r="K21" s="14">
        <v>0.13</v>
      </c>
      <c r="L21" s="14">
        <v>7.0000000000000007E-2</v>
      </c>
      <c r="M21" s="14">
        <v>7.0000000000000007E-2</v>
      </c>
      <c r="N21" s="14">
        <v>0.03</v>
      </c>
      <c r="O21" s="14">
        <v>0.09</v>
      </c>
      <c r="P21" s="14">
        <v>0.1</v>
      </c>
      <c r="Q21" s="14">
        <v>0.04</v>
      </c>
      <c r="R21" s="14">
        <v>0.05</v>
      </c>
      <c r="S21" s="14">
        <v>0.11</v>
      </c>
      <c r="T21" s="14">
        <v>0.15</v>
      </c>
      <c r="U21" s="14">
        <v>7.0000000000000007E-2</v>
      </c>
      <c r="V21" s="14">
        <v>0.11</v>
      </c>
      <c r="W21" s="14">
        <v>0.05</v>
      </c>
      <c r="X21" s="14">
        <v>7.0000000000000007E-2</v>
      </c>
      <c r="Y21" s="14">
        <v>0.11</v>
      </c>
      <c r="Z21" s="14">
        <v>0.08</v>
      </c>
      <c r="AA21" s="14">
        <v>0.08</v>
      </c>
      <c r="AB21" s="14">
        <v>7.0000000000000007E-2</v>
      </c>
      <c r="AC21" s="14">
        <v>0.11</v>
      </c>
      <c r="AD21" s="14">
        <v>0.11</v>
      </c>
      <c r="AE21" s="14">
        <v>0.08</v>
      </c>
      <c r="AF21" s="14">
        <v>0.09</v>
      </c>
    </row>
    <row r="22" spans="1:32">
      <c r="A22" s="19"/>
      <c r="B22" s="11" t="s">
        <v>582</v>
      </c>
      <c r="C22" s="12">
        <v>2782</v>
      </c>
      <c r="D22" s="12">
        <v>138</v>
      </c>
      <c r="E22" s="12">
        <v>132</v>
      </c>
      <c r="F22" s="12">
        <v>146</v>
      </c>
      <c r="G22" s="12">
        <v>117</v>
      </c>
      <c r="H22" s="12">
        <v>124</v>
      </c>
      <c r="I22" s="12">
        <v>169</v>
      </c>
      <c r="J22" s="12">
        <v>45</v>
      </c>
      <c r="K22" s="12">
        <v>145</v>
      </c>
      <c r="L22" s="12">
        <v>70</v>
      </c>
      <c r="M22" s="12">
        <v>101</v>
      </c>
      <c r="N22" s="12">
        <v>70</v>
      </c>
      <c r="O22" s="12">
        <v>113</v>
      </c>
      <c r="P22" s="12">
        <v>115</v>
      </c>
      <c r="Q22" s="12">
        <v>75</v>
      </c>
      <c r="R22" s="12">
        <v>39</v>
      </c>
      <c r="S22" s="12">
        <v>93</v>
      </c>
      <c r="T22" s="12">
        <v>116</v>
      </c>
      <c r="U22" s="12">
        <v>42</v>
      </c>
      <c r="V22" s="12">
        <v>176</v>
      </c>
      <c r="W22" s="12">
        <v>45</v>
      </c>
      <c r="X22" s="12">
        <v>121</v>
      </c>
      <c r="Y22" s="12">
        <v>122</v>
      </c>
      <c r="Z22" s="12">
        <v>134</v>
      </c>
      <c r="AA22" s="12">
        <v>62</v>
      </c>
      <c r="AB22" s="12">
        <v>130</v>
      </c>
      <c r="AC22" s="12">
        <v>80</v>
      </c>
      <c r="AD22" s="12">
        <v>128</v>
      </c>
      <c r="AE22" s="12">
        <v>113</v>
      </c>
      <c r="AF22" s="12">
        <v>120</v>
      </c>
    </row>
    <row r="23" spans="1:32">
      <c r="A23" s="19"/>
      <c r="B23" s="13" t="s">
        <v>582</v>
      </c>
      <c r="C23" s="14">
        <v>0.11</v>
      </c>
      <c r="D23" s="14">
        <v>0.14000000000000001</v>
      </c>
      <c r="E23" s="14">
        <v>0.13</v>
      </c>
      <c r="F23" s="14">
        <v>0.14000000000000001</v>
      </c>
      <c r="G23" s="14">
        <v>0.11</v>
      </c>
      <c r="H23" s="14">
        <v>0.1</v>
      </c>
      <c r="I23" s="14">
        <v>0.11</v>
      </c>
      <c r="J23" s="14">
        <v>0.15</v>
      </c>
      <c r="K23" s="14">
        <v>0.14000000000000001</v>
      </c>
      <c r="L23" s="14">
        <v>7.0000000000000007E-2</v>
      </c>
      <c r="M23" s="14">
        <v>0.1</v>
      </c>
      <c r="N23" s="14">
        <v>7.0000000000000007E-2</v>
      </c>
      <c r="O23" s="14">
        <v>0.11</v>
      </c>
      <c r="P23" s="14">
        <v>0.11</v>
      </c>
      <c r="Q23" s="14">
        <v>7.0000000000000007E-2</v>
      </c>
      <c r="R23" s="14">
        <v>0.08</v>
      </c>
      <c r="S23" s="14">
        <v>0.09</v>
      </c>
      <c r="T23" s="14">
        <v>0.11</v>
      </c>
      <c r="U23" s="14">
        <v>0.08</v>
      </c>
      <c r="V23" s="14">
        <v>0.17</v>
      </c>
      <c r="W23" s="14">
        <v>0.09</v>
      </c>
      <c r="X23" s="14">
        <v>0.12</v>
      </c>
      <c r="Y23" s="14">
        <v>0.12</v>
      </c>
      <c r="Z23" s="14">
        <v>0.13</v>
      </c>
      <c r="AA23" s="14">
        <v>0.06</v>
      </c>
      <c r="AB23" s="14">
        <v>0.13</v>
      </c>
      <c r="AC23" s="14">
        <v>0.08</v>
      </c>
      <c r="AD23" s="14">
        <v>0.13</v>
      </c>
      <c r="AE23" s="14">
        <v>0.11</v>
      </c>
      <c r="AF23" s="14">
        <v>0.12</v>
      </c>
    </row>
    <row r="24" spans="1:32">
      <c r="A24" s="19"/>
      <c r="B24" s="11" t="s">
        <v>583</v>
      </c>
      <c r="C24" s="12">
        <v>4571</v>
      </c>
      <c r="D24" s="12">
        <v>214</v>
      </c>
      <c r="E24" s="12">
        <v>166</v>
      </c>
      <c r="F24" s="12">
        <v>127</v>
      </c>
      <c r="G24" s="12">
        <v>170</v>
      </c>
      <c r="H24" s="12">
        <v>199</v>
      </c>
      <c r="I24" s="12">
        <v>249</v>
      </c>
      <c r="J24" s="12">
        <v>50</v>
      </c>
      <c r="K24" s="12">
        <v>162</v>
      </c>
      <c r="L24" s="12">
        <v>153</v>
      </c>
      <c r="M24" s="12">
        <v>206</v>
      </c>
      <c r="N24" s="12">
        <v>143</v>
      </c>
      <c r="O24" s="12">
        <v>210</v>
      </c>
      <c r="P24" s="12">
        <v>167</v>
      </c>
      <c r="Q24" s="12">
        <v>165</v>
      </c>
      <c r="R24" s="12">
        <v>88</v>
      </c>
      <c r="S24" s="12">
        <v>126</v>
      </c>
      <c r="T24" s="12">
        <v>165</v>
      </c>
      <c r="U24" s="12">
        <v>96</v>
      </c>
      <c r="V24" s="12">
        <v>210</v>
      </c>
      <c r="W24" s="12">
        <v>49</v>
      </c>
      <c r="X24" s="12">
        <v>237</v>
      </c>
      <c r="Y24" s="12">
        <v>165</v>
      </c>
      <c r="Z24" s="12">
        <v>171</v>
      </c>
      <c r="AA24" s="12">
        <v>134</v>
      </c>
      <c r="AB24" s="12">
        <v>170</v>
      </c>
      <c r="AC24" s="12">
        <v>111</v>
      </c>
      <c r="AD24" s="12">
        <v>212</v>
      </c>
      <c r="AE24" s="12">
        <v>179</v>
      </c>
      <c r="AF24" s="12">
        <v>209</v>
      </c>
    </row>
    <row r="25" spans="1:32">
      <c r="A25" s="19"/>
      <c r="B25" s="13" t="s">
        <v>583</v>
      </c>
      <c r="C25" s="14">
        <v>0.17</v>
      </c>
      <c r="D25" s="14">
        <v>0.21</v>
      </c>
      <c r="E25" s="14">
        <v>0.16</v>
      </c>
      <c r="F25" s="14">
        <v>0.12</v>
      </c>
      <c r="G25" s="14">
        <v>0.17</v>
      </c>
      <c r="H25" s="14">
        <v>0.16</v>
      </c>
      <c r="I25" s="14">
        <v>0.16</v>
      </c>
      <c r="J25" s="14">
        <v>0.17</v>
      </c>
      <c r="K25" s="14">
        <v>0.16</v>
      </c>
      <c r="L25" s="14">
        <v>0.15</v>
      </c>
      <c r="M25" s="14">
        <v>0.2</v>
      </c>
      <c r="N25" s="14">
        <v>0.14000000000000001</v>
      </c>
      <c r="O25" s="14">
        <v>0.21</v>
      </c>
      <c r="P25" s="14">
        <v>0.17</v>
      </c>
      <c r="Q25" s="14">
        <v>0.16</v>
      </c>
      <c r="R25" s="14">
        <v>0.18</v>
      </c>
      <c r="S25" s="14">
        <v>0.13</v>
      </c>
      <c r="T25" s="14">
        <v>0.16</v>
      </c>
      <c r="U25" s="14">
        <v>0.19</v>
      </c>
      <c r="V25" s="14">
        <v>0.21</v>
      </c>
      <c r="W25" s="14">
        <v>0.1</v>
      </c>
      <c r="X25" s="14">
        <v>0.24</v>
      </c>
      <c r="Y25" s="14">
        <v>0.16</v>
      </c>
      <c r="Z25" s="14">
        <v>0.17</v>
      </c>
      <c r="AA25" s="14">
        <v>0.13</v>
      </c>
      <c r="AB25" s="14">
        <v>0.16</v>
      </c>
      <c r="AC25" s="14">
        <v>0.11</v>
      </c>
      <c r="AD25" s="14">
        <v>0.21</v>
      </c>
      <c r="AE25" s="14">
        <v>0.18</v>
      </c>
      <c r="AF25" s="14">
        <v>0.2</v>
      </c>
    </row>
    <row r="26" spans="1:32">
      <c r="A26" s="19"/>
      <c r="B26" s="11" t="s">
        <v>584</v>
      </c>
      <c r="C26" s="12">
        <v>5957</v>
      </c>
      <c r="D26" s="12">
        <v>239</v>
      </c>
      <c r="E26" s="12">
        <v>156</v>
      </c>
      <c r="F26" s="12">
        <v>141</v>
      </c>
      <c r="G26" s="12">
        <v>197</v>
      </c>
      <c r="H26" s="12">
        <v>228</v>
      </c>
      <c r="I26" s="12">
        <v>298</v>
      </c>
      <c r="J26" s="12">
        <v>70</v>
      </c>
      <c r="K26" s="12">
        <v>138</v>
      </c>
      <c r="L26" s="12">
        <v>224</v>
      </c>
      <c r="M26" s="12">
        <v>265</v>
      </c>
      <c r="N26" s="12">
        <v>263</v>
      </c>
      <c r="O26" s="12">
        <v>210</v>
      </c>
      <c r="P26" s="12">
        <v>209</v>
      </c>
      <c r="Q26" s="12">
        <v>275</v>
      </c>
      <c r="R26" s="12">
        <v>123</v>
      </c>
      <c r="S26" s="12">
        <v>154</v>
      </c>
      <c r="T26" s="12">
        <v>183</v>
      </c>
      <c r="U26" s="12">
        <v>108</v>
      </c>
      <c r="V26" s="12">
        <v>204</v>
      </c>
      <c r="W26" s="12">
        <v>103</v>
      </c>
      <c r="X26" s="12">
        <v>277</v>
      </c>
      <c r="Y26" s="12">
        <v>188</v>
      </c>
      <c r="Z26" s="12">
        <v>265</v>
      </c>
      <c r="AA26" s="12">
        <v>192</v>
      </c>
      <c r="AB26" s="12">
        <v>262</v>
      </c>
      <c r="AC26" s="12">
        <v>150</v>
      </c>
      <c r="AD26" s="12">
        <v>199</v>
      </c>
      <c r="AE26" s="12">
        <v>223</v>
      </c>
      <c r="AF26" s="12">
        <v>199</v>
      </c>
    </row>
    <row r="27" spans="1:32">
      <c r="A27" s="19"/>
      <c r="B27" s="13" t="s">
        <v>584</v>
      </c>
      <c r="C27" s="14">
        <v>0.23</v>
      </c>
      <c r="D27" s="14">
        <v>0.23</v>
      </c>
      <c r="E27" s="14">
        <v>0.15</v>
      </c>
      <c r="F27" s="14">
        <v>0.13</v>
      </c>
      <c r="G27" s="14">
        <v>0.19</v>
      </c>
      <c r="H27" s="14">
        <v>0.19</v>
      </c>
      <c r="I27" s="14">
        <v>0.2</v>
      </c>
      <c r="J27" s="14">
        <v>0.23</v>
      </c>
      <c r="K27" s="14">
        <v>0.14000000000000001</v>
      </c>
      <c r="L27" s="14">
        <v>0.22</v>
      </c>
      <c r="M27" s="14">
        <v>0.26</v>
      </c>
      <c r="N27" s="14">
        <v>0.26</v>
      </c>
      <c r="O27" s="14">
        <v>0.21</v>
      </c>
      <c r="P27" s="14">
        <v>0.21</v>
      </c>
      <c r="Q27" s="14">
        <v>0.27</v>
      </c>
      <c r="R27" s="14">
        <v>0.25</v>
      </c>
      <c r="S27" s="14">
        <v>0.15</v>
      </c>
      <c r="T27" s="14">
        <v>0.18</v>
      </c>
      <c r="U27" s="14">
        <v>0.21</v>
      </c>
      <c r="V27" s="14">
        <v>0.2</v>
      </c>
      <c r="W27" s="14">
        <v>0.21</v>
      </c>
      <c r="X27" s="14">
        <v>0.27</v>
      </c>
      <c r="Y27" s="14">
        <v>0.19</v>
      </c>
      <c r="Z27" s="14">
        <v>0.26</v>
      </c>
      <c r="AA27" s="14">
        <v>0.19</v>
      </c>
      <c r="AB27" s="14">
        <v>0.25</v>
      </c>
      <c r="AC27" s="14">
        <v>0.15</v>
      </c>
      <c r="AD27" s="14">
        <v>0.2</v>
      </c>
      <c r="AE27" s="14">
        <v>0.22</v>
      </c>
      <c r="AF27" s="14">
        <v>0.19</v>
      </c>
    </row>
    <row r="28" spans="1:32">
      <c r="A28" s="19"/>
      <c r="B28" s="11" t="s">
        <v>585</v>
      </c>
      <c r="C28" s="12">
        <v>3545</v>
      </c>
      <c r="D28" s="12">
        <v>128</v>
      </c>
      <c r="E28" s="12">
        <v>96</v>
      </c>
      <c r="F28" s="12">
        <v>75</v>
      </c>
      <c r="G28" s="12">
        <v>86</v>
      </c>
      <c r="H28" s="12">
        <v>115</v>
      </c>
      <c r="I28" s="12">
        <v>145</v>
      </c>
      <c r="J28" s="12">
        <v>30</v>
      </c>
      <c r="K28" s="12">
        <v>82</v>
      </c>
      <c r="L28" s="12">
        <v>145</v>
      </c>
      <c r="M28" s="12">
        <v>172</v>
      </c>
      <c r="N28" s="12">
        <v>196</v>
      </c>
      <c r="O28" s="12">
        <v>114</v>
      </c>
      <c r="P28" s="12">
        <v>105</v>
      </c>
      <c r="Q28" s="12">
        <v>200</v>
      </c>
      <c r="R28" s="12">
        <v>82</v>
      </c>
      <c r="S28" s="12">
        <v>147</v>
      </c>
      <c r="T28" s="12">
        <v>105</v>
      </c>
      <c r="U28" s="12">
        <v>72</v>
      </c>
      <c r="V28" s="12">
        <v>77</v>
      </c>
      <c r="W28" s="12">
        <v>119</v>
      </c>
      <c r="X28" s="12">
        <v>122</v>
      </c>
      <c r="Y28" s="12">
        <v>137</v>
      </c>
      <c r="Z28" s="12">
        <v>136</v>
      </c>
      <c r="AA28" s="12">
        <v>159</v>
      </c>
      <c r="AB28" s="12">
        <v>139</v>
      </c>
      <c r="AC28" s="12">
        <v>87</v>
      </c>
      <c r="AD28" s="12">
        <v>111</v>
      </c>
      <c r="AE28" s="12">
        <v>153</v>
      </c>
      <c r="AF28" s="12">
        <v>125</v>
      </c>
    </row>
    <row r="29" spans="1:32">
      <c r="A29" s="19"/>
      <c r="B29" s="13" t="s">
        <v>585</v>
      </c>
      <c r="C29" s="14">
        <v>0.13</v>
      </c>
      <c r="D29" s="14">
        <v>0.12</v>
      </c>
      <c r="E29" s="14">
        <v>0.09</v>
      </c>
      <c r="F29" s="14">
        <v>7.0000000000000007E-2</v>
      </c>
      <c r="G29" s="14">
        <v>0.09</v>
      </c>
      <c r="H29" s="14">
        <v>0.09</v>
      </c>
      <c r="I29" s="14">
        <v>0.09</v>
      </c>
      <c r="J29" s="14">
        <v>0.1</v>
      </c>
      <c r="K29" s="14">
        <v>0.08</v>
      </c>
      <c r="L29" s="14">
        <v>0.15</v>
      </c>
      <c r="M29" s="14">
        <v>0.17</v>
      </c>
      <c r="N29" s="14">
        <v>0.19</v>
      </c>
      <c r="O29" s="14">
        <v>0.11</v>
      </c>
      <c r="P29" s="14">
        <v>0.11</v>
      </c>
      <c r="Q29" s="14">
        <v>0.19</v>
      </c>
      <c r="R29" s="14">
        <v>0.16</v>
      </c>
      <c r="S29" s="14">
        <v>0.15</v>
      </c>
      <c r="T29" s="14">
        <v>0.1</v>
      </c>
      <c r="U29" s="14">
        <v>0.14000000000000001</v>
      </c>
      <c r="V29" s="14">
        <v>0.08</v>
      </c>
      <c r="W29" s="14">
        <v>0.24</v>
      </c>
      <c r="X29" s="14">
        <v>0.12</v>
      </c>
      <c r="Y29" s="14">
        <v>0.14000000000000001</v>
      </c>
      <c r="Z29" s="14">
        <v>0.14000000000000001</v>
      </c>
      <c r="AA29" s="14">
        <v>0.15</v>
      </c>
      <c r="AB29" s="14">
        <v>0.13</v>
      </c>
      <c r="AC29" s="14">
        <v>0.09</v>
      </c>
      <c r="AD29" s="14">
        <v>0.11</v>
      </c>
      <c r="AE29" s="14">
        <v>0.15</v>
      </c>
      <c r="AF29" s="14">
        <v>0.12</v>
      </c>
    </row>
    <row r="30" spans="1:32">
      <c r="A30" s="19"/>
      <c r="B30" s="11" t="s">
        <v>586</v>
      </c>
      <c r="C30" s="12">
        <v>4259</v>
      </c>
      <c r="D30" s="12">
        <v>121</v>
      </c>
      <c r="E30" s="12">
        <v>171</v>
      </c>
      <c r="F30" s="12">
        <v>139</v>
      </c>
      <c r="G30" s="12">
        <v>104</v>
      </c>
      <c r="H30" s="12">
        <v>146</v>
      </c>
      <c r="I30" s="12">
        <v>173</v>
      </c>
      <c r="J30" s="12">
        <v>26</v>
      </c>
      <c r="K30" s="12">
        <v>131</v>
      </c>
      <c r="L30" s="12">
        <v>241</v>
      </c>
      <c r="M30" s="12">
        <v>140</v>
      </c>
      <c r="N30" s="12">
        <v>261</v>
      </c>
      <c r="O30" s="12">
        <v>178</v>
      </c>
      <c r="P30" s="12">
        <v>185</v>
      </c>
      <c r="Q30" s="12">
        <v>188</v>
      </c>
      <c r="R30" s="12">
        <v>117</v>
      </c>
      <c r="S30" s="12">
        <v>208</v>
      </c>
      <c r="T30" s="12">
        <v>153</v>
      </c>
      <c r="U30" s="12">
        <v>117</v>
      </c>
      <c r="V30" s="12">
        <v>137</v>
      </c>
      <c r="W30" s="12">
        <v>117</v>
      </c>
      <c r="X30" s="12">
        <v>85</v>
      </c>
      <c r="Y30" s="12">
        <v>156</v>
      </c>
      <c r="Z30" s="12">
        <v>155</v>
      </c>
      <c r="AA30" s="12">
        <v>209</v>
      </c>
      <c r="AB30" s="12">
        <v>143</v>
      </c>
      <c r="AC30" s="12">
        <v>281</v>
      </c>
      <c r="AD30" s="12">
        <v>103</v>
      </c>
      <c r="AE30" s="12">
        <v>120</v>
      </c>
      <c r="AF30" s="12">
        <v>153</v>
      </c>
    </row>
    <row r="31" spans="1:32">
      <c r="A31" s="19"/>
      <c r="B31" s="13" t="s">
        <v>587</v>
      </c>
      <c r="C31" s="14">
        <v>0.16</v>
      </c>
      <c r="D31" s="14">
        <v>0.12</v>
      </c>
      <c r="E31" s="14">
        <v>0.16</v>
      </c>
      <c r="F31" s="14">
        <v>0.13</v>
      </c>
      <c r="G31" s="14">
        <v>0.1</v>
      </c>
      <c r="H31" s="14">
        <v>0.12</v>
      </c>
      <c r="I31" s="14">
        <v>0.11</v>
      </c>
      <c r="J31" s="14">
        <v>0.09</v>
      </c>
      <c r="K31" s="14">
        <v>0.13</v>
      </c>
      <c r="L31" s="14">
        <v>0.24</v>
      </c>
      <c r="M31" s="14">
        <v>0.14000000000000001</v>
      </c>
      <c r="N31" s="14">
        <v>0.26</v>
      </c>
      <c r="O31" s="14">
        <v>0.18</v>
      </c>
      <c r="P31" s="14">
        <v>0.18</v>
      </c>
      <c r="Q31" s="14">
        <v>0.18</v>
      </c>
      <c r="R31" s="14">
        <v>0.23</v>
      </c>
      <c r="S31" s="14">
        <v>0.21</v>
      </c>
      <c r="T31" s="14">
        <v>0.15</v>
      </c>
      <c r="U31" s="14">
        <v>0.23</v>
      </c>
      <c r="V31" s="14">
        <v>0.13</v>
      </c>
      <c r="W31" s="14">
        <v>0.23</v>
      </c>
      <c r="X31" s="14">
        <v>0.08</v>
      </c>
      <c r="Y31" s="14">
        <v>0.16</v>
      </c>
      <c r="Z31" s="14">
        <v>0.15</v>
      </c>
      <c r="AA31" s="14">
        <v>0.2</v>
      </c>
      <c r="AB31" s="14">
        <v>0.14000000000000001</v>
      </c>
      <c r="AC31" s="14">
        <v>0.28000000000000003</v>
      </c>
      <c r="AD31" s="14">
        <v>0.1</v>
      </c>
      <c r="AE31" s="14">
        <v>0.12</v>
      </c>
      <c r="AF31" s="14">
        <v>0.15</v>
      </c>
    </row>
    <row r="32" spans="1:32">
      <c r="A32" s="19"/>
      <c r="B32" s="11" t="s">
        <v>386</v>
      </c>
      <c r="C32" s="12">
        <v>262</v>
      </c>
      <c r="D32" s="12">
        <v>1</v>
      </c>
      <c r="E32" s="12">
        <v>8</v>
      </c>
      <c r="F32" s="12">
        <v>6</v>
      </c>
      <c r="G32" s="12">
        <v>16</v>
      </c>
      <c r="H32" s="12">
        <v>12</v>
      </c>
      <c r="I32" s="12">
        <v>14</v>
      </c>
      <c r="J32" s="12">
        <v>2</v>
      </c>
      <c r="K32" s="12">
        <v>7</v>
      </c>
      <c r="L32" s="12">
        <v>8</v>
      </c>
      <c r="M32" s="12">
        <v>6</v>
      </c>
      <c r="N32" s="12">
        <v>4</v>
      </c>
      <c r="O32" s="12">
        <v>9</v>
      </c>
      <c r="P32" s="12">
        <v>13</v>
      </c>
      <c r="Q32" s="12">
        <v>10</v>
      </c>
      <c r="R32" s="12">
        <v>3</v>
      </c>
      <c r="S32" s="12">
        <v>13</v>
      </c>
      <c r="T32" s="12">
        <v>15</v>
      </c>
      <c r="U32" s="12">
        <v>3</v>
      </c>
      <c r="V32" s="12">
        <v>7</v>
      </c>
      <c r="W32" s="12">
        <v>2</v>
      </c>
      <c r="X32" s="12">
        <v>18</v>
      </c>
      <c r="Y32" s="12">
        <v>20</v>
      </c>
      <c r="Z32" s="12">
        <v>7</v>
      </c>
      <c r="AA32" s="12">
        <v>36</v>
      </c>
      <c r="AB32" s="12">
        <v>33</v>
      </c>
      <c r="AC32" s="12">
        <v>1</v>
      </c>
      <c r="AD32" s="12">
        <v>2</v>
      </c>
      <c r="AE32" s="12">
        <v>5</v>
      </c>
      <c r="AF32" s="12">
        <v>2</v>
      </c>
    </row>
    <row r="33" spans="1:32">
      <c r="A33" s="19"/>
      <c r="B33" s="13" t="s">
        <v>399</v>
      </c>
      <c r="C33" s="14">
        <v>0.01</v>
      </c>
      <c r="D33" s="15" t="s">
        <v>375</v>
      </c>
      <c r="E33" s="14">
        <v>0.01</v>
      </c>
      <c r="F33" s="14">
        <v>0.01</v>
      </c>
      <c r="G33" s="14">
        <v>0.02</v>
      </c>
      <c r="H33" s="14">
        <v>0.01</v>
      </c>
      <c r="I33" s="14">
        <v>0.01</v>
      </c>
      <c r="J33" s="14">
        <v>0.01</v>
      </c>
      <c r="K33" s="14">
        <v>0.01</v>
      </c>
      <c r="L33" s="14">
        <v>0.01</v>
      </c>
      <c r="M33" s="14">
        <v>0.01</v>
      </c>
      <c r="N33" s="14">
        <v>0.01</v>
      </c>
      <c r="O33" s="14">
        <v>0.01</v>
      </c>
      <c r="P33" s="14">
        <v>0.01</v>
      </c>
      <c r="Q33" s="14">
        <v>0.01</v>
      </c>
      <c r="R33" s="14">
        <v>0.01</v>
      </c>
      <c r="S33" s="14">
        <v>0.01</v>
      </c>
      <c r="T33" s="14">
        <v>0.01</v>
      </c>
      <c r="U33" s="14">
        <v>0.01</v>
      </c>
      <c r="V33" s="14">
        <v>0.01</v>
      </c>
      <c r="W33" s="15" t="s">
        <v>375</v>
      </c>
      <c r="X33" s="14">
        <v>0.02</v>
      </c>
      <c r="Y33" s="14">
        <v>0.02</v>
      </c>
      <c r="Z33" s="14">
        <v>0.01</v>
      </c>
      <c r="AA33" s="14">
        <v>0.03</v>
      </c>
      <c r="AB33" s="14">
        <v>0.03</v>
      </c>
      <c r="AC33" s="15" t="s">
        <v>375</v>
      </c>
      <c r="AD33" s="15" t="s">
        <v>375</v>
      </c>
      <c r="AE33" s="15" t="s">
        <v>375</v>
      </c>
      <c r="AF33" s="15" t="s">
        <v>375</v>
      </c>
    </row>
    <row r="34" spans="1:32">
      <c r="A34" s="19"/>
      <c r="B34" s="11" t="s">
        <v>588</v>
      </c>
      <c r="C34" s="12">
        <v>2854</v>
      </c>
      <c r="D34" s="12">
        <v>93</v>
      </c>
      <c r="E34" s="12">
        <v>190</v>
      </c>
      <c r="F34" s="12">
        <v>240</v>
      </c>
      <c r="G34" s="12">
        <v>221</v>
      </c>
      <c r="H34" s="12">
        <v>264</v>
      </c>
      <c r="I34" s="12">
        <v>293</v>
      </c>
      <c r="J34" s="12">
        <v>29</v>
      </c>
      <c r="K34" s="12">
        <v>208</v>
      </c>
      <c r="L34" s="12">
        <v>96</v>
      </c>
      <c r="M34" s="12">
        <v>43</v>
      </c>
      <c r="N34" s="12">
        <v>43</v>
      </c>
      <c r="O34" s="12">
        <v>81</v>
      </c>
      <c r="P34" s="12">
        <v>106</v>
      </c>
      <c r="Q34" s="12">
        <v>74</v>
      </c>
      <c r="R34" s="12">
        <v>23</v>
      </c>
      <c r="S34" s="12">
        <v>149</v>
      </c>
      <c r="T34" s="12">
        <v>137</v>
      </c>
      <c r="U34" s="12">
        <v>37</v>
      </c>
      <c r="V34" s="12">
        <v>101</v>
      </c>
      <c r="W34" s="12">
        <v>41</v>
      </c>
      <c r="X34" s="12">
        <v>77</v>
      </c>
      <c r="Y34" s="12">
        <v>104</v>
      </c>
      <c r="Z34" s="12">
        <v>65</v>
      </c>
      <c r="AA34" s="12">
        <v>166</v>
      </c>
      <c r="AB34" s="12">
        <v>94</v>
      </c>
      <c r="AC34" s="12">
        <v>180</v>
      </c>
      <c r="AD34" s="12">
        <v>136</v>
      </c>
      <c r="AE34" s="12">
        <v>126</v>
      </c>
      <c r="AF34" s="12">
        <v>130</v>
      </c>
    </row>
    <row r="35" spans="1:32">
      <c r="A35" s="19"/>
      <c r="B35" s="13" t="s">
        <v>589</v>
      </c>
      <c r="C35" s="14">
        <v>0.11</v>
      </c>
      <c r="D35" s="14">
        <v>0.09</v>
      </c>
      <c r="E35" s="14">
        <v>0.18</v>
      </c>
      <c r="F35" s="14">
        <v>0.22</v>
      </c>
      <c r="G35" s="14">
        <v>0.22</v>
      </c>
      <c r="H35" s="14">
        <v>0.21</v>
      </c>
      <c r="I35" s="14">
        <v>0.2</v>
      </c>
      <c r="J35" s="14">
        <v>0.1</v>
      </c>
      <c r="K35" s="14">
        <v>0.21</v>
      </c>
      <c r="L35" s="14">
        <v>0.09</v>
      </c>
      <c r="M35" s="14">
        <v>0.05</v>
      </c>
      <c r="N35" s="14">
        <v>0.04</v>
      </c>
      <c r="O35" s="14">
        <v>0.08</v>
      </c>
      <c r="P35" s="14">
        <v>0.11</v>
      </c>
      <c r="Q35" s="14">
        <v>0.08</v>
      </c>
      <c r="R35" s="14">
        <v>0.04</v>
      </c>
      <c r="S35" s="14">
        <v>0.15</v>
      </c>
      <c r="T35" s="14">
        <v>0.14000000000000001</v>
      </c>
      <c r="U35" s="14">
        <v>7.0000000000000007E-2</v>
      </c>
      <c r="V35" s="14">
        <v>0.09</v>
      </c>
      <c r="W35" s="14">
        <v>0.08</v>
      </c>
      <c r="X35" s="14">
        <v>0.08</v>
      </c>
      <c r="Y35" s="14">
        <v>0.1</v>
      </c>
      <c r="Z35" s="14">
        <v>0.06</v>
      </c>
      <c r="AA35" s="14">
        <v>0.16</v>
      </c>
      <c r="AB35" s="14">
        <v>0.09</v>
      </c>
      <c r="AC35" s="14">
        <v>0.18</v>
      </c>
      <c r="AD35" s="14">
        <v>0.14000000000000001</v>
      </c>
      <c r="AE35" s="14">
        <v>0.14000000000000001</v>
      </c>
      <c r="AF35" s="14">
        <v>0.13</v>
      </c>
    </row>
    <row r="36" spans="1:32">
      <c r="A36" s="19"/>
      <c r="B36" s="11" t="s">
        <v>590</v>
      </c>
      <c r="C36" s="12">
        <v>5006</v>
      </c>
      <c r="D36" s="12">
        <v>225</v>
      </c>
      <c r="E36" s="12">
        <v>261</v>
      </c>
      <c r="F36" s="12">
        <v>337</v>
      </c>
      <c r="G36" s="12">
        <v>222</v>
      </c>
      <c r="H36" s="12">
        <v>266</v>
      </c>
      <c r="I36" s="12">
        <v>356</v>
      </c>
      <c r="J36" s="12">
        <v>90</v>
      </c>
      <c r="K36" s="12">
        <v>277</v>
      </c>
      <c r="L36" s="12">
        <v>138</v>
      </c>
      <c r="M36" s="12">
        <v>174</v>
      </c>
      <c r="N36" s="12">
        <v>101</v>
      </c>
      <c r="O36" s="12">
        <v>203</v>
      </c>
      <c r="P36" s="12">
        <v>217</v>
      </c>
      <c r="Q36" s="12">
        <v>118</v>
      </c>
      <c r="R36" s="12">
        <v>65</v>
      </c>
      <c r="S36" s="12">
        <v>207</v>
      </c>
      <c r="T36" s="12">
        <v>265</v>
      </c>
      <c r="U36" s="12">
        <v>76</v>
      </c>
      <c r="V36" s="12">
        <v>291</v>
      </c>
      <c r="W36" s="12">
        <v>71</v>
      </c>
      <c r="X36" s="12">
        <v>194</v>
      </c>
      <c r="Y36" s="12">
        <v>233</v>
      </c>
      <c r="Z36" s="12">
        <v>217</v>
      </c>
      <c r="AA36" s="12">
        <v>142</v>
      </c>
      <c r="AB36" s="12">
        <v>200</v>
      </c>
      <c r="AC36" s="12">
        <v>194</v>
      </c>
      <c r="AD36" s="12">
        <v>240</v>
      </c>
      <c r="AE36" s="12">
        <v>193</v>
      </c>
      <c r="AF36" s="12">
        <v>212</v>
      </c>
    </row>
    <row r="37" spans="1:32">
      <c r="A37" s="19"/>
      <c r="B37" s="13" t="s">
        <v>591</v>
      </c>
      <c r="C37" s="14">
        <v>0.19</v>
      </c>
      <c r="D37" s="14">
        <v>0.23</v>
      </c>
      <c r="E37" s="14">
        <v>0.25</v>
      </c>
      <c r="F37" s="14">
        <v>0.32</v>
      </c>
      <c r="G37" s="14">
        <v>0.21</v>
      </c>
      <c r="H37" s="14">
        <v>0.22</v>
      </c>
      <c r="I37" s="14">
        <v>0.23</v>
      </c>
      <c r="J37" s="14">
        <v>0.3</v>
      </c>
      <c r="K37" s="14">
        <v>0.27</v>
      </c>
      <c r="L37" s="14">
        <v>0.14000000000000001</v>
      </c>
      <c r="M37" s="14">
        <v>0.17</v>
      </c>
      <c r="N37" s="14">
        <v>0.1</v>
      </c>
      <c r="O37" s="14">
        <v>0.2</v>
      </c>
      <c r="P37" s="14">
        <v>0.21</v>
      </c>
      <c r="Q37" s="14">
        <v>0.11</v>
      </c>
      <c r="R37" s="14">
        <v>0.13</v>
      </c>
      <c r="S37" s="14">
        <v>0.2</v>
      </c>
      <c r="T37" s="14">
        <v>0.26</v>
      </c>
      <c r="U37" s="14">
        <v>0.15</v>
      </c>
      <c r="V37" s="14">
        <v>0.28000000000000003</v>
      </c>
      <c r="W37" s="14">
        <v>0.14000000000000001</v>
      </c>
      <c r="X37" s="14">
        <v>0.19</v>
      </c>
      <c r="Y37" s="14">
        <v>0.23</v>
      </c>
      <c r="Z37" s="14">
        <v>0.21</v>
      </c>
      <c r="AA37" s="14">
        <v>0.14000000000000001</v>
      </c>
      <c r="AB37" s="14">
        <v>0.2</v>
      </c>
      <c r="AC37" s="14">
        <v>0.19</v>
      </c>
      <c r="AD37" s="14">
        <v>0.24</v>
      </c>
      <c r="AE37" s="14">
        <v>0.19</v>
      </c>
      <c r="AF37" s="14">
        <v>0.21</v>
      </c>
    </row>
    <row r="38" spans="1:32">
      <c r="A38" s="19"/>
      <c r="B38" s="11" t="s">
        <v>592</v>
      </c>
      <c r="C38" s="12">
        <v>18332</v>
      </c>
      <c r="D38" s="12">
        <v>702</v>
      </c>
      <c r="E38" s="12">
        <v>589</v>
      </c>
      <c r="F38" s="12">
        <v>482</v>
      </c>
      <c r="G38" s="12">
        <v>557</v>
      </c>
      <c r="H38" s="12">
        <v>688</v>
      </c>
      <c r="I38" s="12">
        <v>865</v>
      </c>
      <c r="J38" s="12">
        <v>176</v>
      </c>
      <c r="K38" s="12">
        <v>513</v>
      </c>
      <c r="L38" s="12">
        <v>763</v>
      </c>
      <c r="M38" s="12">
        <v>783</v>
      </c>
      <c r="N38" s="12">
        <v>863</v>
      </c>
      <c r="O38" s="12">
        <v>712</v>
      </c>
      <c r="P38" s="12">
        <v>666</v>
      </c>
      <c r="Q38" s="12">
        <v>828</v>
      </c>
      <c r="R38" s="12">
        <v>410</v>
      </c>
      <c r="S38" s="12">
        <v>635</v>
      </c>
      <c r="T38" s="12">
        <v>606</v>
      </c>
      <c r="U38" s="12">
        <v>393</v>
      </c>
      <c r="V38" s="12">
        <v>628</v>
      </c>
      <c r="W38" s="12">
        <v>388</v>
      </c>
      <c r="X38" s="12">
        <v>721</v>
      </c>
      <c r="Y38" s="12">
        <v>646</v>
      </c>
      <c r="Z38" s="12">
        <v>727</v>
      </c>
      <c r="AA38" s="12">
        <v>694</v>
      </c>
      <c r="AB38" s="12">
        <v>714</v>
      </c>
      <c r="AC38" s="12">
        <v>629</v>
      </c>
      <c r="AD38" s="12">
        <v>625</v>
      </c>
      <c r="AE38" s="12">
        <v>675</v>
      </c>
      <c r="AF38" s="12">
        <v>686</v>
      </c>
    </row>
    <row r="39" spans="1:32">
      <c r="A39" s="19"/>
      <c r="B39" s="13" t="s">
        <v>593</v>
      </c>
      <c r="C39" s="14">
        <v>0.69000000000000006</v>
      </c>
      <c r="D39" s="14">
        <v>0.68</v>
      </c>
      <c r="E39" s="14">
        <v>0.56000000000000005</v>
      </c>
      <c r="F39" s="14">
        <v>0.45</v>
      </c>
      <c r="G39" s="14">
        <v>0.55000000000000004</v>
      </c>
      <c r="H39" s="14">
        <v>0.56000000000000005</v>
      </c>
      <c r="I39" s="14">
        <v>0.56000000000000005</v>
      </c>
      <c r="J39" s="14">
        <v>0.59</v>
      </c>
      <c r="K39" s="14">
        <v>0.51</v>
      </c>
      <c r="L39" s="14">
        <v>0.76</v>
      </c>
      <c r="M39" s="14">
        <v>0.77</v>
      </c>
      <c r="N39" s="14">
        <v>0.85</v>
      </c>
      <c r="O39" s="14">
        <v>0.71</v>
      </c>
      <c r="P39" s="14">
        <v>0.67</v>
      </c>
      <c r="Q39" s="14">
        <v>0.8</v>
      </c>
      <c r="R39" s="14">
        <v>0.82000000000000006</v>
      </c>
      <c r="S39" s="14">
        <v>0.64</v>
      </c>
      <c r="T39" s="14">
        <v>0.59</v>
      </c>
      <c r="U39" s="14">
        <v>0.77</v>
      </c>
      <c r="V39" s="14">
        <v>0.62</v>
      </c>
      <c r="W39" s="14">
        <v>0.78</v>
      </c>
      <c r="X39" s="14">
        <v>0.71</v>
      </c>
      <c r="Y39" s="14">
        <v>0.65</v>
      </c>
      <c r="Z39" s="14">
        <v>0.72</v>
      </c>
      <c r="AA39" s="14">
        <v>0.67</v>
      </c>
      <c r="AB39" s="14">
        <v>0.68</v>
      </c>
      <c r="AC39" s="14">
        <v>0.63</v>
      </c>
      <c r="AD39" s="14">
        <v>0.62</v>
      </c>
      <c r="AE39" s="14">
        <v>0.67</v>
      </c>
      <c r="AF39" s="14">
        <v>0.66</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634</v>
      </c>
      <c r="C3" s="17"/>
      <c r="D3" s="17"/>
      <c r="E3" s="17"/>
      <c r="F3" s="17"/>
      <c r="H3" s="17" t="s">
        <v>635</v>
      </c>
      <c r="I3" s="17"/>
      <c r="J3" s="17"/>
      <c r="K3" s="17"/>
      <c r="L3" s="17"/>
    </row>
    <row r="4" spans="1:32" ht="27" customHeight="1">
      <c r="B4" s="17" t="s">
        <v>636</v>
      </c>
      <c r="C4" s="17"/>
      <c r="D4" s="17"/>
      <c r="E4" s="17"/>
      <c r="F4" s="17"/>
      <c r="H4" s="17" t="s">
        <v>637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HYPERLINK("#Content!A40","&lt;&lt;Back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845</v>
      </c>
      <c r="D12" s="12">
        <v>38</v>
      </c>
      <c r="E12" s="12">
        <v>70</v>
      </c>
      <c r="F12" s="12">
        <v>54</v>
      </c>
      <c r="G12" s="12">
        <v>136</v>
      </c>
      <c r="H12" s="12">
        <v>33</v>
      </c>
      <c r="I12" s="12">
        <v>41</v>
      </c>
      <c r="J12" s="12">
        <v>8</v>
      </c>
      <c r="K12" s="12">
        <v>102</v>
      </c>
      <c r="L12" s="12">
        <v>56</v>
      </c>
      <c r="M12" s="12">
        <v>26</v>
      </c>
      <c r="N12" s="12">
        <v>16</v>
      </c>
      <c r="O12" s="12">
        <v>43</v>
      </c>
      <c r="P12" s="12">
        <v>22</v>
      </c>
      <c r="Q12" s="12">
        <v>23</v>
      </c>
      <c r="R12" s="12">
        <v>9</v>
      </c>
      <c r="S12" s="12">
        <v>59</v>
      </c>
      <c r="T12" s="12">
        <v>65</v>
      </c>
      <c r="U12" s="12">
        <v>31</v>
      </c>
      <c r="V12" s="12">
        <v>17</v>
      </c>
      <c r="W12" s="12">
        <v>16</v>
      </c>
      <c r="X12" s="12">
        <v>24</v>
      </c>
      <c r="Y12" s="12">
        <v>47</v>
      </c>
      <c r="Z12" s="12">
        <v>7</v>
      </c>
      <c r="AA12" s="12">
        <v>53</v>
      </c>
      <c r="AB12" s="12">
        <v>42</v>
      </c>
      <c r="AC12" s="12">
        <v>56</v>
      </c>
      <c r="AD12" s="12">
        <v>39</v>
      </c>
      <c r="AE12" s="12">
        <v>38</v>
      </c>
      <c r="AF12" s="12">
        <v>63</v>
      </c>
    </row>
    <row r="13" spans="1:32">
      <c r="A13" s="19"/>
      <c r="B13" s="13" t="s">
        <v>577</v>
      </c>
      <c r="C13" s="14">
        <v>0.03</v>
      </c>
      <c r="D13" s="14">
        <v>0.04</v>
      </c>
      <c r="E13" s="14">
        <v>7.0000000000000007E-2</v>
      </c>
      <c r="F13" s="14">
        <v>0.05</v>
      </c>
      <c r="G13" s="14">
        <v>0.13</v>
      </c>
      <c r="H13" s="14">
        <v>0.03</v>
      </c>
      <c r="I13" s="14">
        <v>0.03</v>
      </c>
      <c r="J13" s="14">
        <v>0.03</v>
      </c>
      <c r="K13" s="14">
        <v>0.1</v>
      </c>
      <c r="L13" s="14">
        <v>0.06</v>
      </c>
      <c r="M13" s="14">
        <v>0.03</v>
      </c>
      <c r="N13" s="14">
        <v>0.02</v>
      </c>
      <c r="O13" s="14">
        <v>0.04</v>
      </c>
      <c r="P13" s="14">
        <v>0.02</v>
      </c>
      <c r="Q13" s="14">
        <v>0.02</v>
      </c>
      <c r="R13" s="14">
        <v>0.02</v>
      </c>
      <c r="S13" s="14">
        <v>0.06</v>
      </c>
      <c r="T13" s="14">
        <v>0.06</v>
      </c>
      <c r="U13" s="14">
        <v>0.06</v>
      </c>
      <c r="V13" s="14">
        <v>0.02</v>
      </c>
      <c r="W13" s="14">
        <v>0.03</v>
      </c>
      <c r="X13" s="14">
        <v>0.02</v>
      </c>
      <c r="Y13" s="14">
        <v>0.05</v>
      </c>
      <c r="Z13" s="14">
        <v>0.01</v>
      </c>
      <c r="AA13" s="14">
        <v>0.05</v>
      </c>
      <c r="AB13" s="14">
        <v>0.04</v>
      </c>
      <c r="AC13" s="14">
        <v>0.05</v>
      </c>
      <c r="AD13" s="14">
        <v>0.04</v>
      </c>
      <c r="AE13" s="14">
        <v>0.04</v>
      </c>
      <c r="AF13" s="14">
        <v>0.06</v>
      </c>
    </row>
    <row r="14" spans="1:32">
      <c r="A14" s="19"/>
      <c r="B14" s="11" t="s">
        <v>578</v>
      </c>
      <c r="C14" s="12">
        <v>1005</v>
      </c>
      <c r="D14" s="12">
        <v>27</v>
      </c>
      <c r="E14" s="12">
        <v>29</v>
      </c>
      <c r="F14" s="12">
        <v>46</v>
      </c>
      <c r="G14" s="12">
        <v>118</v>
      </c>
      <c r="H14" s="12">
        <v>119</v>
      </c>
      <c r="I14" s="12">
        <v>133</v>
      </c>
      <c r="J14" s="12">
        <v>14</v>
      </c>
      <c r="K14" s="12">
        <v>75</v>
      </c>
      <c r="L14" s="12">
        <v>17</v>
      </c>
      <c r="M14" s="12">
        <v>15</v>
      </c>
      <c r="N14" s="12">
        <v>14</v>
      </c>
      <c r="O14" s="12">
        <v>26</v>
      </c>
      <c r="P14" s="12">
        <v>17</v>
      </c>
      <c r="Q14" s="12">
        <v>10</v>
      </c>
      <c r="R14" s="12">
        <v>7</v>
      </c>
      <c r="S14" s="12">
        <v>32</v>
      </c>
      <c r="T14" s="12">
        <v>48</v>
      </c>
      <c r="U14" s="12">
        <v>21</v>
      </c>
      <c r="V14" s="12">
        <v>22</v>
      </c>
      <c r="W14" s="12">
        <v>10</v>
      </c>
      <c r="X14" s="12">
        <v>50</v>
      </c>
      <c r="Y14" s="12">
        <v>37</v>
      </c>
      <c r="Z14" s="12">
        <v>6</v>
      </c>
      <c r="AA14" s="12">
        <v>85</v>
      </c>
      <c r="AB14" s="12">
        <v>14</v>
      </c>
      <c r="AC14" s="12">
        <v>45</v>
      </c>
      <c r="AD14" s="12">
        <v>21</v>
      </c>
      <c r="AE14" s="12">
        <v>91</v>
      </c>
      <c r="AF14" s="12">
        <v>93</v>
      </c>
    </row>
    <row r="15" spans="1:32">
      <c r="A15" s="19"/>
      <c r="B15" s="13" t="s">
        <v>578</v>
      </c>
      <c r="C15" s="14">
        <v>0.04</v>
      </c>
      <c r="D15" s="14">
        <v>0.03</v>
      </c>
      <c r="E15" s="14">
        <v>0.03</v>
      </c>
      <c r="F15" s="14">
        <v>0.04</v>
      </c>
      <c r="G15" s="14">
        <v>0.11</v>
      </c>
      <c r="H15" s="14">
        <v>0.1</v>
      </c>
      <c r="I15" s="14">
        <v>0.09</v>
      </c>
      <c r="J15" s="14">
        <v>0.05</v>
      </c>
      <c r="K15" s="14">
        <v>0.08</v>
      </c>
      <c r="L15" s="14">
        <v>0.02</v>
      </c>
      <c r="M15" s="14">
        <v>0.01</v>
      </c>
      <c r="N15" s="14">
        <v>0.01</v>
      </c>
      <c r="O15" s="14">
        <v>0.03</v>
      </c>
      <c r="P15" s="14">
        <v>0.02</v>
      </c>
      <c r="Q15" s="14">
        <v>0.01</v>
      </c>
      <c r="R15" s="14">
        <v>0.01</v>
      </c>
      <c r="S15" s="14">
        <v>0.03</v>
      </c>
      <c r="T15" s="14">
        <v>0.05</v>
      </c>
      <c r="U15" s="14">
        <v>0.04</v>
      </c>
      <c r="V15" s="14">
        <v>0.02</v>
      </c>
      <c r="W15" s="14">
        <v>0.02</v>
      </c>
      <c r="X15" s="14">
        <v>0.05</v>
      </c>
      <c r="Y15" s="14">
        <v>0.04</v>
      </c>
      <c r="Z15" s="14">
        <v>0.01</v>
      </c>
      <c r="AA15" s="14">
        <v>0.08</v>
      </c>
      <c r="AB15" s="14">
        <v>0.01</v>
      </c>
      <c r="AC15" s="14">
        <v>0.04</v>
      </c>
      <c r="AD15" s="14">
        <v>0.02</v>
      </c>
      <c r="AE15" s="14">
        <v>0.09</v>
      </c>
      <c r="AF15" s="14">
        <v>0.09</v>
      </c>
    </row>
    <row r="16" spans="1:32">
      <c r="A16" s="19"/>
      <c r="B16" s="11" t="s">
        <v>579</v>
      </c>
      <c r="C16" s="12">
        <v>1298</v>
      </c>
      <c r="D16" s="12">
        <v>55</v>
      </c>
      <c r="E16" s="12">
        <v>59</v>
      </c>
      <c r="F16" s="12">
        <v>95</v>
      </c>
      <c r="G16" s="12">
        <v>150</v>
      </c>
      <c r="H16" s="12">
        <v>94</v>
      </c>
      <c r="I16" s="12">
        <v>111</v>
      </c>
      <c r="J16" s="12">
        <v>17</v>
      </c>
      <c r="K16" s="12">
        <v>94</v>
      </c>
      <c r="L16" s="12">
        <v>51</v>
      </c>
      <c r="M16" s="12">
        <v>27</v>
      </c>
      <c r="N16" s="12">
        <v>12</v>
      </c>
      <c r="O16" s="12">
        <v>34</v>
      </c>
      <c r="P16" s="12">
        <v>42</v>
      </c>
      <c r="Q16" s="12">
        <v>18</v>
      </c>
      <c r="R16" s="12">
        <v>9</v>
      </c>
      <c r="S16" s="12">
        <v>52</v>
      </c>
      <c r="T16" s="12">
        <v>71</v>
      </c>
      <c r="U16" s="12">
        <v>44</v>
      </c>
      <c r="V16" s="12">
        <v>55</v>
      </c>
      <c r="W16" s="12">
        <v>30</v>
      </c>
      <c r="X16" s="12">
        <v>109</v>
      </c>
      <c r="Y16" s="12">
        <v>62</v>
      </c>
      <c r="Z16" s="12">
        <v>33</v>
      </c>
      <c r="AA16" s="12">
        <v>59</v>
      </c>
      <c r="AB16" s="12">
        <v>26</v>
      </c>
      <c r="AC16" s="12">
        <v>81</v>
      </c>
      <c r="AD16" s="12">
        <v>76</v>
      </c>
      <c r="AE16" s="12">
        <v>134</v>
      </c>
      <c r="AF16" s="12">
        <v>131</v>
      </c>
    </row>
    <row r="17" spans="1:32">
      <c r="A17" s="19"/>
      <c r="B17" s="13" t="s">
        <v>579</v>
      </c>
      <c r="C17" s="14">
        <v>0.05</v>
      </c>
      <c r="D17" s="14">
        <v>0.06</v>
      </c>
      <c r="E17" s="14">
        <v>0.06</v>
      </c>
      <c r="F17" s="14">
        <v>0.09</v>
      </c>
      <c r="G17" s="14">
        <v>0.15</v>
      </c>
      <c r="H17" s="14">
        <v>7.0000000000000007E-2</v>
      </c>
      <c r="I17" s="14">
        <v>7.0000000000000007E-2</v>
      </c>
      <c r="J17" s="14">
        <v>0.06</v>
      </c>
      <c r="K17" s="14">
        <v>0.09</v>
      </c>
      <c r="L17" s="14">
        <v>0.05</v>
      </c>
      <c r="M17" s="14">
        <v>0.03</v>
      </c>
      <c r="N17" s="14">
        <v>0.01</v>
      </c>
      <c r="O17" s="14">
        <v>0.03</v>
      </c>
      <c r="P17" s="14">
        <v>0.04</v>
      </c>
      <c r="Q17" s="14">
        <v>0.02</v>
      </c>
      <c r="R17" s="14">
        <v>0.02</v>
      </c>
      <c r="S17" s="14">
        <v>0.05</v>
      </c>
      <c r="T17" s="14">
        <v>7.0000000000000007E-2</v>
      </c>
      <c r="U17" s="14">
        <v>0.08</v>
      </c>
      <c r="V17" s="14">
        <v>0.05</v>
      </c>
      <c r="W17" s="14">
        <v>0.06</v>
      </c>
      <c r="X17" s="14">
        <v>0.11</v>
      </c>
      <c r="Y17" s="14">
        <v>0.06</v>
      </c>
      <c r="Z17" s="14">
        <v>0.03</v>
      </c>
      <c r="AA17" s="14">
        <v>0.06</v>
      </c>
      <c r="AB17" s="14">
        <v>0.03</v>
      </c>
      <c r="AC17" s="14">
        <v>0.08</v>
      </c>
      <c r="AD17" s="14">
        <v>7.0000000000000007E-2</v>
      </c>
      <c r="AE17" s="14">
        <v>0.14000000000000001</v>
      </c>
      <c r="AF17" s="14">
        <v>0.13</v>
      </c>
    </row>
    <row r="18" spans="1:32">
      <c r="A18" s="19"/>
      <c r="B18" s="11" t="s">
        <v>580</v>
      </c>
      <c r="C18" s="12">
        <v>1679</v>
      </c>
      <c r="D18" s="12">
        <v>82</v>
      </c>
      <c r="E18" s="12">
        <v>87</v>
      </c>
      <c r="F18" s="12">
        <v>121</v>
      </c>
      <c r="G18" s="12">
        <v>104</v>
      </c>
      <c r="H18" s="12">
        <v>129</v>
      </c>
      <c r="I18" s="12">
        <v>147</v>
      </c>
      <c r="J18" s="12">
        <v>18</v>
      </c>
      <c r="K18" s="12">
        <v>98</v>
      </c>
      <c r="L18" s="12">
        <v>63</v>
      </c>
      <c r="M18" s="12">
        <v>40</v>
      </c>
      <c r="N18" s="12">
        <v>32</v>
      </c>
      <c r="O18" s="12">
        <v>51</v>
      </c>
      <c r="P18" s="12">
        <v>58</v>
      </c>
      <c r="Q18" s="12">
        <v>32</v>
      </c>
      <c r="R18" s="12">
        <v>16</v>
      </c>
      <c r="S18" s="12">
        <v>73</v>
      </c>
      <c r="T18" s="12">
        <v>75</v>
      </c>
      <c r="U18" s="12">
        <v>52</v>
      </c>
      <c r="V18" s="12">
        <v>78</v>
      </c>
      <c r="W18" s="12">
        <v>24</v>
      </c>
      <c r="X18" s="12">
        <v>118</v>
      </c>
      <c r="Y18" s="12">
        <v>97</v>
      </c>
      <c r="Z18" s="12">
        <v>49</v>
      </c>
      <c r="AA18" s="12">
        <v>30</v>
      </c>
      <c r="AB18" s="12">
        <v>34</v>
      </c>
      <c r="AC18" s="12">
        <v>69</v>
      </c>
      <c r="AD18" s="12">
        <v>65</v>
      </c>
      <c r="AE18" s="12">
        <v>113</v>
      </c>
      <c r="AF18" s="12">
        <v>121</v>
      </c>
    </row>
    <row r="19" spans="1:32">
      <c r="A19" s="19"/>
      <c r="B19" s="13" t="s">
        <v>580</v>
      </c>
      <c r="C19" s="14">
        <v>0.06</v>
      </c>
      <c r="D19" s="14">
        <v>0.08</v>
      </c>
      <c r="E19" s="14">
        <v>0.08</v>
      </c>
      <c r="F19" s="14">
        <v>0.11</v>
      </c>
      <c r="G19" s="14">
        <v>0.1</v>
      </c>
      <c r="H19" s="14">
        <v>0.1</v>
      </c>
      <c r="I19" s="14">
        <v>0.1</v>
      </c>
      <c r="J19" s="14">
        <v>0.06</v>
      </c>
      <c r="K19" s="14">
        <v>0.1</v>
      </c>
      <c r="L19" s="14">
        <v>0.06</v>
      </c>
      <c r="M19" s="14">
        <v>0.04</v>
      </c>
      <c r="N19" s="14">
        <v>0.03</v>
      </c>
      <c r="O19" s="14">
        <v>0.05</v>
      </c>
      <c r="P19" s="14">
        <v>0.06</v>
      </c>
      <c r="Q19" s="14">
        <v>0.03</v>
      </c>
      <c r="R19" s="14">
        <v>0.03</v>
      </c>
      <c r="S19" s="14">
        <v>7.0000000000000007E-2</v>
      </c>
      <c r="T19" s="14">
        <v>7.0000000000000007E-2</v>
      </c>
      <c r="U19" s="14">
        <v>0.1</v>
      </c>
      <c r="V19" s="14">
        <v>0.08</v>
      </c>
      <c r="W19" s="14">
        <v>0.05</v>
      </c>
      <c r="X19" s="14">
        <v>0.12</v>
      </c>
      <c r="Y19" s="14">
        <v>0.1</v>
      </c>
      <c r="Z19" s="14">
        <v>0.05</v>
      </c>
      <c r="AA19" s="14">
        <v>0.03</v>
      </c>
      <c r="AB19" s="14">
        <v>0.03</v>
      </c>
      <c r="AC19" s="14">
        <v>7.0000000000000007E-2</v>
      </c>
      <c r="AD19" s="14">
        <v>0.06</v>
      </c>
      <c r="AE19" s="14">
        <v>0.11</v>
      </c>
      <c r="AF19" s="14">
        <v>0.12</v>
      </c>
    </row>
    <row r="20" spans="1:32">
      <c r="A20" s="19"/>
      <c r="B20" s="11" t="s">
        <v>581</v>
      </c>
      <c r="C20" s="12">
        <v>3331</v>
      </c>
      <c r="D20" s="12">
        <v>187</v>
      </c>
      <c r="E20" s="12">
        <v>139</v>
      </c>
      <c r="F20" s="12">
        <v>188</v>
      </c>
      <c r="G20" s="12">
        <v>159</v>
      </c>
      <c r="H20" s="12">
        <v>193</v>
      </c>
      <c r="I20" s="12">
        <v>236</v>
      </c>
      <c r="J20" s="12">
        <v>43</v>
      </c>
      <c r="K20" s="12">
        <v>152</v>
      </c>
      <c r="L20" s="12">
        <v>110</v>
      </c>
      <c r="M20" s="12">
        <v>77</v>
      </c>
      <c r="N20" s="12">
        <v>85</v>
      </c>
      <c r="O20" s="12">
        <v>170</v>
      </c>
      <c r="P20" s="12">
        <v>109</v>
      </c>
      <c r="Q20" s="12">
        <v>65</v>
      </c>
      <c r="R20" s="12">
        <v>66</v>
      </c>
      <c r="S20" s="12">
        <v>199</v>
      </c>
      <c r="T20" s="12">
        <v>219</v>
      </c>
      <c r="U20" s="12">
        <v>100</v>
      </c>
      <c r="V20" s="12">
        <v>136</v>
      </c>
      <c r="W20" s="12">
        <v>53</v>
      </c>
      <c r="X20" s="12">
        <v>161</v>
      </c>
      <c r="Y20" s="12">
        <v>114</v>
      </c>
      <c r="Z20" s="12">
        <v>89</v>
      </c>
      <c r="AA20" s="12">
        <v>128</v>
      </c>
      <c r="AB20" s="12">
        <v>101</v>
      </c>
      <c r="AC20" s="12">
        <v>157</v>
      </c>
      <c r="AD20" s="12">
        <v>154</v>
      </c>
      <c r="AE20" s="12">
        <v>163</v>
      </c>
      <c r="AF20" s="12">
        <v>170</v>
      </c>
    </row>
    <row r="21" spans="1:32">
      <c r="A21" s="19"/>
      <c r="B21" s="13" t="s">
        <v>581</v>
      </c>
      <c r="C21" s="14">
        <v>0.12</v>
      </c>
      <c r="D21" s="14">
        <v>0.18</v>
      </c>
      <c r="E21" s="14">
        <v>0.13</v>
      </c>
      <c r="F21" s="14">
        <v>0.18</v>
      </c>
      <c r="G21" s="14">
        <v>0.16</v>
      </c>
      <c r="H21" s="14">
        <v>0.16</v>
      </c>
      <c r="I21" s="14">
        <v>0.15</v>
      </c>
      <c r="J21" s="14">
        <v>0.15</v>
      </c>
      <c r="K21" s="14">
        <v>0.15</v>
      </c>
      <c r="L21" s="14">
        <v>0.11</v>
      </c>
      <c r="M21" s="14">
        <v>0.08</v>
      </c>
      <c r="N21" s="14">
        <v>0.08</v>
      </c>
      <c r="O21" s="14">
        <v>0.17</v>
      </c>
      <c r="P21" s="14">
        <v>0.11</v>
      </c>
      <c r="Q21" s="14">
        <v>0.06</v>
      </c>
      <c r="R21" s="14">
        <v>0.13</v>
      </c>
      <c r="S21" s="14">
        <v>0.2</v>
      </c>
      <c r="T21" s="14">
        <v>0.21</v>
      </c>
      <c r="U21" s="14">
        <v>0.2</v>
      </c>
      <c r="V21" s="14">
        <v>0.13</v>
      </c>
      <c r="W21" s="14">
        <v>0.11</v>
      </c>
      <c r="X21" s="14">
        <v>0.16</v>
      </c>
      <c r="Y21" s="14">
        <v>0.11</v>
      </c>
      <c r="Z21" s="14">
        <v>0.09</v>
      </c>
      <c r="AA21" s="14">
        <v>0.12</v>
      </c>
      <c r="AB21" s="14">
        <v>0.1</v>
      </c>
      <c r="AC21" s="14">
        <v>0.16</v>
      </c>
      <c r="AD21" s="14">
        <v>0.15</v>
      </c>
      <c r="AE21" s="14">
        <v>0.16</v>
      </c>
      <c r="AF21" s="14">
        <v>0.16</v>
      </c>
    </row>
    <row r="22" spans="1:32">
      <c r="A22" s="19"/>
      <c r="B22" s="11" t="s">
        <v>582</v>
      </c>
      <c r="C22" s="12">
        <v>3344</v>
      </c>
      <c r="D22" s="12">
        <v>143</v>
      </c>
      <c r="E22" s="12">
        <v>131</v>
      </c>
      <c r="F22" s="12">
        <v>155</v>
      </c>
      <c r="G22" s="12">
        <v>89</v>
      </c>
      <c r="H22" s="12">
        <v>173</v>
      </c>
      <c r="I22" s="12">
        <v>214</v>
      </c>
      <c r="J22" s="12">
        <v>41</v>
      </c>
      <c r="K22" s="12">
        <v>124</v>
      </c>
      <c r="L22" s="12">
        <v>122</v>
      </c>
      <c r="M22" s="12">
        <v>96</v>
      </c>
      <c r="N22" s="12">
        <v>135</v>
      </c>
      <c r="O22" s="12">
        <v>127</v>
      </c>
      <c r="P22" s="12">
        <v>118</v>
      </c>
      <c r="Q22" s="12">
        <v>98</v>
      </c>
      <c r="R22" s="12">
        <v>57</v>
      </c>
      <c r="S22" s="12">
        <v>98</v>
      </c>
      <c r="T22" s="12">
        <v>120</v>
      </c>
      <c r="U22" s="12">
        <v>68</v>
      </c>
      <c r="V22" s="12">
        <v>159</v>
      </c>
      <c r="W22" s="12">
        <v>51</v>
      </c>
      <c r="X22" s="12">
        <v>145</v>
      </c>
      <c r="Y22" s="12">
        <v>137</v>
      </c>
      <c r="Z22" s="12">
        <v>135</v>
      </c>
      <c r="AA22" s="12">
        <v>90</v>
      </c>
      <c r="AB22" s="12">
        <v>148</v>
      </c>
      <c r="AC22" s="12">
        <v>120</v>
      </c>
      <c r="AD22" s="12">
        <v>147</v>
      </c>
      <c r="AE22" s="12">
        <v>121</v>
      </c>
      <c r="AF22" s="12">
        <v>114</v>
      </c>
    </row>
    <row r="23" spans="1:32">
      <c r="A23" s="19"/>
      <c r="B23" s="13" t="s">
        <v>582</v>
      </c>
      <c r="C23" s="14">
        <v>0.13</v>
      </c>
      <c r="D23" s="14">
        <v>0.14000000000000001</v>
      </c>
      <c r="E23" s="14">
        <v>0.13</v>
      </c>
      <c r="F23" s="14">
        <v>0.15</v>
      </c>
      <c r="G23" s="14">
        <v>0.09</v>
      </c>
      <c r="H23" s="14">
        <v>0.14000000000000001</v>
      </c>
      <c r="I23" s="14">
        <v>0.14000000000000001</v>
      </c>
      <c r="J23" s="14">
        <v>0.14000000000000001</v>
      </c>
      <c r="K23" s="14">
        <v>0.12</v>
      </c>
      <c r="L23" s="14">
        <v>0.12</v>
      </c>
      <c r="M23" s="14">
        <v>0.09</v>
      </c>
      <c r="N23" s="14">
        <v>0.13</v>
      </c>
      <c r="O23" s="14">
        <v>0.13</v>
      </c>
      <c r="P23" s="14">
        <v>0.12</v>
      </c>
      <c r="Q23" s="14">
        <v>0.1</v>
      </c>
      <c r="R23" s="14">
        <v>0.11</v>
      </c>
      <c r="S23" s="14">
        <v>0.1</v>
      </c>
      <c r="T23" s="14">
        <v>0.12</v>
      </c>
      <c r="U23" s="14">
        <v>0.13</v>
      </c>
      <c r="V23" s="14">
        <v>0.16</v>
      </c>
      <c r="W23" s="14">
        <v>0.1</v>
      </c>
      <c r="X23" s="14">
        <v>0.14000000000000001</v>
      </c>
      <c r="Y23" s="14">
        <v>0.14000000000000001</v>
      </c>
      <c r="Z23" s="14">
        <v>0.13</v>
      </c>
      <c r="AA23" s="14">
        <v>0.09</v>
      </c>
      <c r="AB23" s="14">
        <v>0.14000000000000001</v>
      </c>
      <c r="AC23" s="14">
        <v>0.12</v>
      </c>
      <c r="AD23" s="14">
        <v>0.15</v>
      </c>
      <c r="AE23" s="14">
        <v>0.12</v>
      </c>
      <c r="AF23" s="14">
        <v>0.11</v>
      </c>
    </row>
    <row r="24" spans="1:32">
      <c r="A24" s="19"/>
      <c r="B24" s="11" t="s">
        <v>583</v>
      </c>
      <c r="C24" s="12">
        <v>4194</v>
      </c>
      <c r="D24" s="12">
        <v>177</v>
      </c>
      <c r="E24" s="12">
        <v>145</v>
      </c>
      <c r="F24" s="12">
        <v>146</v>
      </c>
      <c r="G24" s="12">
        <v>92</v>
      </c>
      <c r="H24" s="12">
        <v>165</v>
      </c>
      <c r="I24" s="12">
        <v>208</v>
      </c>
      <c r="J24" s="12">
        <v>43</v>
      </c>
      <c r="K24" s="12">
        <v>123</v>
      </c>
      <c r="L24" s="12">
        <v>162</v>
      </c>
      <c r="M24" s="12">
        <v>182</v>
      </c>
      <c r="N24" s="12">
        <v>149</v>
      </c>
      <c r="O24" s="12">
        <v>165</v>
      </c>
      <c r="P24" s="12">
        <v>173</v>
      </c>
      <c r="Q24" s="12">
        <v>188</v>
      </c>
      <c r="R24" s="12">
        <v>101</v>
      </c>
      <c r="S24" s="12">
        <v>125</v>
      </c>
      <c r="T24" s="12">
        <v>141</v>
      </c>
      <c r="U24" s="12">
        <v>64</v>
      </c>
      <c r="V24" s="12">
        <v>151</v>
      </c>
      <c r="W24" s="12">
        <v>74</v>
      </c>
      <c r="X24" s="12">
        <v>178</v>
      </c>
      <c r="Y24" s="12">
        <v>122</v>
      </c>
      <c r="Z24" s="12">
        <v>186</v>
      </c>
      <c r="AA24" s="12">
        <v>162</v>
      </c>
      <c r="AB24" s="12">
        <v>205</v>
      </c>
      <c r="AC24" s="12">
        <v>113</v>
      </c>
      <c r="AD24" s="12">
        <v>193</v>
      </c>
      <c r="AE24" s="12">
        <v>122</v>
      </c>
      <c r="AF24" s="12">
        <v>130</v>
      </c>
    </row>
    <row r="25" spans="1:32">
      <c r="A25" s="19"/>
      <c r="B25" s="13" t="s">
        <v>583</v>
      </c>
      <c r="C25" s="14">
        <v>0.16</v>
      </c>
      <c r="D25" s="14">
        <v>0.17</v>
      </c>
      <c r="E25" s="14">
        <v>0.14000000000000001</v>
      </c>
      <c r="F25" s="14">
        <v>0.14000000000000001</v>
      </c>
      <c r="G25" s="14">
        <v>0.09</v>
      </c>
      <c r="H25" s="14">
        <v>0.13</v>
      </c>
      <c r="I25" s="14">
        <v>0.14000000000000001</v>
      </c>
      <c r="J25" s="14">
        <v>0.14000000000000001</v>
      </c>
      <c r="K25" s="14">
        <v>0.12</v>
      </c>
      <c r="L25" s="14">
        <v>0.16</v>
      </c>
      <c r="M25" s="14">
        <v>0.18</v>
      </c>
      <c r="N25" s="14">
        <v>0.15</v>
      </c>
      <c r="O25" s="14">
        <v>0.16</v>
      </c>
      <c r="P25" s="14">
        <v>0.17</v>
      </c>
      <c r="Q25" s="14">
        <v>0.18</v>
      </c>
      <c r="R25" s="14">
        <v>0.2</v>
      </c>
      <c r="S25" s="14">
        <v>0.12</v>
      </c>
      <c r="T25" s="14">
        <v>0.14000000000000001</v>
      </c>
      <c r="U25" s="14">
        <v>0.13</v>
      </c>
      <c r="V25" s="14">
        <v>0.15</v>
      </c>
      <c r="W25" s="14">
        <v>0.15</v>
      </c>
      <c r="X25" s="14">
        <v>0.18</v>
      </c>
      <c r="Y25" s="14">
        <v>0.12</v>
      </c>
      <c r="Z25" s="14">
        <v>0.18</v>
      </c>
      <c r="AA25" s="14">
        <v>0.16</v>
      </c>
      <c r="AB25" s="14">
        <v>0.2</v>
      </c>
      <c r="AC25" s="14">
        <v>0.11</v>
      </c>
      <c r="AD25" s="14">
        <v>0.19</v>
      </c>
      <c r="AE25" s="14">
        <v>0.12</v>
      </c>
      <c r="AF25" s="14">
        <v>0.12</v>
      </c>
    </row>
    <row r="26" spans="1:32">
      <c r="A26" s="19"/>
      <c r="B26" s="11" t="s">
        <v>584</v>
      </c>
      <c r="C26" s="12">
        <v>4926</v>
      </c>
      <c r="D26" s="12">
        <v>177</v>
      </c>
      <c r="E26" s="12">
        <v>139</v>
      </c>
      <c r="F26" s="12">
        <v>102</v>
      </c>
      <c r="G26" s="12">
        <v>81</v>
      </c>
      <c r="H26" s="12">
        <v>136</v>
      </c>
      <c r="I26" s="12">
        <v>189</v>
      </c>
      <c r="J26" s="12">
        <v>53</v>
      </c>
      <c r="K26" s="12">
        <v>92</v>
      </c>
      <c r="L26" s="12">
        <v>184</v>
      </c>
      <c r="M26" s="12">
        <v>271</v>
      </c>
      <c r="N26" s="12">
        <v>231</v>
      </c>
      <c r="O26" s="12">
        <v>184</v>
      </c>
      <c r="P26" s="12">
        <v>187</v>
      </c>
      <c r="Q26" s="12">
        <v>291</v>
      </c>
      <c r="R26" s="12">
        <v>96</v>
      </c>
      <c r="S26" s="12">
        <v>139</v>
      </c>
      <c r="T26" s="12">
        <v>134</v>
      </c>
      <c r="U26" s="12">
        <v>50</v>
      </c>
      <c r="V26" s="12">
        <v>178</v>
      </c>
      <c r="W26" s="12">
        <v>88</v>
      </c>
      <c r="X26" s="12">
        <v>132</v>
      </c>
      <c r="Y26" s="12">
        <v>132</v>
      </c>
      <c r="Z26" s="12">
        <v>248</v>
      </c>
      <c r="AA26" s="12">
        <v>179</v>
      </c>
      <c r="AB26" s="12">
        <v>212</v>
      </c>
      <c r="AC26" s="12">
        <v>120</v>
      </c>
      <c r="AD26" s="12">
        <v>166</v>
      </c>
      <c r="AE26" s="12">
        <v>112</v>
      </c>
      <c r="AF26" s="12">
        <v>110</v>
      </c>
    </row>
    <row r="27" spans="1:32">
      <c r="A27" s="19"/>
      <c r="B27" s="13" t="s">
        <v>584</v>
      </c>
      <c r="C27" s="14">
        <v>0.19</v>
      </c>
      <c r="D27" s="14">
        <v>0.17</v>
      </c>
      <c r="E27" s="14">
        <v>0.13</v>
      </c>
      <c r="F27" s="14">
        <v>0.1</v>
      </c>
      <c r="G27" s="14">
        <v>0.08</v>
      </c>
      <c r="H27" s="14">
        <v>0.11</v>
      </c>
      <c r="I27" s="14">
        <v>0.12</v>
      </c>
      <c r="J27" s="14">
        <v>0.18</v>
      </c>
      <c r="K27" s="14">
        <v>0.09</v>
      </c>
      <c r="L27" s="14">
        <v>0.18</v>
      </c>
      <c r="M27" s="14">
        <v>0.27</v>
      </c>
      <c r="N27" s="14">
        <v>0.23</v>
      </c>
      <c r="O27" s="14">
        <v>0.18</v>
      </c>
      <c r="P27" s="14">
        <v>0.19</v>
      </c>
      <c r="Q27" s="14">
        <v>0.28000000000000003</v>
      </c>
      <c r="R27" s="14">
        <v>0.19</v>
      </c>
      <c r="S27" s="14">
        <v>0.14000000000000001</v>
      </c>
      <c r="T27" s="14">
        <v>0.13</v>
      </c>
      <c r="U27" s="14">
        <v>0.1</v>
      </c>
      <c r="V27" s="14">
        <v>0.17</v>
      </c>
      <c r="W27" s="14">
        <v>0.17</v>
      </c>
      <c r="X27" s="14">
        <v>0.13</v>
      </c>
      <c r="Y27" s="14">
        <v>0.13</v>
      </c>
      <c r="Z27" s="14">
        <v>0.24</v>
      </c>
      <c r="AA27" s="14">
        <v>0.17</v>
      </c>
      <c r="AB27" s="14">
        <v>0.2</v>
      </c>
      <c r="AC27" s="14">
        <v>0.12</v>
      </c>
      <c r="AD27" s="14">
        <v>0.17</v>
      </c>
      <c r="AE27" s="14">
        <v>0.11</v>
      </c>
      <c r="AF27" s="14">
        <v>0.11</v>
      </c>
    </row>
    <row r="28" spans="1:32">
      <c r="A28" s="19"/>
      <c r="B28" s="11" t="s">
        <v>585</v>
      </c>
      <c r="C28" s="12">
        <v>2569</v>
      </c>
      <c r="D28" s="12">
        <v>65</v>
      </c>
      <c r="E28" s="12">
        <v>85</v>
      </c>
      <c r="F28" s="12">
        <v>58</v>
      </c>
      <c r="G28" s="12">
        <v>17</v>
      </c>
      <c r="H28" s="12">
        <v>57</v>
      </c>
      <c r="I28" s="12">
        <v>80</v>
      </c>
      <c r="J28" s="12">
        <v>22</v>
      </c>
      <c r="K28" s="12">
        <v>48</v>
      </c>
      <c r="L28" s="12">
        <v>89</v>
      </c>
      <c r="M28" s="12">
        <v>135</v>
      </c>
      <c r="N28" s="12">
        <v>149</v>
      </c>
      <c r="O28" s="12">
        <v>75</v>
      </c>
      <c r="P28" s="12">
        <v>108</v>
      </c>
      <c r="Q28" s="12">
        <v>163</v>
      </c>
      <c r="R28" s="12">
        <v>48</v>
      </c>
      <c r="S28" s="12">
        <v>79</v>
      </c>
      <c r="T28" s="12">
        <v>40</v>
      </c>
      <c r="U28" s="12">
        <v>25</v>
      </c>
      <c r="V28" s="12">
        <v>103</v>
      </c>
      <c r="W28" s="12">
        <v>61</v>
      </c>
      <c r="X28" s="12">
        <v>47</v>
      </c>
      <c r="Y28" s="12">
        <v>105</v>
      </c>
      <c r="Z28" s="12">
        <v>144</v>
      </c>
      <c r="AA28" s="12">
        <v>111</v>
      </c>
      <c r="AB28" s="12">
        <v>126</v>
      </c>
      <c r="AC28" s="12">
        <v>46</v>
      </c>
      <c r="AD28" s="12">
        <v>86</v>
      </c>
      <c r="AE28" s="12">
        <v>53</v>
      </c>
      <c r="AF28" s="12">
        <v>40</v>
      </c>
    </row>
    <row r="29" spans="1:32">
      <c r="A29" s="19"/>
      <c r="B29" s="13" t="s">
        <v>585</v>
      </c>
      <c r="C29" s="14">
        <v>0.1</v>
      </c>
      <c r="D29" s="14">
        <v>0.06</v>
      </c>
      <c r="E29" s="14">
        <v>0.08</v>
      </c>
      <c r="F29" s="14">
        <v>0.05</v>
      </c>
      <c r="G29" s="14">
        <v>0.02</v>
      </c>
      <c r="H29" s="14">
        <v>0.05</v>
      </c>
      <c r="I29" s="14">
        <v>0.05</v>
      </c>
      <c r="J29" s="14">
        <v>7.0000000000000007E-2</v>
      </c>
      <c r="K29" s="14">
        <v>0.05</v>
      </c>
      <c r="L29" s="14">
        <v>0.09</v>
      </c>
      <c r="M29" s="14">
        <v>0.13</v>
      </c>
      <c r="N29" s="14">
        <v>0.15</v>
      </c>
      <c r="O29" s="14">
        <v>0.08</v>
      </c>
      <c r="P29" s="14">
        <v>0.11</v>
      </c>
      <c r="Q29" s="14">
        <v>0.16</v>
      </c>
      <c r="R29" s="14">
        <v>0.1</v>
      </c>
      <c r="S29" s="14">
        <v>0.08</v>
      </c>
      <c r="T29" s="14">
        <v>0.04</v>
      </c>
      <c r="U29" s="14">
        <v>0.05</v>
      </c>
      <c r="V29" s="14">
        <v>0.1</v>
      </c>
      <c r="W29" s="14">
        <v>0.12</v>
      </c>
      <c r="X29" s="14">
        <v>0.05</v>
      </c>
      <c r="Y29" s="14">
        <v>0.1</v>
      </c>
      <c r="Z29" s="14">
        <v>0.14000000000000001</v>
      </c>
      <c r="AA29" s="14">
        <v>0.11</v>
      </c>
      <c r="AB29" s="14">
        <v>0.12</v>
      </c>
      <c r="AC29" s="14">
        <v>0.05</v>
      </c>
      <c r="AD29" s="14">
        <v>0.09</v>
      </c>
      <c r="AE29" s="14">
        <v>0.05</v>
      </c>
      <c r="AF29" s="14">
        <v>0.04</v>
      </c>
    </row>
    <row r="30" spans="1:32">
      <c r="A30" s="19"/>
      <c r="B30" s="11" t="s">
        <v>586</v>
      </c>
      <c r="C30" s="12">
        <v>2909</v>
      </c>
      <c r="D30" s="12">
        <v>67</v>
      </c>
      <c r="E30" s="12">
        <v>148</v>
      </c>
      <c r="F30" s="12">
        <v>86</v>
      </c>
      <c r="G30" s="12">
        <v>49</v>
      </c>
      <c r="H30" s="12">
        <v>120</v>
      </c>
      <c r="I30" s="12">
        <v>153</v>
      </c>
      <c r="J30" s="12">
        <v>33</v>
      </c>
      <c r="K30" s="12">
        <v>80</v>
      </c>
      <c r="L30" s="12">
        <v>143</v>
      </c>
      <c r="M30" s="12">
        <v>130</v>
      </c>
      <c r="N30" s="12">
        <v>167</v>
      </c>
      <c r="O30" s="12">
        <v>109</v>
      </c>
      <c r="P30" s="12">
        <v>153</v>
      </c>
      <c r="Q30" s="12">
        <v>131</v>
      </c>
      <c r="R30" s="12">
        <v>80</v>
      </c>
      <c r="S30" s="12">
        <v>122</v>
      </c>
      <c r="T30" s="12">
        <v>82</v>
      </c>
      <c r="U30" s="12">
        <v>28</v>
      </c>
      <c r="V30" s="12">
        <v>122</v>
      </c>
      <c r="W30" s="12">
        <v>89</v>
      </c>
      <c r="X30" s="12">
        <v>45</v>
      </c>
      <c r="Y30" s="12">
        <v>137</v>
      </c>
      <c r="Z30" s="12">
        <v>112</v>
      </c>
      <c r="AA30" s="12">
        <v>105</v>
      </c>
      <c r="AB30" s="12">
        <v>101</v>
      </c>
      <c r="AC30" s="12">
        <v>190</v>
      </c>
      <c r="AD30" s="12">
        <v>50</v>
      </c>
      <c r="AE30" s="12">
        <v>43</v>
      </c>
      <c r="AF30" s="12">
        <v>50</v>
      </c>
    </row>
    <row r="31" spans="1:32">
      <c r="A31" s="19"/>
      <c r="B31" s="13" t="s">
        <v>587</v>
      </c>
      <c r="C31" s="14">
        <v>0.11</v>
      </c>
      <c r="D31" s="14">
        <v>7.0000000000000007E-2</v>
      </c>
      <c r="E31" s="14">
        <v>0.14000000000000001</v>
      </c>
      <c r="F31" s="14">
        <v>0.08</v>
      </c>
      <c r="G31" s="14">
        <v>0.05</v>
      </c>
      <c r="H31" s="14">
        <v>0.1</v>
      </c>
      <c r="I31" s="14">
        <v>0.1</v>
      </c>
      <c r="J31" s="14">
        <v>0.11</v>
      </c>
      <c r="K31" s="14">
        <v>0.08</v>
      </c>
      <c r="L31" s="14">
        <v>0.14000000000000001</v>
      </c>
      <c r="M31" s="14">
        <v>0.13</v>
      </c>
      <c r="N31" s="14">
        <v>0.17</v>
      </c>
      <c r="O31" s="14">
        <v>0.11</v>
      </c>
      <c r="P31" s="14">
        <v>0.15</v>
      </c>
      <c r="Q31" s="14">
        <v>0.13</v>
      </c>
      <c r="R31" s="14">
        <v>0.16</v>
      </c>
      <c r="S31" s="14">
        <v>0.12</v>
      </c>
      <c r="T31" s="14">
        <v>0.08</v>
      </c>
      <c r="U31" s="14">
        <v>0.06</v>
      </c>
      <c r="V31" s="14">
        <v>0.12</v>
      </c>
      <c r="W31" s="14">
        <v>0.18</v>
      </c>
      <c r="X31" s="14">
        <v>0.04</v>
      </c>
      <c r="Y31" s="14">
        <v>0.14000000000000001</v>
      </c>
      <c r="Z31" s="14">
        <v>0.11</v>
      </c>
      <c r="AA31" s="14">
        <v>0.1</v>
      </c>
      <c r="AB31" s="14">
        <v>0.1</v>
      </c>
      <c r="AC31" s="14">
        <v>0.19</v>
      </c>
      <c r="AD31" s="14">
        <v>0.05</v>
      </c>
      <c r="AE31" s="14">
        <v>0.05</v>
      </c>
      <c r="AF31" s="14">
        <v>0.05</v>
      </c>
    </row>
    <row r="32" spans="1:32">
      <c r="A32" s="19"/>
      <c r="B32" s="11" t="s">
        <v>386</v>
      </c>
      <c r="C32" s="12">
        <v>352</v>
      </c>
      <c r="D32" s="12">
        <v>2</v>
      </c>
      <c r="E32" s="12">
        <v>13</v>
      </c>
      <c r="F32" s="12">
        <v>13</v>
      </c>
      <c r="G32" s="12">
        <v>20</v>
      </c>
      <c r="H32" s="12">
        <v>10</v>
      </c>
      <c r="I32" s="12">
        <v>14</v>
      </c>
      <c r="J32" s="12">
        <v>4</v>
      </c>
      <c r="K32" s="12">
        <v>19</v>
      </c>
      <c r="L32" s="12">
        <v>8</v>
      </c>
      <c r="M32" s="12">
        <v>9</v>
      </c>
      <c r="N32" s="12">
        <v>19</v>
      </c>
      <c r="O32" s="12">
        <v>20</v>
      </c>
      <c r="P32" s="12">
        <v>15</v>
      </c>
      <c r="Q32" s="12">
        <v>12</v>
      </c>
      <c r="R32" s="12">
        <v>12</v>
      </c>
      <c r="S32" s="12">
        <v>26</v>
      </c>
      <c r="T32" s="12">
        <v>27</v>
      </c>
      <c r="U32" s="12">
        <v>25</v>
      </c>
      <c r="V32" s="12">
        <v>5</v>
      </c>
      <c r="W32" s="12">
        <v>7</v>
      </c>
      <c r="X32" s="12">
        <v>0</v>
      </c>
      <c r="Y32" s="12">
        <v>13</v>
      </c>
      <c r="Z32" s="12">
        <v>6</v>
      </c>
      <c r="AA32" s="12">
        <v>36</v>
      </c>
      <c r="AB32" s="12">
        <v>30</v>
      </c>
      <c r="AC32" s="12">
        <v>8</v>
      </c>
      <c r="AD32" s="12">
        <v>6</v>
      </c>
      <c r="AE32" s="12">
        <v>12</v>
      </c>
      <c r="AF32" s="12">
        <v>7</v>
      </c>
    </row>
    <row r="33" spans="1:32">
      <c r="A33" s="19"/>
      <c r="B33" s="13" t="s">
        <v>399</v>
      </c>
      <c r="C33" s="14">
        <v>0.01</v>
      </c>
      <c r="D33" s="15" t="s">
        <v>375</v>
      </c>
      <c r="E33" s="14">
        <v>0.01</v>
      </c>
      <c r="F33" s="14">
        <v>0.01</v>
      </c>
      <c r="G33" s="14">
        <v>0.02</v>
      </c>
      <c r="H33" s="14">
        <v>0.01</v>
      </c>
      <c r="I33" s="14">
        <v>0.01</v>
      </c>
      <c r="J33" s="14">
        <v>0.01</v>
      </c>
      <c r="K33" s="14">
        <v>0.02</v>
      </c>
      <c r="L33" s="14">
        <v>0.01</v>
      </c>
      <c r="M33" s="14">
        <v>0.01</v>
      </c>
      <c r="N33" s="14">
        <v>0.02</v>
      </c>
      <c r="O33" s="14">
        <v>0.02</v>
      </c>
      <c r="P33" s="14">
        <v>0.01</v>
      </c>
      <c r="Q33" s="14">
        <v>0.01</v>
      </c>
      <c r="R33" s="14">
        <v>0.03</v>
      </c>
      <c r="S33" s="14">
        <v>0.03</v>
      </c>
      <c r="T33" s="14">
        <v>0.03</v>
      </c>
      <c r="U33" s="14">
        <v>0.05</v>
      </c>
      <c r="V33" s="15" t="s">
        <v>375</v>
      </c>
      <c r="W33" s="14">
        <v>0.01</v>
      </c>
      <c r="X33" s="15" t="s">
        <v>375</v>
      </c>
      <c r="Y33" s="14">
        <v>0.01</v>
      </c>
      <c r="Z33" s="14">
        <v>0.01</v>
      </c>
      <c r="AA33" s="14">
        <v>0.03</v>
      </c>
      <c r="AB33" s="14">
        <v>0.03</v>
      </c>
      <c r="AC33" s="14">
        <v>0.01</v>
      </c>
      <c r="AD33" s="14">
        <v>0.01</v>
      </c>
      <c r="AE33" s="14">
        <v>0.01</v>
      </c>
      <c r="AF33" s="14">
        <v>0.01</v>
      </c>
    </row>
    <row r="34" spans="1:32">
      <c r="A34" s="19"/>
      <c r="B34" s="11" t="s">
        <v>588</v>
      </c>
      <c r="C34" s="12">
        <v>4827</v>
      </c>
      <c r="D34" s="12">
        <v>202</v>
      </c>
      <c r="E34" s="12">
        <v>245</v>
      </c>
      <c r="F34" s="12">
        <v>316</v>
      </c>
      <c r="G34" s="12">
        <v>508</v>
      </c>
      <c r="H34" s="12">
        <v>375</v>
      </c>
      <c r="I34" s="12">
        <v>432</v>
      </c>
      <c r="J34" s="12">
        <v>57</v>
      </c>
      <c r="K34" s="12">
        <v>369</v>
      </c>
      <c r="L34" s="12">
        <v>187</v>
      </c>
      <c r="M34" s="12">
        <v>108</v>
      </c>
      <c r="N34" s="12">
        <v>74</v>
      </c>
      <c r="O34" s="12">
        <v>154</v>
      </c>
      <c r="P34" s="12">
        <v>139</v>
      </c>
      <c r="Q34" s="12">
        <v>83</v>
      </c>
      <c r="R34" s="12">
        <v>41</v>
      </c>
      <c r="S34" s="12">
        <v>216</v>
      </c>
      <c r="T34" s="12">
        <v>259</v>
      </c>
      <c r="U34" s="12">
        <v>148</v>
      </c>
      <c r="V34" s="12">
        <v>172</v>
      </c>
      <c r="W34" s="12">
        <v>80</v>
      </c>
      <c r="X34" s="12">
        <v>301</v>
      </c>
      <c r="Y34" s="12">
        <v>243</v>
      </c>
      <c r="Z34" s="12">
        <v>95</v>
      </c>
      <c r="AA34" s="12">
        <v>227</v>
      </c>
      <c r="AB34" s="12">
        <v>116</v>
      </c>
      <c r="AC34" s="12">
        <v>251</v>
      </c>
      <c r="AD34" s="12">
        <v>201</v>
      </c>
      <c r="AE34" s="12">
        <v>376</v>
      </c>
      <c r="AF34" s="12">
        <v>408</v>
      </c>
    </row>
    <row r="35" spans="1:32">
      <c r="A35" s="19"/>
      <c r="B35" s="13" t="s">
        <v>589</v>
      </c>
      <c r="C35" s="14">
        <v>0.18</v>
      </c>
      <c r="D35" s="14">
        <v>0.21</v>
      </c>
      <c r="E35" s="14">
        <v>0.24</v>
      </c>
      <c r="F35" s="14">
        <v>0.28999999999999998</v>
      </c>
      <c r="G35" s="14">
        <v>0.49</v>
      </c>
      <c r="H35" s="14">
        <v>0.3</v>
      </c>
      <c r="I35" s="14">
        <v>0.28999999999999998</v>
      </c>
      <c r="J35" s="14">
        <v>0.2</v>
      </c>
      <c r="K35" s="14">
        <v>0.37</v>
      </c>
      <c r="L35" s="14">
        <v>0.19</v>
      </c>
      <c r="M35" s="14">
        <v>0.11</v>
      </c>
      <c r="N35" s="14">
        <v>7.0000000000000007E-2</v>
      </c>
      <c r="O35" s="14">
        <v>0.15</v>
      </c>
      <c r="P35" s="14">
        <v>0.14000000000000001</v>
      </c>
      <c r="Q35" s="14">
        <v>0.08</v>
      </c>
      <c r="R35" s="14">
        <v>0.08</v>
      </c>
      <c r="S35" s="14">
        <v>0.21</v>
      </c>
      <c r="T35" s="14">
        <v>0.25</v>
      </c>
      <c r="U35" s="14">
        <v>0.28000000000000003</v>
      </c>
      <c r="V35" s="14">
        <v>0.17</v>
      </c>
      <c r="W35" s="14">
        <v>0.16</v>
      </c>
      <c r="X35" s="14">
        <v>0.3</v>
      </c>
      <c r="Y35" s="14">
        <v>0.25</v>
      </c>
      <c r="Z35" s="14">
        <v>0.1</v>
      </c>
      <c r="AA35" s="14">
        <v>0.22</v>
      </c>
      <c r="AB35" s="14">
        <v>0.11</v>
      </c>
      <c r="AC35" s="14">
        <v>0.24</v>
      </c>
      <c r="AD35" s="14">
        <v>0.19</v>
      </c>
      <c r="AE35" s="14">
        <v>0.38</v>
      </c>
      <c r="AF35" s="14">
        <v>0.4</v>
      </c>
    </row>
    <row r="36" spans="1:32">
      <c r="A36" s="19"/>
      <c r="B36" s="11" t="s">
        <v>590</v>
      </c>
      <c r="C36" s="12">
        <v>6675</v>
      </c>
      <c r="D36" s="12">
        <v>330</v>
      </c>
      <c r="E36" s="12">
        <v>270</v>
      </c>
      <c r="F36" s="12">
        <v>343</v>
      </c>
      <c r="G36" s="12">
        <v>248</v>
      </c>
      <c r="H36" s="12">
        <v>366</v>
      </c>
      <c r="I36" s="12">
        <v>450</v>
      </c>
      <c r="J36" s="12">
        <v>84</v>
      </c>
      <c r="K36" s="12">
        <v>276</v>
      </c>
      <c r="L36" s="12">
        <v>232</v>
      </c>
      <c r="M36" s="12">
        <v>173</v>
      </c>
      <c r="N36" s="12">
        <v>220</v>
      </c>
      <c r="O36" s="12">
        <v>297</v>
      </c>
      <c r="P36" s="12">
        <v>227</v>
      </c>
      <c r="Q36" s="12">
        <v>163</v>
      </c>
      <c r="R36" s="12">
        <v>123</v>
      </c>
      <c r="S36" s="12">
        <v>297</v>
      </c>
      <c r="T36" s="12">
        <v>339</v>
      </c>
      <c r="U36" s="12">
        <v>168</v>
      </c>
      <c r="V36" s="12">
        <v>295</v>
      </c>
      <c r="W36" s="12">
        <v>104</v>
      </c>
      <c r="X36" s="12">
        <v>306</v>
      </c>
      <c r="Y36" s="12">
        <v>251</v>
      </c>
      <c r="Z36" s="12">
        <v>224</v>
      </c>
      <c r="AA36" s="12">
        <v>218</v>
      </c>
      <c r="AB36" s="12">
        <v>249</v>
      </c>
      <c r="AC36" s="12">
        <v>277</v>
      </c>
      <c r="AD36" s="12">
        <v>301</v>
      </c>
      <c r="AE36" s="12">
        <v>284</v>
      </c>
      <c r="AF36" s="12">
        <v>284</v>
      </c>
    </row>
    <row r="37" spans="1:32">
      <c r="A37" s="19"/>
      <c r="B37" s="13" t="s">
        <v>591</v>
      </c>
      <c r="C37" s="14">
        <v>0.25</v>
      </c>
      <c r="D37" s="14">
        <v>0.32</v>
      </c>
      <c r="E37" s="14">
        <v>0.26</v>
      </c>
      <c r="F37" s="14">
        <v>0.33</v>
      </c>
      <c r="G37" s="14">
        <v>0.25</v>
      </c>
      <c r="H37" s="14">
        <v>0.3</v>
      </c>
      <c r="I37" s="14">
        <v>0.28999999999999998</v>
      </c>
      <c r="J37" s="14">
        <v>0.28999999999999998</v>
      </c>
      <c r="K37" s="14">
        <v>0.27</v>
      </c>
      <c r="L37" s="14">
        <v>0.23</v>
      </c>
      <c r="M37" s="14">
        <v>0.17</v>
      </c>
      <c r="N37" s="14">
        <v>0.21</v>
      </c>
      <c r="O37" s="14">
        <v>0.3</v>
      </c>
      <c r="P37" s="14">
        <v>0.23</v>
      </c>
      <c r="Q37" s="14">
        <v>0.16</v>
      </c>
      <c r="R37" s="14">
        <v>0.24</v>
      </c>
      <c r="S37" s="14">
        <v>0.3</v>
      </c>
      <c r="T37" s="14">
        <v>0.33</v>
      </c>
      <c r="U37" s="14">
        <v>0.33</v>
      </c>
      <c r="V37" s="14">
        <v>0.28999999999999998</v>
      </c>
      <c r="W37" s="14">
        <v>0.21</v>
      </c>
      <c r="X37" s="14">
        <v>0.3</v>
      </c>
      <c r="Y37" s="14">
        <v>0.25</v>
      </c>
      <c r="Z37" s="14">
        <v>0.22</v>
      </c>
      <c r="AA37" s="14">
        <v>0.21</v>
      </c>
      <c r="AB37" s="14">
        <v>0.24</v>
      </c>
      <c r="AC37" s="14">
        <v>0.28000000000000003</v>
      </c>
      <c r="AD37" s="14">
        <v>0.3</v>
      </c>
      <c r="AE37" s="14">
        <v>0.28000000000000003</v>
      </c>
      <c r="AF37" s="14">
        <v>0.27</v>
      </c>
    </row>
    <row r="38" spans="1:32">
      <c r="A38" s="19"/>
      <c r="B38" s="11" t="s">
        <v>592</v>
      </c>
      <c r="C38" s="12">
        <v>14598</v>
      </c>
      <c r="D38" s="12">
        <v>486</v>
      </c>
      <c r="E38" s="12">
        <v>517</v>
      </c>
      <c r="F38" s="12">
        <v>392</v>
      </c>
      <c r="G38" s="12">
        <v>239</v>
      </c>
      <c r="H38" s="12">
        <v>478</v>
      </c>
      <c r="I38" s="12">
        <v>630</v>
      </c>
      <c r="J38" s="12">
        <v>151</v>
      </c>
      <c r="K38" s="12">
        <v>343</v>
      </c>
      <c r="L38" s="12">
        <v>578</v>
      </c>
      <c r="M38" s="12">
        <v>718</v>
      </c>
      <c r="N38" s="12">
        <v>696</v>
      </c>
      <c r="O38" s="12">
        <v>533</v>
      </c>
      <c r="P38" s="12">
        <v>621</v>
      </c>
      <c r="Q38" s="12">
        <v>773</v>
      </c>
      <c r="R38" s="12">
        <v>325</v>
      </c>
      <c r="S38" s="12">
        <v>465</v>
      </c>
      <c r="T38" s="12">
        <v>397</v>
      </c>
      <c r="U38" s="12">
        <v>167</v>
      </c>
      <c r="V38" s="12">
        <v>554</v>
      </c>
      <c r="W38" s="12">
        <v>312</v>
      </c>
      <c r="X38" s="12">
        <v>402</v>
      </c>
      <c r="Y38" s="12">
        <v>496</v>
      </c>
      <c r="Z38" s="12">
        <v>690</v>
      </c>
      <c r="AA38" s="12">
        <v>557</v>
      </c>
      <c r="AB38" s="12">
        <v>644</v>
      </c>
      <c r="AC38" s="12">
        <v>469</v>
      </c>
      <c r="AD38" s="12">
        <v>495</v>
      </c>
      <c r="AE38" s="12">
        <v>330</v>
      </c>
      <c r="AF38" s="12">
        <v>330</v>
      </c>
    </row>
    <row r="39" spans="1:32">
      <c r="A39" s="19"/>
      <c r="B39" s="13" t="s">
        <v>593</v>
      </c>
      <c r="C39" s="14">
        <v>0.56000000000000005</v>
      </c>
      <c r="D39" s="14">
        <v>0.47</v>
      </c>
      <c r="E39" s="14">
        <v>0.49</v>
      </c>
      <c r="F39" s="14">
        <v>0.37</v>
      </c>
      <c r="G39" s="14">
        <v>0.24</v>
      </c>
      <c r="H39" s="14">
        <v>0.39</v>
      </c>
      <c r="I39" s="14">
        <v>0.41</v>
      </c>
      <c r="J39" s="14">
        <v>0.5</v>
      </c>
      <c r="K39" s="14">
        <v>0.34</v>
      </c>
      <c r="L39" s="14">
        <v>0.57000000000000006</v>
      </c>
      <c r="M39" s="14">
        <v>0.71</v>
      </c>
      <c r="N39" s="14">
        <v>0.70000000000000007</v>
      </c>
      <c r="O39" s="14">
        <v>0.53</v>
      </c>
      <c r="P39" s="14">
        <v>0.62</v>
      </c>
      <c r="Q39" s="14">
        <v>0.75</v>
      </c>
      <c r="R39" s="14">
        <v>0.65</v>
      </c>
      <c r="S39" s="14">
        <v>0.46</v>
      </c>
      <c r="T39" s="14">
        <v>0.39</v>
      </c>
      <c r="U39" s="14">
        <v>0.34</v>
      </c>
      <c r="V39" s="14">
        <v>0.54</v>
      </c>
      <c r="W39" s="14">
        <v>0.62</v>
      </c>
      <c r="X39" s="14">
        <v>0.4</v>
      </c>
      <c r="Y39" s="14">
        <v>0.49</v>
      </c>
      <c r="Z39" s="14">
        <v>0.67</v>
      </c>
      <c r="AA39" s="14">
        <v>0.54</v>
      </c>
      <c r="AB39" s="14">
        <v>0.62</v>
      </c>
      <c r="AC39" s="14">
        <v>0.47</v>
      </c>
      <c r="AD39" s="14">
        <v>0.5</v>
      </c>
      <c r="AE39" s="14">
        <v>0.33</v>
      </c>
      <c r="AF39" s="14">
        <v>0.32</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638</v>
      </c>
      <c r="C3" s="17"/>
      <c r="D3" s="17"/>
      <c r="E3" s="17"/>
      <c r="F3" s="17"/>
      <c r="H3" s="17" t="s">
        <v>639</v>
      </c>
      <c r="I3" s="17"/>
      <c r="J3" s="17"/>
      <c r="K3" s="17"/>
      <c r="L3" s="17"/>
    </row>
    <row r="4" spans="1:32" ht="27" customHeight="1">
      <c r="B4" s="17" t="s">
        <v>640</v>
      </c>
      <c r="C4" s="17"/>
      <c r="D4" s="17"/>
      <c r="E4" s="17"/>
      <c r="F4" s="17"/>
      <c r="H4" s="17" t="s">
        <v>641</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HYPERLINK("#Content!A41","&lt;&lt;Back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596</v>
      </c>
      <c r="D12" s="12">
        <v>47</v>
      </c>
      <c r="E12" s="12">
        <v>54</v>
      </c>
      <c r="F12" s="12">
        <v>72</v>
      </c>
      <c r="G12" s="12">
        <v>38</v>
      </c>
      <c r="H12" s="12">
        <v>45</v>
      </c>
      <c r="I12" s="12">
        <v>52</v>
      </c>
      <c r="J12" s="12">
        <v>7</v>
      </c>
      <c r="K12" s="12">
        <v>40</v>
      </c>
      <c r="L12" s="12">
        <v>48</v>
      </c>
      <c r="M12" s="12">
        <v>8</v>
      </c>
      <c r="N12" s="12">
        <v>15</v>
      </c>
      <c r="O12" s="12">
        <v>18</v>
      </c>
      <c r="P12" s="12">
        <v>17</v>
      </c>
      <c r="Q12" s="12">
        <v>7</v>
      </c>
      <c r="R12" s="12">
        <v>3</v>
      </c>
      <c r="S12" s="12">
        <v>60</v>
      </c>
      <c r="T12" s="12">
        <v>71</v>
      </c>
      <c r="U12" s="12">
        <v>8</v>
      </c>
      <c r="V12" s="12">
        <v>12</v>
      </c>
      <c r="W12" s="12">
        <v>15</v>
      </c>
      <c r="X12" s="12">
        <v>24</v>
      </c>
      <c r="Y12" s="12">
        <v>23</v>
      </c>
      <c r="Z12" s="12">
        <v>4</v>
      </c>
      <c r="AA12" s="12">
        <v>10</v>
      </c>
      <c r="AB12" s="12">
        <v>45</v>
      </c>
      <c r="AC12" s="12">
        <v>49</v>
      </c>
      <c r="AD12" s="12">
        <v>35</v>
      </c>
      <c r="AE12" s="12">
        <v>21</v>
      </c>
      <c r="AF12" s="12">
        <v>12</v>
      </c>
    </row>
    <row r="13" spans="1:32">
      <c r="A13" s="19"/>
      <c r="B13" s="13" t="s">
        <v>577</v>
      </c>
      <c r="C13" s="14">
        <v>0.02</v>
      </c>
      <c r="D13" s="14">
        <v>0.05</v>
      </c>
      <c r="E13" s="14">
        <v>0.05</v>
      </c>
      <c r="F13" s="14">
        <v>7.0000000000000007E-2</v>
      </c>
      <c r="G13" s="14">
        <v>0.04</v>
      </c>
      <c r="H13" s="14">
        <v>0.04</v>
      </c>
      <c r="I13" s="14">
        <v>0.03</v>
      </c>
      <c r="J13" s="14">
        <v>0.03</v>
      </c>
      <c r="K13" s="14">
        <v>0.04</v>
      </c>
      <c r="L13" s="14">
        <v>0.05</v>
      </c>
      <c r="M13" s="14">
        <v>0.01</v>
      </c>
      <c r="N13" s="14">
        <v>0.02</v>
      </c>
      <c r="O13" s="14">
        <v>0.02</v>
      </c>
      <c r="P13" s="14">
        <v>0.02</v>
      </c>
      <c r="Q13" s="14">
        <v>0.01</v>
      </c>
      <c r="R13" s="14">
        <v>0.01</v>
      </c>
      <c r="S13" s="14">
        <v>0.06</v>
      </c>
      <c r="T13" s="14">
        <v>7.0000000000000007E-2</v>
      </c>
      <c r="U13" s="14">
        <v>0.02</v>
      </c>
      <c r="V13" s="14">
        <v>0.01</v>
      </c>
      <c r="W13" s="14">
        <v>0.03</v>
      </c>
      <c r="X13" s="14">
        <v>0.02</v>
      </c>
      <c r="Y13" s="14">
        <v>0.02</v>
      </c>
      <c r="Z13" s="15" t="s">
        <v>375</v>
      </c>
      <c r="AA13" s="14">
        <v>0.01</v>
      </c>
      <c r="AB13" s="14">
        <v>0.04</v>
      </c>
      <c r="AC13" s="14">
        <v>0.05</v>
      </c>
      <c r="AD13" s="14">
        <v>0.04</v>
      </c>
      <c r="AE13" s="14">
        <v>0.02</v>
      </c>
      <c r="AF13" s="14">
        <v>0.01</v>
      </c>
    </row>
    <row r="14" spans="1:32">
      <c r="A14" s="19"/>
      <c r="B14" s="11" t="s">
        <v>578</v>
      </c>
      <c r="C14" s="12">
        <v>649</v>
      </c>
      <c r="D14" s="12">
        <v>33</v>
      </c>
      <c r="E14" s="12">
        <v>33</v>
      </c>
      <c r="F14" s="12">
        <v>35</v>
      </c>
      <c r="G14" s="12">
        <v>37</v>
      </c>
      <c r="H14" s="12">
        <v>97</v>
      </c>
      <c r="I14" s="12">
        <v>106</v>
      </c>
      <c r="J14" s="12">
        <v>9</v>
      </c>
      <c r="K14" s="12">
        <v>24</v>
      </c>
      <c r="L14" s="12">
        <v>22</v>
      </c>
      <c r="M14" s="12">
        <v>11</v>
      </c>
      <c r="N14" s="12">
        <v>3</v>
      </c>
      <c r="O14" s="12">
        <v>13</v>
      </c>
      <c r="P14" s="12">
        <v>11</v>
      </c>
      <c r="Q14" s="12">
        <v>11</v>
      </c>
      <c r="R14" s="12">
        <v>1</v>
      </c>
      <c r="S14" s="12">
        <v>26</v>
      </c>
      <c r="T14" s="12">
        <v>44</v>
      </c>
      <c r="U14" s="12">
        <v>4</v>
      </c>
      <c r="V14" s="12">
        <v>14</v>
      </c>
      <c r="W14" s="12">
        <v>3</v>
      </c>
      <c r="X14" s="12">
        <v>21</v>
      </c>
      <c r="Y14" s="12">
        <v>25</v>
      </c>
      <c r="Z14" s="12">
        <v>1</v>
      </c>
      <c r="AA14" s="12">
        <v>15</v>
      </c>
      <c r="AB14" s="12">
        <v>13</v>
      </c>
      <c r="AC14" s="12">
        <v>28</v>
      </c>
      <c r="AD14" s="12">
        <v>13</v>
      </c>
      <c r="AE14" s="12">
        <v>31</v>
      </c>
      <c r="AF14" s="12">
        <v>43</v>
      </c>
    </row>
    <row r="15" spans="1:32">
      <c r="A15" s="19"/>
      <c r="B15" s="13" t="s">
        <v>578</v>
      </c>
      <c r="C15" s="14">
        <v>0.03</v>
      </c>
      <c r="D15" s="14">
        <v>0.03</v>
      </c>
      <c r="E15" s="14">
        <v>0.03</v>
      </c>
      <c r="F15" s="14">
        <v>0.03</v>
      </c>
      <c r="G15" s="14">
        <v>0.04</v>
      </c>
      <c r="H15" s="14">
        <v>0.08</v>
      </c>
      <c r="I15" s="14">
        <v>7.0000000000000007E-2</v>
      </c>
      <c r="J15" s="14">
        <v>0.03</v>
      </c>
      <c r="K15" s="14">
        <v>0.02</v>
      </c>
      <c r="L15" s="14">
        <v>0.02</v>
      </c>
      <c r="M15" s="14">
        <v>0.01</v>
      </c>
      <c r="N15" s="15" t="s">
        <v>375</v>
      </c>
      <c r="O15" s="14">
        <v>0.01</v>
      </c>
      <c r="P15" s="14">
        <v>0.01</v>
      </c>
      <c r="Q15" s="14">
        <v>0.01</v>
      </c>
      <c r="R15" s="15" t="s">
        <v>375</v>
      </c>
      <c r="S15" s="14">
        <v>0.03</v>
      </c>
      <c r="T15" s="14">
        <v>0.04</v>
      </c>
      <c r="U15" s="14">
        <v>0.01</v>
      </c>
      <c r="V15" s="14">
        <v>0.01</v>
      </c>
      <c r="W15" s="14">
        <v>0.01</v>
      </c>
      <c r="X15" s="14">
        <v>0.02</v>
      </c>
      <c r="Y15" s="14">
        <v>0.02</v>
      </c>
      <c r="Z15" s="15" t="s">
        <v>375</v>
      </c>
      <c r="AA15" s="14">
        <v>0.01</v>
      </c>
      <c r="AB15" s="14">
        <v>0.01</v>
      </c>
      <c r="AC15" s="14">
        <v>0.03</v>
      </c>
      <c r="AD15" s="14">
        <v>0.01</v>
      </c>
      <c r="AE15" s="14">
        <v>0.03</v>
      </c>
      <c r="AF15" s="14">
        <v>0.04</v>
      </c>
    </row>
    <row r="16" spans="1:32">
      <c r="A16" s="19"/>
      <c r="B16" s="11" t="s">
        <v>579</v>
      </c>
      <c r="C16" s="12">
        <v>837</v>
      </c>
      <c r="D16" s="12">
        <v>29</v>
      </c>
      <c r="E16" s="12">
        <v>67</v>
      </c>
      <c r="F16" s="12">
        <v>63</v>
      </c>
      <c r="G16" s="12">
        <v>92</v>
      </c>
      <c r="H16" s="12">
        <v>45</v>
      </c>
      <c r="I16" s="12">
        <v>54</v>
      </c>
      <c r="J16" s="12">
        <v>9</v>
      </c>
      <c r="K16" s="12">
        <v>63</v>
      </c>
      <c r="L16" s="12">
        <v>44</v>
      </c>
      <c r="M16" s="12">
        <v>23</v>
      </c>
      <c r="N16" s="12">
        <v>9</v>
      </c>
      <c r="O16" s="12">
        <v>35</v>
      </c>
      <c r="P16" s="12">
        <v>32</v>
      </c>
      <c r="Q16" s="12">
        <v>19</v>
      </c>
      <c r="R16" s="12">
        <v>15</v>
      </c>
      <c r="S16" s="12">
        <v>47</v>
      </c>
      <c r="T16" s="12">
        <v>49</v>
      </c>
      <c r="U16" s="12">
        <v>8</v>
      </c>
      <c r="V16" s="12">
        <v>32</v>
      </c>
      <c r="W16" s="12">
        <v>13</v>
      </c>
      <c r="X16" s="12">
        <v>47</v>
      </c>
      <c r="Y16" s="12">
        <v>50</v>
      </c>
      <c r="Z16" s="12">
        <v>11</v>
      </c>
      <c r="AA16" s="12">
        <v>80</v>
      </c>
      <c r="AB16" s="12">
        <v>20</v>
      </c>
      <c r="AC16" s="12">
        <v>78</v>
      </c>
      <c r="AD16" s="12">
        <v>35</v>
      </c>
      <c r="AE16" s="12">
        <v>52</v>
      </c>
      <c r="AF16" s="12">
        <v>66</v>
      </c>
    </row>
    <row r="17" spans="1:32">
      <c r="A17" s="19"/>
      <c r="B17" s="13" t="s">
        <v>579</v>
      </c>
      <c r="C17" s="14">
        <v>0.03</v>
      </c>
      <c r="D17" s="14">
        <v>0.03</v>
      </c>
      <c r="E17" s="14">
        <v>0.06</v>
      </c>
      <c r="F17" s="14">
        <v>0.06</v>
      </c>
      <c r="G17" s="14">
        <v>0.09</v>
      </c>
      <c r="H17" s="14">
        <v>0.04</v>
      </c>
      <c r="I17" s="14">
        <v>0.04</v>
      </c>
      <c r="J17" s="14">
        <v>0.03</v>
      </c>
      <c r="K17" s="14">
        <v>0.06</v>
      </c>
      <c r="L17" s="14">
        <v>0.04</v>
      </c>
      <c r="M17" s="14">
        <v>0.02</v>
      </c>
      <c r="N17" s="14">
        <v>0.01</v>
      </c>
      <c r="O17" s="14">
        <v>0.04</v>
      </c>
      <c r="P17" s="14">
        <v>0.03</v>
      </c>
      <c r="Q17" s="14">
        <v>0.02</v>
      </c>
      <c r="R17" s="14">
        <v>0.03</v>
      </c>
      <c r="S17" s="14">
        <v>0.05</v>
      </c>
      <c r="T17" s="14">
        <v>0.05</v>
      </c>
      <c r="U17" s="14">
        <v>0.02</v>
      </c>
      <c r="V17" s="14">
        <v>0.03</v>
      </c>
      <c r="W17" s="14">
        <v>0.03</v>
      </c>
      <c r="X17" s="14">
        <v>0.05</v>
      </c>
      <c r="Y17" s="14">
        <v>0.05</v>
      </c>
      <c r="Z17" s="14">
        <v>0.01</v>
      </c>
      <c r="AA17" s="14">
        <v>0.08</v>
      </c>
      <c r="AB17" s="14">
        <v>0.02</v>
      </c>
      <c r="AC17" s="14">
        <v>0.08</v>
      </c>
      <c r="AD17" s="14">
        <v>0.04</v>
      </c>
      <c r="AE17" s="14">
        <v>0.05</v>
      </c>
      <c r="AF17" s="14">
        <v>0.06</v>
      </c>
    </row>
    <row r="18" spans="1:32">
      <c r="A18" s="19"/>
      <c r="B18" s="11" t="s">
        <v>580</v>
      </c>
      <c r="C18" s="12">
        <v>1075</v>
      </c>
      <c r="D18" s="12">
        <v>46</v>
      </c>
      <c r="E18" s="12">
        <v>69</v>
      </c>
      <c r="F18" s="12">
        <v>110</v>
      </c>
      <c r="G18" s="12">
        <v>79</v>
      </c>
      <c r="H18" s="12">
        <v>72</v>
      </c>
      <c r="I18" s="12">
        <v>91</v>
      </c>
      <c r="J18" s="12">
        <v>18</v>
      </c>
      <c r="K18" s="12">
        <v>76</v>
      </c>
      <c r="L18" s="12">
        <v>34</v>
      </c>
      <c r="M18" s="12">
        <v>39</v>
      </c>
      <c r="N18" s="12">
        <v>13</v>
      </c>
      <c r="O18" s="12">
        <v>29</v>
      </c>
      <c r="P18" s="12">
        <v>50</v>
      </c>
      <c r="Q18" s="12">
        <v>26</v>
      </c>
      <c r="R18" s="12">
        <v>12</v>
      </c>
      <c r="S18" s="12">
        <v>62</v>
      </c>
      <c r="T18" s="12">
        <v>57</v>
      </c>
      <c r="U18" s="12">
        <v>20</v>
      </c>
      <c r="V18" s="12">
        <v>83</v>
      </c>
      <c r="W18" s="12">
        <v>15</v>
      </c>
      <c r="X18" s="12">
        <v>55</v>
      </c>
      <c r="Y18" s="12">
        <v>47</v>
      </c>
      <c r="Z18" s="12">
        <v>25</v>
      </c>
      <c r="AA18" s="12">
        <v>53</v>
      </c>
      <c r="AB18" s="12">
        <v>34</v>
      </c>
      <c r="AC18" s="12">
        <v>61</v>
      </c>
      <c r="AD18" s="12">
        <v>44</v>
      </c>
      <c r="AE18" s="12">
        <v>65</v>
      </c>
      <c r="AF18" s="12">
        <v>46</v>
      </c>
    </row>
    <row r="19" spans="1:32">
      <c r="A19" s="19"/>
      <c r="B19" s="13" t="s">
        <v>580</v>
      </c>
      <c r="C19" s="14">
        <v>0.04</v>
      </c>
      <c r="D19" s="14">
        <v>0.05</v>
      </c>
      <c r="E19" s="14">
        <v>7.0000000000000007E-2</v>
      </c>
      <c r="F19" s="14">
        <v>0.1</v>
      </c>
      <c r="G19" s="14">
        <v>0.08</v>
      </c>
      <c r="H19" s="14">
        <v>0.06</v>
      </c>
      <c r="I19" s="14">
        <v>0.06</v>
      </c>
      <c r="J19" s="14">
        <v>0.06</v>
      </c>
      <c r="K19" s="14">
        <v>0.08</v>
      </c>
      <c r="L19" s="14">
        <v>0.03</v>
      </c>
      <c r="M19" s="14">
        <v>0.04</v>
      </c>
      <c r="N19" s="14">
        <v>0.01</v>
      </c>
      <c r="O19" s="14">
        <v>0.03</v>
      </c>
      <c r="P19" s="14">
        <v>0.05</v>
      </c>
      <c r="Q19" s="14">
        <v>0.03</v>
      </c>
      <c r="R19" s="14">
        <v>0.02</v>
      </c>
      <c r="S19" s="14">
        <v>0.06</v>
      </c>
      <c r="T19" s="14">
        <v>0.06</v>
      </c>
      <c r="U19" s="14">
        <v>0.04</v>
      </c>
      <c r="V19" s="14">
        <v>0.08</v>
      </c>
      <c r="W19" s="14">
        <v>0.03</v>
      </c>
      <c r="X19" s="14">
        <v>0.06</v>
      </c>
      <c r="Y19" s="14">
        <v>0.05</v>
      </c>
      <c r="Z19" s="14">
        <v>0.03</v>
      </c>
      <c r="AA19" s="14">
        <v>0.05</v>
      </c>
      <c r="AB19" s="14">
        <v>0.03</v>
      </c>
      <c r="AC19" s="14">
        <v>0.06</v>
      </c>
      <c r="AD19" s="14">
        <v>0.04</v>
      </c>
      <c r="AE19" s="14">
        <v>7.0000000000000007E-2</v>
      </c>
      <c r="AF19" s="14">
        <v>0.05</v>
      </c>
    </row>
    <row r="20" spans="1:32">
      <c r="A20" s="19"/>
      <c r="B20" s="11" t="s">
        <v>581</v>
      </c>
      <c r="C20" s="12">
        <v>2313</v>
      </c>
      <c r="D20" s="12">
        <v>88</v>
      </c>
      <c r="E20" s="12">
        <v>125</v>
      </c>
      <c r="F20" s="12">
        <v>170</v>
      </c>
      <c r="G20" s="12">
        <v>131</v>
      </c>
      <c r="H20" s="12">
        <v>134</v>
      </c>
      <c r="I20" s="12">
        <v>174</v>
      </c>
      <c r="J20" s="12">
        <v>39</v>
      </c>
      <c r="K20" s="12">
        <v>102</v>
      </c>
      <c r="L20" s="12">
        <v>74</v>
      </c>
      <c r="M20" s="12">
        <v>88</v>
      </c>
      <c r="N20" s="12">
        <v>41</v>
      </c>
      <c r="O20" s="12">
        <v>93</v>
      </c>
      <c r="P20" s="12">
        <v>89</v>
      </c>
      <c r="Q20" s="12">
        <v>44</v>
      </c>
      <c r="R20" s="12">
        <v>53</v>
      </c>
      <c r="S20" s="12">
        <v>158</v>
      </c>
      <c r="T20" s="12">
        <v>148</v>
      </c>
      <c r="U20" s="12">
        <v>43</v>
      </c>
      <c r="V20" s="12">
        <v>139</v>
      </c>
      <c r="W20" s="12">
        <v>23</v>
      </c>
      <c r="X20" s="12">
        <v>90</v>
      </c>
      <c r="Y20" s="12">
        <v>128</v>
      </c>
      <c r="Z20" s="12">
        <v>75</v>
      </c>
      <c r="AA20" s="12">
        <v>87</v>
      </c>
      <c r="AB20" s="12">
        <v>103</v>
      </c>
      <c r="AC20" s="12">
        <v>130</v>
      </c>
      <c r="AD20" s="12">
        <v>127</v>
      </c>
      <c r="AE20" s="12">
        <v>76</v>
      </c>
      <c r="AF20" s="12">
        <v>115</v>
      </c>
    </row>
    <row r="21" spans="1:32">
      <c r="A21" s="19"/>
      <c r="B21" s="13" t="s">
        <v>581</v>
      </c>
      <c r="C21" s="14">
        <v>0.09</v>
      </c>
      <c r="D21" s="14">
        <v>0.09</v>
      </c>
      <c r="E21" s="14">
        <v>0.12</v>
      </c>
      <c r="F21" s="14">
        <v>0.16</v>
      </c>
      <c r="G21" s="14">
        <v>0.13</v>
      </c>
      <c r="H21" s="14">
        <v>0.11</v>
      </c>
      <c r="I21" s="14">
        <v>0.11</v>
      </c>
      <c r="J21" s="14">
        <v>0.13</v>
      </c>
      <c r="K21" s="14">
        <v>0.1</v>
      </c>
      <c r="L21" s="14">
        <v>7.0000000000000007E-2</v>
      </c>
      <c r="M21" s="14">
        <v>0.09</v>
      </c>
      <c r="N21" s="14">
        <v>0.04</v>
      </c>
      <c r="O21" s="14">
        <v>0.09</v>
      </c>
      <c r="P21" s="14">
        <v>0.09</v>
      </c>
      <c r="Q21" s="14">
        <v>0.04</v>
      </c>
      <c r="R21" s="14">
        <v>0.11</v>
      </c>
      <c r="S21" s="14">
        <v>0.16</v>
      </c>
      <c r="T21" s="14">
        <v>0.15</v>
      </c>
      <c r="U21" s="14">
        <v>0.08</v>
      </c>
      <c r="V21" s="14">
        <v>0.14000000000000001</v>
      </c>
      <c r="W21" s="14">
        <v>0.05</v>
      </c>
      <c r="X21" s="14">
        <v>0.09</v>
      </c>
      <c r="Y21" s="14">
        <v>0.13</v>
      </c>
      <c r="Z21" s="14">
        <v>0.08</v>
      </c>
      <c r="AA21" s="14">
        <v>0.08</v>
      </c>
      <c r="AB21" s="14">
        <v>0.1</v>
      </c>
      <c r="AC21" s="14">
        <v>0.13</v>
      </c>
      <c r="AD21" s="14">
        <v>0.13</v>
      </c>
      <c r="AE21" s="14">
        <v>0.08</v>
      </c>
      <c r="AF21" s="14">
        <v>0.11</v>
      </c>
    </row>
    <row r="22" spans="1:32">
      <c r="A22" s="19"/>
      <c r="B22" s="11" t="s">
        <v>582</v>
      </c>
      <c r="C22" s="12">
        <v>2637</v>
      </c>
      <c r="D22" s="12">
        <v>104</v>
      </c>
      <c r="E22" s="12">
        <v>148</v>
      </c>
      <c r="F22" s="12">
        <v>151</v>
      </c>
      <c r="G22" s="12">
        <v>121</v>
      </c>
      <c r="H22" s="12">
        <v>139</v>
      </c>
      <c r="I22" s="12">
        <v>181</v>
      </c>
      <c r="J22" s="12">
        <v>42</v>
      </c>
      <c r="K22" s="12">
        <v>126</v>
      </c>
      <c r="L22" s="12">
        <v>78</v>
      </c>
      <c r="M22" s="12">
        <v>86</v>
      </c>
      <c r="N22" s="12">
        <v>89</v>
      </c>
      <c r="O22" s="12">
        <v>80</v>
      </c>
      <c r="P22" s="12">
        <v>101</v>
      </c>
      <c r="Q22" s="12">
        <v>61</v>
      </c>
      <c r="R22" s="12">
        <v>45</v>
      </c>
      <c r="S22" s="12">
        <v>81</v>
      </c>
      <c r="T22" s="12">
        <v>136</v>
      </c>
      <c r="U22" s="12">
        <v>59</v>
      </c>
      <c r="V22" s="12">
        <v>143</v>
      </c>
      <c r="W22" s="12">
        <v>42</v>
      </c>
      <c r="X22" s="12">
        <v>118</v>
      </c>
      <c r="Y22" s="12">
        <v>127</v>
      </c>
      <c r="Z22" s="12">
        <v>125</v>
      </c>
      <c r="AA22" s="12">
        <v>59</v>
      </c>
      <c r="AB22" s="12">
        <v>126</v>
      </c>
      <c r="AC22" s="12">
        <v>94</v>
      </c>
      <c r="AD22" s="12">
        <v>133</v>
      </c>
      <c r="AE22" s="12">
        <v>114</v>
      </c>
      <c r="AF22" s="12">
        <v>115</v>
      </c>
    </row>
    <row r="23" spans="1:32">
      <c r="A23" s="19"/>
      <c r="B23" s="13" t="s">
        <v>582</v>
      </c>
      <c r="C23" s="14">
        <v>0.1</v>
      </c>
      <c r="D23" s="14">
        <v>0.1</v>
      </c>
      <c r="E23" s="14">
        <v>0.14000000000000001</v>
      </c>
      <c r="F23" s="14">
        <v>0.14000000000000001</v>
      </c>
      <c r="G23" s="14">
        <v>0.12</v>
      </c>
      <c r="H23" s="14">
        <v>0.11</v>
      </c>
      <c r="I23" s="14">
        <v>0.12</v>
      </c>
      <c r="J23" s="14">
        <v>0.14000000000000001</v>
      </c>
      <c r="K23" s="14">
        <v>0.13</v>
      </c>
      <c r="L23" s="14">
        <v>0.08</v>
      </c>
      <c r="M23" s="14">
        <v>0.08</v>
      </c>
      <c r="N23" s="14">
        <v>0.09</v>
      </c>
      <c r="O23" s="14">
        <v>0.08</v>
      </c>
      <c r="P23" s="14">
        <v>0.1</v>
      </c>
      <c r="Q23" s="14">
        <v>0.06</v>
      </c>
      <c r="R23" s="14">
        <v>0.09</v>
      </c>
      <c r="S23" s="14">
        <v>0.08</v>
      </c>
      <c r="T23" s="14">
        <v>0.13</v>
      </c>
      <c r="U23" s="14">
        <v>0.12</v>
      </c>
      <c r="V23" s="14">
        <v>0.14000000000000001</v>
      </c>
      <c r="W23" s="14">
        <v>0.08</v>
      </c>
      <c r="X23" s="14">
        <v>0.12</v>
      </c>
      <c r="Y23" s="14">
        <v>0.13</v>
      </c>
      <c r="Z23" s="14">
        <v>0.12</v>
      </c>
      <c r="AA23" s="14">
        <v>0.06</v>
      </c>
      <c r="AB23" s="14">
        <v>0.12</v>
      </c>
      <c r="AC23" s="14">
        <v>0.09</v>
      </c>
      <c r="AD23" s="14">
        <v>0.13</v>
      </c>
      <c r="AE23" s="14">
        <v>0.11</v>
      </c>
      <c r="AF23" s="14">
        <v>0.11</v>
      </c>
    </row>
    <row r="24" spans="1:32">
      <c r="A24" s="19"/>
      <c r="B24" s="11" t="s">
        <v>583</v>
      </c>
      <c r="C24" s="12">
        <v>4171</v>
      </c>
      <c r="D24" s="12">
        <v>197</v>
      </c>
      <c r="E24" s="12">
        <v>130</v>
      </c>
      <c r="F24" s="12">
        <v>139</v>
      </c>
      <c r="G24" s="12">
        <v>184</v>
      </c>
      <c r="H24" s="12">
        <v>174</v>
      </c>
      <c r="I24" s="12">
        <v>229</v>
      </c>
      <c r="J24" s="12">
        <v>55</v>
      </c>
      <c r="K24" s="12">
        <v>153</v>
      </c>
      <c r="L24" s="12">
        <v>139</v>
      </c>
      <c r="M24" s="12">
        <v>195</v>
      </c>
      <c r="N24" s="12">
        <v>124</v>
      </c>
      <c r="O24" s="12">
        <v>160</v>
      </c>
      <c r="P24" s="12">
        <v>158</v>
      </c>
      <c r="Q24" s="12">
        <v>151</v>
      </c>
      <c r="R24" s="12">
        <v>98</v>
      </c>
      <c r="S24" s="12">
        <v>92</v>
      </c>
      <c r="T24" s="12">
        <v>147</v>
      </c>
      <c r="U24" s="12">
        <v>93</v>
      </c>
      <c r="V24" s="12">
        <v>186</v>
      </c>
      <c r="W24" s="12">
        <v>50</v>
      </c>
      <c r="X24" s="12">
        <v>215</v>
      </c>
      <c r="Y24" s="12">
        <v>137</v>
      </c>
      <c r="Z24" s="12">
        <v>183</v>
      </c>
      <c r="AA24" s="12">
        <v>125</v>
      </c>
      <c r="AB24" s="12">
        <v>201</v>
      </c>
      <c r="AC24" s="12">
        <v>127</v>
      </c>
      <c r="AD24" s="12">
        <v>225</v>
      </c>
      <c r="AE24" s="12">
        <v>159</v>
      </c>
      <c r="AF24" s="12">
        <v>204</v>
      </c>
    </row>
    <row r="25" spans="1:32">
      <c r="A25" s="19"/>
      <c r="B25" s="13" t="s">
        <v>583</v>
      </c>
      <c r="C25" s="14">
        <v>0.16</v>
      </c>
      <c r="D25" s="14">
        <v>0.19</v>
      </c>
      <c r="E25" s="14">
        <v>0.12</v>
      </c>
      <c r="F25" s="14">
        <v>0.13</v>
      </c>
      <c r="G25" s="14">
        <v>0.18</v>
      </c>
      <c r="H25" s="14">
        <v>0.14000000000000001</v>
      </c>
      <c r="I25" s="14">
        <v>0.15</v>
      </c>
      <c r="J25" s="14">
        <v>0.19</v>
      </c>
      <c r="K25" s="14">
        <v>0.15</v>
      </c>
      <c r="L25" s="14">
        <v>0.14000000000000001</v>
      </c>
      <c r="M25" s="14">
        <v>0.19</v>
      </c>
      <c r="N25" s="14">
        <v>0.12</v>
      </c>
      <c r="O25" s="14">
        <v>0.16</v>
      </c>
      <c r="P25" s="14">
        <v>0.16</v>
      </c>
      <c r="Q25" s="14">
        <v>0.15</v>
      </c>
      <c r="R25" s="14">
        <v>0.2</v>
      </c>
      <c r="S25" s="14">
        <v>0.09</v>
      </c>
      <c r="T25" s="14">
        <v>0.14000000000000001</v>
      </c>
      <c r="U25" s="14">
        <v>0.18</v>
      </c>
      <c r="V25" s="14">
        <v>0.18</v>
      </c>
      <c r="W25" s="14">
        <v>0.1</v>
      </c>
      <c r="X25" s="14">
        <v>0.21</v>
      </c>
      <c r="Y25" s="14">
        <v>0.14000000000000001</v>
      </c>
      <c r="Z25" s="14">
        <v>0.18</v>
      </c>
      <c r="AA25" s="14">
        <v>0.12</v>
      </c>
      <c r="AB25" s="14">
        <v>0.19</v>
      </c>
      <c r="AC25" s="14">
        <v>0.13</v>
      </c>
      <c r="AD25" s="14">
        <v>0.22</v>
      </c>
      <c r="AE25" s="14">
        <v>0.16</v>
      </c>
      <c r="AF25" s="14">
        <v>0.2</v>
      </c>
    </row>
    <row r="26" spans="1:32">
      <c r="A26" s="19"/>
      <c r="B26" s="11" t="s">
        <v>584</v>
      </c>
      <c r="C26" s="12">
        <v>5586</v>
      </c>
      <c r="D26" s="12">
        <v>226</v>
      </c>
      <c r="E26" s="12">
        <v>153</v>
      </c>
      <c r="F26" s="12">
        <v>134</v>
      </c>
      <c r="G26" s="12">
        <v>149</v>
      </c>
      <c r="H26" s="12">
        <v>202</v>
      </c>
      <c r="I26" s="12">
        <v>256</v>
      </c>
      <c r="J26" s="12">
        <v>54</v>
      </c>
      <c r="K26" s="12">
        <v>150</v>
      </c>
      <c r="L26" s="12">
        <v>210</v>
      </c>
      <c r="M26" s="12">
        <v>267</v>
      </c>
      <c r="N26" s="12">
        <v>229</v>
      </c>
      <c r="O26" s="12">
        <v>233</v>
      </c>
      <c r="P26" s="12">
        <v>198</v>
      </c>
      <c r="Q26" s="12">
        <v>256</v>
      </c>
      <c r="R26" s="12">
        <v>108</v>
      </c>
      <c r="S26" s="12">
        <v>150</v>
      </c>
      <c r="T26" s="12">
        <v>145</v>
      </c>
      <c r="U26" s="12">
        <v>98</v>
      </c>
      <c r="V26" s="12">
        <v>165</v>
      </c>
      <c r="W26" s="12">
        <v>97</v>
      </c>
      <c r="X26" s="12">
        <v>205</v>
      </c>
      <c r="Y26" s="12">
        <v>183</v>
      </c>
      <c r="Z26" s="12">
        <v>278</v>
      </c>
      <c r="AA26" s="12">
        <v>195</v>
      </c>
      <c r="AB26" s="12">
        <v>233</v>
      </c>
      <c r="AC26" s="12">
        <v>130</v>
      </c>
      <c r="AD26" s="12">
        <v>221</v>
      </c>
      <c r="AE26" s="12">
        <v>200</v>
      </c>
      <c r="AF26" s="12">
        <v>185</v>
      </c>
    </row>
    <row r="27" spans="1:32">
      <c r="A27" s="19"/>
      <c r="B27" s="13" t="s">
        <v>584</v>
      </c>
      <c r="C27" s="14">
        <v>0.21</v>
      </c>
      <c r="D27" s="14">
        <v>0.22</v>
      </c>
      <c r="E27" s="14">
        <v>0.15</v>
      </c>
      <c r="F27" s="14">
        <v>0.13</v>
      </c>
      <c r="G27" s="14">
        <v>0.14000000000000001</v>
      </c>
      <c r="H27" s="14">
        <v>0.16</v>
      </c>
      <c r="I27" s="14">
        <v>0.17</v>
      </c>
      <c r="J27" s="14">
        <v>0.18</v>
      </c>
      <c r="K27" s="14">
        <v>0.15</v>
      </c>
      <c r="L27" s="14">
        <v>0.21</v>
      </c>
      <c r="M27" s="14">
        <v>0.27</v>
      </c>
      <c r="N27" s="14">
        <v>0.23</v>
      </c>
      <c r="O27" s="14">
        <v>0.23</v>
      </c>
      <c r="P27" s="14">
        <v>0.2</v>
      </c>
      <c r="Q27" s="14">
        <v>0.25</v>
      </c>
      <c r="R27" s="14">
        <v>0.21</v>
      </c>
      <c r="S27" s="14">
        <v>0.15</v>
      </c>
      <c r="T27" s="14">
        <v>0.14000000000000001</v>
      </c>
      <c r="U27" s="14">
        <v>0.19</v>
      </c>
      <c r="V27" s="14">
        <v>0.16</v>
      </c>
      <c r="W27" s="14">
        <v>0.19</v>
      </c>
      <c r="X27" s="14">
        <v>0.2</v>
      </c>
      <c r="Y27" s="14">
        <v>0.18</v>
      </c>
      <c r="Z27" s="14">
        <v>0.27</v>
      </c>
      <c r="AA27" s="14">
        <v>0.19</v>
      </c>
      <c r="AB27" s="14">
        <v>0.23</v>
      </c>
      <c r="AC27" s="14">
        <v>0.13</v>
      </c>
      <c r="AD27" s="14">
        <v>0.22</v>
      </c>
      <c r="AE27" s="14">
        <v>0.2</v>
      </c>
      <c r="AF27" s="14">
        <v>0.18</v>
      </c>
    </row>
    <row r="28" spans="1:32">
      <c r="A28" s="19"/>
      <c r="B28" s="11" t="s">
        <v>585</v>
      </c>
      <c r="C28" s="12">
        <v>3497</v>
      </c>
      <c r="D28" s="12">
        <v>116</v>
      </c>
      <c r="E28" s="12">
        <v>80</v>
      </c>
      <c r="F28" s="12">
        <v>73</v>
      </c>
      <c r="G28" s="12">
        <v>69</v>
      </c>
      <c r="H28" s="12">
        <v>121</v>
      </c>
      <c r="I28" s="12">
        <v>145</v>
      </c>
      <c r="J28" s="12">
        <v>24</v>
      </c>
      <c r="K28" s="12">
        <v>92</v>
      </c>
      <c r="L28" s="12">
        <v>122</v>
      </c>
      <c r="M28" s="12">
        <v>162</v>
      </c>
      <c r="N28" s="12">
        <v>174</v>
      </c>
      <c r="O28" s="12">
        <v>125</v>
      </c>
      <c r="P28" s="12">
        <v>132</v>
      </c>
      <c r="Q28" s="12">
        <v>201</v>
      </c>
      <c r="R28" s="12">
        <v>55</v>
      </c>
      <c r="S28" s="12">
        <v>106</v>
      </c>
      <c r="T28" s="12">
        <v>49</v>
      </c>
      <c r="U28" s="12">
        <v>73</v>
      </c>
      <c r="V28" s="12">
        <v>107</v>
      </c>
      <c r="W28" s="12">
        <v>116</v>
      </c>
      <c r="X28" s="12">
        <v>137</v>
      </c>
      <c r="Y28" s="12">
        <v>97</v>
      </c>
      <c r="Z28" s="12">
        <v>144</v>
      </c>
      <c r="AA28" s="12">
        <v>178</v>
      </c>
      <c r="AB28" s="12">
        <v>138</v>
      </c>
      <c r="AC28" s="12">
        <v>76</v>
      </c>
      <c r="AD28" s="12">
        <v>84</v>
      </c>
      <c r="AE28" s="12">
        <v>130</v>
      </c>
      <c r="AF28" s="12">
        <v>104</v>
      </c>
    </row>
    <row r="29" spans="1:32">
      <c r="A29" s="19"/>
      <c r="B29" s="13" t="s">
        <v>585</v>
      </c>
      <c r="C29" s="14">
        <v>0.13</v>
      </c>
      <c r="D29" s="14">
        <v>0.11</v>
      </c>
      <c r="E29" s="14">
        <v>0.08</v>
      </c>
      <c r="F29" s="14">
        <v>7.0000000000000007E-2</v>
      </c>
      <c r="G29" s="14">
        <v>7.0000000000000007E-2</v>
      </c>
      <c r="H29" s="14">
        <v>0.1</v>
      </c>
      <c r="I29" s="14">
        <v>0.1</v>
      </c>
      <c r="J29" s="14">
        <v>0.08</v>
      </c>
      <c r="K29" s="14">
        <v>0.09</v>
      </c>
      <c r="L29" s="14">
        <v>0.12</v>
      </c>
      <c r="M29" s="14">
        <v>0.16</v>
      </c>
      <c r="N29" s="14">
        <v>0.17</v>
      </c>
      <c r="O29" s="14">
        <v>0.12</v>
      </c>
      <c r="P29" s="14">
        <v>0.13</v>
      </c>
      <c r="Q29" s="14">
        <v>0.19</v>
      </c>
      <c r="R29" s="14">
        <v>0.11</v>
      </c>
      <c r="S29" s="14">
        <v>0.11</v>
      </c>
      <c r="T29" s="14">
        <v>0.05</v>
      </c>
      <c r="U29" s="14">
        <v>0.14000000000000001</v>
      </c>
      <c r="V29" s="14">
        <v>0.11</v>
      </c>
      <c r="W29" s="14">
        <v>0.23</v>
      </c>
      <c r="X29" s="14">
        <v>0.14000000000000001</v>
      </c>
      <c r="Y29" s="14">
        <v>0.1</v>
      </c>
      <c r="Z29" s="14">
        <v>0.14000000000000001</v>
      </c>
      <c r="AA29" s="14">
        <v>0.17</v>
      </c>
      <c r="AB29" s="14">
        <v>0.13</v>
      </c>
      <c r="AC29" s="14">
        <v>0.08</v>
      </c>
      <c r="AD29" s="14">
        <v>0.08</v>
      </c>
      <c r="AE29" s="14">
        <v>0.13</v>
      </c>
      <c r="AF29" s="14">
        <v>0.1</v>
      </c>
    </row>
    <row r="30" spans="1:32">
      <c r="A30" s="19"/>
      <c r="B30" s="11" t="s">
        <v>586</v>
      </c>
      <c r="C30" s="12">
        <v>4739</v>
      </c>
      <c r="D30" s="12">
        <v>132</v>
      </c>
      <c r="E30" s="12">
        <v>166</v>
      </c>
      <c r="F30" s="12">
        <v>108</v>
      </c>
      <c r="G30" s="12">
        <v>102</v>
      </c>
      <c r="H30" s="12">
        <v>184</v>
      </c>
      <c r="I30" s="12">
        <v>220</v>
      </c>
      <c r="J30" s="12">
        <v>36</v>
      </c>
      <c r="K30" s="12">
        <v>171</v>
      </c>
      <c r="L30" s="12">
        <v>230</v>
      </c>
      <c r="M30" s="12">
        <v>92</v>
      </c>
      <c r="N30" s="12">
        <v>300</v>
      </c>
      <c r="O30" s="12">
        <v>205</v>
      </c>
      <c r="P30" s="12">
        <v>194</v>
      </c>
      <c r="Q30" s="12">
        <v>251</v>
      </c>
      <c r="R30" s="12">
        <v>97</v>
      </c>
      <c r="S30" s="12">
        <v>197</v>
      </c>
      <c r="T30" s="12">
        <v>133</v>
      </c>
      <c r="U30" s="12">
        <v>98</v>
      </c>
      <c r="V30" s="12">
        <v>135</v>
      </c>
      <c r="W30" s="12">
        <v>123</v>
      </c>
      <c r="X30" s="12">
        <v>95</v>
      </c>
      <c r="Y30" s="12">
        <v>166</v>
      </c>
      <c r="Z30" s="12">
        <v>154</v>
      </c>
      <c r="AA30" s="12">
        <v>208</v>
      </c>
      <c r="AB30" s="12">
        <v>93</v>
      </c>
      <c r="AC30" s="12">
        <v>227</v>
      </c>
      <c r="AD30" s="12">
        <v>77</v>
      </c>
      <c r="AE30" s="12">
        <v>140</v>
      </c>
      <c r="AF30" s="12">
        <v>137</v>
      </c>
    </row>
    <row r="31" spans="1:32">
      <c r="A31" s="19"/>
      <c r="B31" s="13" t="s">
        <v>587</v>
      </c>
      <c r="C31" s="14">
        <v>0.18</v>
      </c>
      <c r="D31" s="14">
        <v>0.13</v>
      </c>
      <c r="E31" s="14">
        <v>0.16</v>
      </c>
      <c r="F31" s="14">
        <v>0.1</v>
      </c>
      <c r="G31" s="14">
        <v>0.1</v>
      </c>
      <c r="H31" s="14">
        <v>0.15</v>
      </c>
      <c r="I31" s="14">
        <v>0.14000000000000001</v>
      </c>
      <c r="J31" s="14">
        <v>0.12</v>
      </c>
      <c r="K31" s="14">
        <v>0.17</v>
      </c>
      <c r="L31" s="14">
        <v>0.23</v>
      </c>
      <c r="M31" s="14">
        <v>0.09</v>
      </c>
      <c r="N31" s="14">
        <v>0.3</v>
      </c>
      <c r="O31" s="14">
        <v>0.21</v>
      </c>
      <c r="P31" s="14">
        <v>0.19</v>
      </c>
      <c r="Q31" s="14">
        <v>0.24</v>
      </c>
      <c r="R31" s="14">
        <v>0.19</v>
      </c>
      <c r="S31" s="14">
        <v>0.19</v>
      </c>
      <c r="T31" s="14">
        <v>0.13</v>
      </c>
      <c r="U31" s="14">
        <v>0.19</v>
      </c>
      <c r="V31" s="14">
        <v>0.13</v>
      </c>
      <c r="W31" s="14">
        <v>0.24</v>
      </c>
      <c r="X31" s="14">
        <v>0.09</v>
      </c>
      <c r="Y31" s="14">
        <v>0.16</v>
      </c>
      <c r="Z31" s="14">
        <v>0.15</v>
      </c>
      <c r="AA31" s="14">
        <v>0.2</v>
      </c>
      <c r="AB31" s="14">
        <v>0.09</v>
      </c>
      <c r="AC31" s="14">
        <v>0.22</v>
      </c>
      <c r="AD31" s="14">
        <v>0.08</v>
      </c>
      <c r="AE31" s="14">
        <v>0.14000000000000001</v>
      </c>
      <c r="AF31" s="14">
        <v>0.13</v>
      </c>
    </row>
    <row r="32" spans="1:32">
      <c r="A32" s="19"/>
      <c r="B32" s="11" t="s">
        <v>386</v>
      </c>
      <c r="C32" s="12">
        <v>355</v>
      </c>
      <c r="D32" s="12">
        <v>3</v>
      </c>
      <c r="E32" s="12">
        <v>23</v>
      </c>
      <c r="F32" s="12">
        <v>8</v>
      </c>
      <c r="G32" s="12">
        <v>14</v>
      </c>
      <c r="H32" s="12">
        <v>17</v>
      </c>
      <c r="I32" s="12">
        <v>19</v>
      </c>
      <c r="J32" s="12">
        <v>3</v>
      </c>
      <c r="K32" s="12">
        <v>11</v>
      </c>
      <c r="L32" s="12">
        <v>6</v>
      </c>
      <c r="M32" s="12">
        <v>37</v>
      </c>
      <c r="N32" s="12">
        <v>12</v>
      </c>
      <c r="O32" s="12">
        <v>14</v>
      </c>
      <c r="P32" s="12">
        <v>21</v>
      </c>
      <c r="Q32" s="12">
        <v>5</v>
      </c>
      <c r="R32" s="12">
        <v>14</v>
      </c>
      <c r="S32" s="12">
        <v>25</v>
      </c>
      <c r="T32" s="12">
        <v>45</v>
      </c>
      <c r="U32" s="12">
        <v>4</v>
      </c>
      <c r="V32" s="12">
        <v>10</v>
      </c>
      <c r="W32" s="12">
        <v>5</v>
      </c>
      <c r="X32" s="12">
        <v>3</v>
      </c>
      <c r="Y32" s="12">
        <v>20</v>
      </c>
      <c r="Z32" s="12">
        <v>17</v>
      </c>
      <c r="AA32" s="12">
        <v>27</v>
      </c>
      <c r="AB32" s="12">
        <v>35</v>
      </c>
      <c r="AC32" s="12">
        <v>5</v>
      </c>
      <c r="AD32" s="12">
        <v>9</v>
      </c>
      <c r="AE32" s="12">
        <v>14</v>
      </c>
      <c r="AF32" s="12">
        <v>5</v>
      </c>
    </row>
    <row r="33" spans="1:32">
      <c r="A33" s="19"/>
      <c r="B33" s="13" t="s">
        <v>399</v>
      </c>
      <c r="C33" s="14">
        <v>0.01</v>
      </c>
      <c r="D33" s="15" t="s">
        <v>375</v>
      </c>
      <c r="E33" s="14">
        <v>0.02</v>
      </c>
      <c r="F33" s="14">
        <v>0.01</v>
      </c>
      <c r="G33" s="14">
        <v>0.01</v>
      </c>
      <c r="H33" s="14">
        <v>0.01</v>
      </c>
      <c r="I33" s="14">
        <v>0.01</v>
      </c>
      <c r="J33" s="14">
        <v>0.01</v>
      </c>
      <c r="K33" s="14">
        <v>0.01</v>
      </c>
      <c r="L33" s="14">
        <v>0.01</v>
      </c>
      <c r="M33" s="14">
        <v>0.04</v>
      </c>
      <c r="N33" s="14">
        <v>0.01</v>
      </c>
      <c r="O33" s="14">
        <v>0.01</v>
      </c>
      <c r="P33" s="14">
        <v>0.02</v>
      </c>
      <c r="Q33" s="15" t="s">
        <v>375</v>
      </c>
      <c r="R33" s="14">
        <v>0.03</v>
      </c>
      <c r="S33" s="14">
        <v>0.02</v>
      </c>
      <c r="T33" s="14">
        <v>0.04</v>
      </c>
      <c r="U33" s="14">
        <v>0.01</v>
      </c>
      <c r="V33" s="14">
        <v>0.01</v>
      </c>
      <c r="W33" s="14">
        <v>0.01</v>
      </c>
      <c r="X33" s="15" t="s">
        <v>375</v>
      </c>
      <c r="Y33" s="14">
        <v>0.02</v>
      </c>
      <c r="Z33" s="14">
        <v>0.02</v>
      </c>
      <c r="AA33" s="14">
        <v>0.03</v>
      </c>
      <c r="AB33" s="14">
        <v>0.04</v>
      </c>
      <c r="AC33" s="15" t="s">
        <v>375</v>
      </c>
      <c r="AD33" s="14">
        <v>0.01</v>
      </c>
      <c r="AE33" s="14">
        <v>0.01</v>
      </c>
      <c r="AF33" s="14">
        <v>0.01</v>
      </c>
    </row>
    <row r="34" spans="1:32">
      <c r="A34" s="19"/>
      <c r="B34" s="11" t="s">
        <v>588</v>
      </c>
      <c r="C34" s="12">
        <v>3157</v>
      </c>
      <c r="D34" s="12">
        <v>155</v>
      </c>
      <c r="E34" s="12">
        <v>223</v>
      </c>
      <c r="F34" s="12">
        <v>280</v>
      </c>
      <c r="G34" s="12">
        <v>246</v>
      </c>
      <c r="H34" s="12">
        <v>259</v>
      </c>
      <c r="I34" s="12">
        <v>303</v>
      </c>
      <c r="J34" s="12">
        <v>43</v>
      </c>
      <c r="K34" s="12">
        <v>203</v>
      </c>
      <c r="L34" s="12">
        <v>148</v>
      </c>
      <c r="M34" s="12">
        <v>81</v>
      </c>
      <c r="N34" s="12">
        <v>40</v>
      </c>
      <c r="O34" s="12">
        <v>95</v>
      </c>
      <c r="P34" s="12">
        <v>110</v>
      </c>
      <c r="Q34" s="12">
        <v>63</v>
      </c>
      <c r="R34" s="12">
        <v>31</v>
      </c>
      <c r="S34" s="12">
        <v>195</v>
      </c>
      <c r="T34" s="12">
        <v>221</v>
      </c>
      <c r="U34" s="12">
        <v>40</v>
      </c>
      <c r="V34" s="12">
        <v>141</v>
      </c>
      <c r="W34" s="12">
        <v>46</v>
      </c>
      <c r="X34" s="12">
        <v>147</v>
      </c>
      <c r="Y34" s="12">
        <v>145</v>
      </c>
      <c r="Z34" s="12">
        <v>41</v>
      </c>
      <c r="AA34" s="12">
        <v>158</v>
      </c>
      <c r="AB34" s="12">
        <v>112</v>
      </c>
      <c r="AC34" s="12">
        <v>216</v>
      </c>
      <c r="AD34" s="12">
        <v>127</v>
      </c>
      <c r="AE34" s="12">
        <v>169</v>
      </c>
      <c r="AF34" s="12">
        <v>167</v>
      </c>
    </row>
    <row r="35" spans="1:32">
      <c r="A35" s="19"/>
      <c r="B35" s="13" t="s">
        <v>589</v>
      </c>
      <c r="C35" s="14">
        <v>0.12</v>
      </c>
      <c r="D35" s="14">
        <v>0.16</v>
      </c>
      <c r="E35" s="14">
        <v>0.21</v>
      </c>
      <c r="F35" s="14">
        <v>0.26</v>
      </c>
      <c r="G35" s="14">
        <v>0.25</v>
      </c>
      <c r="H35" s="14">
        <v>0.22</v>
      </c>
      <c r="I35" s="14">
        <v>0.2</v>
      </c>
      <c r="J35" s="14">
        <v>0.15</v>
      </c>
      <c r="K35" s="14">
        <v>0.2</v>
      </c>
      <c r="L35" s="14">
        <v>0.14000000000000001</v>
      </c>
      <c r="M35" s="14">
        <v>0.08</v>
      </c>
      <c r="N35" s="14">
        <v>0.04</v>
      </c>
      <c r="O35" s="14">
        <v>0.1</v>
      </c>
      <c r="P35" s="14">
        <v>0.11</v>
      </c>
      <c r="Q35" s="14">
        <v>7.0000000000000007E-2</v>
      </c>
      <c r="R35" s="14">
        <v>0.06</v>
      </c>
      <c r="S35" s="14">
        <v>0.2</v>
      </c>
      <c r="T35" s="14">
        <v>0.22</v>
      </c>
      <c r="U35" s="14">
        <v>0.09</v>
      </c>
      <c r="V35" s="14">
        <v>0.13</v>
      </c>
      <c r="W35" s="14">
        <v>0.1</v>
      </c>
      <c r="X35" s="14">
        <v>0.15</v>
      </c>
      <c r="Y35" s="14">
        <v>0.14000000000000001</v>
      </c>
      <c r="Z35" s="14">
        <v>0.04</v>
      </c>
      <c r="AA35" s="14">
        <v>0.15</v>
      </c>
      <c r="AB35" s="14">
        <v>0.1</v>
      </c>
      <c r="AC35" s="14">
        <v>0.22</v>
      </c>
      <c r="AD35" s="14">
        <v>0.13</v>
      </c>
      <c r="AE35" s="14">
        <v>0.17</v>
      </c>
      <c r="AF35" s="14">
        <v>0.16</v>
      </c>
    </row>
    <row r="36" spans="1:32">
      <c r="A36" s="19"/>
      <c r="B36" s="11" t="s">
        <v>590</v>
      </c>
      <c r="C36" s="12">
        <v>4950</v>
      </c>
      <c r="D36" s="12">
        <v>192</v>
      </c>
      <c r="E36" s="12">
        <v>273</v>
      </c>
      <c r="F36" s="12">
        <v>321</v>
      </c>
      <c r="G36" s="12">
        <v>252</v>
      </c>
      <c r="H36" s="12">
        <v>273</v>
      </c>
      <c r="I36" s="12">
        <v>355</v>
      </c>
      <c r="J36" s="12">
        <v>81</v>
      </c>
      <c r="K36" s="12">
        <v>228</v>
      </c>
      <c r="L36" s="12">
        <v>152</v>
      </c>
      <c r="M36" s="12">
        <v>174</v>
      </c>
      <c r="N36" s="12">
        <v>130</v>
      </c>
      <c r="O36" s="12">
        <v>173</v>
      </c>
      <c r="P36" s="12">
        <v>190</v>
      </c>
      <c r="Q36" s="12">
        <v>105</v>
      </c>
      <c r="R36" s="12">
        <v>98</v>
      </c>
      <c r="S36" s="12">
        <v>239</v>
      </c>
      <c r="T36" s="12">
        <v>284</v>
      </c>
      <c r="U36" s="12">
        <v>102</v>
      </c>
      <c r="V36" s="12">
        <v>282</v>
      </c>
      <c r="W36" s="12">
        <v>65</v>
      </c>
      <c r="X36" s="12">
        <v>208</v>
      </c>
      <c r="Y36" s="12">
        <v>255</v>
      </c>
      <c r="Z36" s="12">
        <v>200</v>
      </c>
      <c r="AA36" s="12">
        <v>146</v>
      </c>
      <c r="AB36" s="12">
        <v>229</v>
      </c>
      <c r="AC36" s="12">
        <v>224</v>
      </c>
      <c r="AD36" s="12">
        <v>260</v>
      </c>
      <c r="AE36" s="12">
        <v>190</v>
      </c>
      <c r="AF36" s="12">
        <v>230</v>
      </c>
    </row>
    <row r="37" spans="1:32">
      <c r="A37" s="19"/>
      <c r="B37" s="13" t="s">
        <v>591</v>
      </c>
      <c r="C37" s="14">
        <v>0.19</v>
      </c>
      <c r="D37" s="14">
        <v>0.19</v>
      </c>
      <c r="E37" s="14">
        <v>0.26</v>
      </c>
      <c r="F37" s="14">
        <v>0.3</v>
      </c>
      <c r="G37" s="14">
        <v>0.25</v>
      </c>
      <c r="H37" s="14">
        <v>0.22</v>
      </c>
      <c r="I37" s="14">
        <v>0.23</v>
      </c>
      <c r="J37" s="14">
        <v>0.27</v>
      </c>
      <c r="K37" s="14">
        <v>0.23</v>
      </c>
      <c r="L37" s="14">
        <v>0.15</v>
      </c>
      <c r="M37" s="14">
        <v>0.17</v>
      </c>
      <c r="N37" s="14">
        <v>0.13</v>
      </c>
      <c r="O37" s="14">
        <v>0.17</v>
      </c>
      <c r="P37" s="14">
        <v>0.19</v>
      </c>
      <c r="Q37" s="14">
        <v>0.1</v>
      </c>
      <c r="R37" s="14">
        <v>0.2</v>
      </c>
      <c r="S37" s="14">
        <v>0.24</v>
      </c>
      <c r="T37" s="14">
        <v>0.28000000000000003</v>
      </c>
      <c r="U37" s="14">
        <v>0.2</v>
      </c>
      <c r="V37" s="14">
        <v>0.28000000000000003</v>
      </c>
      <c r="W37" s="14">
        <v>0.13</v>
      </c>
      <c r="X37" s="14">
        <v>0.21</v>
      </c>
      <c r="Y37" s="14">
        <v>0.26</v>
      </c>
      <c r="Z37" s="14">
        <v>0.2</v>
      </c>
      <c r="AA37" s="14">
        <v>0.14000000000000001</v>
      </c>
      <c r="AB37" s="14">
        <v>0.22</v>
      </c>
      <c r="AC37" s="14">
        <v>0.22</v>
      </c>
      <c r="AD37" s="14">
        <v>0.26</v>
      </c>
      <c r="AE37" s="14">
        <v>0.19</v>
      </c>
      <c r="AF37" s="14">
        <v>0.22</v>
      </c>
    </row>
    <row r="38" spans="1:32">
      <c r="A38" s="19"/>
      <c r="B38" s="11" t="s">
        <v>592</v>
      </c>
      <c r="C38" s="12">
        <v>17993</v>
      </c>
      <c r="D38" s="12">
        <v>671</v>
      </c>
      <c r="E38" s="12">
        <v>529</v>
      </c>
      <c r="F38" s="12">
        <v>454</v>
      </c>
      <c r="G38" s="12">
        <v>504</v>
      </c>
      <c r="H38" s="12">
        <v>681</v>
      </c>
      <c r="I38" s="12">
        <v>850</v>
      </c>
      <c r="J38" s="12">
        <v>169</v>
      </c>
      <c r="K38" s="12">
        <v>566</v>
      </c>
      <c r="L38" s="12">
        <v>701</v>
      </c>
      <c r="M38" s="12">
        <v>716</v>
      </c>
      <c r="N38" s="12">
        <v>827</v>
      </c>
      <c r="O38" s="12">
        <v>723</v>
      </c>
      <c r="P38" s="12">
        <v>682</v>
      </c>
      <c r="Q38" s="12">
        <v>859</v>
      </c>
      <c r="R38" s="12">
        <v>358</v>
      </c>
      <c r="S38" s="12">
        <v>545</v>
      </c>
      <c r="T38" s="12">
        <v>474</v>
      </c>
      <c r="U38" s="12">
        <v>362</v>
      </c>
      <c r="V38" s="12">
        <v>593</v>
      </c>
      <c r="W38" s="12">
        <v>386</v>
      </c>
      <c r="X38" s="12">
        <v>652</v>
      </c>
      <c r="Y38" s="12">
        <v>583</v>
      </c>
      <c r="Z38" s="12">
        <v>759</v>
      </c>
      <c r="AA38" s="12">
        <v>706</v>
      </c>
      <c r="AB38" s="12">
        <v>665</v>
      </c>
      <c r="AC38" s="12">
        <v>560</v>
      </c>
      <c r="AD38" s="12">
        <v>607</v>
      </c>
      <c r="AE38" s="12">
        <v>629</v>
      </c>
      <c r="AF38" s="12">
        <v>630</v>
      </c>
    </row>
    <row r="39" spans="1:32">
      <c r="A39" s="19"/>
      <c r="B39" s="13" t="s">
        <v>593</v>
      </c>
      <c r="C39" s="14">
        <v>0.68</v>
      </c>
      <c r="D39" s="14">
        <v>0.65</v>
      </c>
      <c r="E39" s="14">
        <v>0.51</v>
      </c>
      <c r="F39" s="14">
        <v>0.43</v>
      </c>
      <c r="G39" s="14">
        <v>0.49</v>
      </c>
      <c r="H39" s="14">
        <v>0.55000000000000004</v>
      </c>
      <c r="I39" s="14">
        <v>0.56000000000000005</v>
      </c>
      <c r="J39" s="14">
        <v>0.57000000000000006</v>
      </c>
      <c r="K39" s="14">
        <v>0.56000000000000005</v>
      </c>
      <c r="L39" s="14">
        <v>0.70000000000000007</v>
      </c>
      <c r="M39" s="14">
        <v>0.71</v>
      </c>
      <c r="N39" s="14">
        <v>0.82000000000000006</v>
      </c>
      <c r="O39" s="14">
        <v>0.72</v>
      </c>
      <c r="P39" s="14">
        <v>0.68</v>
      </c>
      <c r="Q39" s="14">
        <v>0.83000000000000007</v>
      </c>
      <c r="R39" s="14">
        <v>0.71</v>
      </c>
      <c r="S39" s="14">
        <v>0.54</v>
      </c>
      <c r="T39" s="14">
        <v>0.46</v>
      </c>
      <c r="U39" s="14">
        <v>0.70000000000000007</v>
      </c>
      <c r="V39" s="14">
        <v>0.57999999999999996</v>
      </c>
      <c r="W39" s="14">
        <v>0.76</v>
      </c>
      <c r="X39" s="14">
        <v>0.64</v>
      </c>
      <c r="Y39" s="14">
        <v>0.57999999999999996</v>
      </c>
      <c r="Z39" s="14">
        <v>0.74</v>
      </c>
      <c r="AA39" s="14">
        <v>0.68</v>
      </c>
      <c r="AB39" s="14">
        <v>0.64</v>
      </c>
      <c r="AC39" s="14">
        <v>0.56000000000000005</v>
      </c>
      <c r="AD39" s="14">
        <v>0.6</v>
      </c>
      <c r="AE39" s="14">
        <v>0.63</v>
      </c>
      <c r="AF39" s="14">
        <v>0.61</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642</v>
      </c>
      <c r="C3" s="17"/>
      <c r="D3" s="17"/>
      <c r="E3" s="17"/>
      <c r="F3" s="17"/>
      <c r="H3" s="17" t="s">
        <v>643</v>
      </c>
      <c r="I3" s="17"/>
      <c r="J3" s="17"/>
      <c r="K3" s="17"/>
      <c r="L3" s="17"/>
    </row>
    <row r="4" spans="1:32" ht="27" customHeight="1">
      <c r="B4" s="17" t="s">
        <v>644</v>
      </c>
      <c r="C4" s="17"/>
      <c r="D4" s="17"/>
      <c r="E4" s="17"/>
      <c r="F4" s="17"/>
      <c r="H4" s="17" t="s">
        <v>645</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HYPERLINK("#Content!A42","&lt;&lt;Back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402</v>
      </c>
      <c r="D12" s="12">
        <v>42</v>
      </c>
      <c r="E12" s="12">
        <v>38</v>
      </c>
      <c r="F12" s="12">
        <v>40</v>
      </c>
      <c r="G12" s="12">
        <v>29</v>
      </c>
      <c r="H12" s="12">
        <v>19</v>
      </c>
      <c r="I12" s="12">
        <v>26</v>
      </c>
      <c r="J12" s="12">
        <v>7</v>
      </c>
      <c r="K12" s="12">
        <v>46</v>
      </c>
      <c r="L12" s="12">
        <v>43</v>
      </c>
      <c r="M12" s="12">
        <v>6</v>
      </c>
      <c r="N12" s="12">
        <v>10</v>
      </c>
      <c r="O12" s="12">
        <v>20</v>
      </c>
      <c r="P12" s="12">
        <v>15</v>
      </c>
      <c r="Q12" s="12">
        <v>8</v>
      </c>
      <c r="R12" s="12">
        <v>3</v>
      </c>
      <c r="S12" s="12">
        <v>38</v>
      </c>
      <c r="T12" s="12">
        <v>49</v>
      </c>
      <c r="U12" s="12">
        <v>6</v>
      </c>
      <c r="V12" s="12">
        <v>6</v>
      </c>
      <c r="W12" s="12">
        <v>13</v>
      </c>
      <c r="X12" s="12">
        <v>6</v>
      </c>
      <c r="Y12" s="12">
        <v>6</v>
      </c>
      <c r="Z12" s="12">
        <v>1</v>
      </c>
      <c r="AA12" s="12">
        <v>8</v>
      </c>
      <c r="AB12" s="12">
        <v>32</v>
      </c>
      <c r="AC12" s="12">
        <v>39</v>
      </c>
      <c r="AD12" s="12">
        <v>18</v>
      </c>
      <c r="AE12" s="12">
        <v>13</v>
      </c>
      <c r="AF12" s="12">
        <v>8</v>
      </c>
    </row>
    <row r="13" spans="1:32">
      <c r="A13" s="19"/>
      <c r="B13" s="13" t="s">
        <v>577</v>
      </c>
      <c r="C13" s="14">
        <v>0.02</v>
      </c>
      <c r="D13" s="14">
        <v>0.04</v>
      </c>
      <c r="E13" s="14">
        <v>0.04</v>
      </c>
      <c r="F13" s="14">
        <v>0.04</v>
      </c>
      <c r="G13" s="14">
        <v>0.03</v>
      </c>
      <c r="H13" s="14">
        <v>0.02</v>
      </c>
      <c r="I13" s="14">
        <v>0.02</v>
      </c>
      <c r="J13" s="14">
        <v>0.02</v>
      </c>
      <c r="K13" s="14">
        <v>0.05</v>
      </c>
      <c r="L13" s="14">
        <v>0.04</v>
      </c>
      <c r="M13" s="14">
        <v>0.01</v>
      </c>
      <c r="N13" s="14">
        <v>0.01</v>
      </c>
      <c r="O13" s="14">
        <v>0.02</v>
      </c>
      <c r="P13" s="14">
        <v>0.01</v>
      </c>
      <c r="Q13" s="14">
        <v>0.01</v>
      </c>
      <c r="R13" s="14">
        <v>0.01</v>
      </c>
      <c r="S13" s="14">
        <v>0.04</v>
      </c>
      <c r="T13" s="14">
        <v>0.05</v>
      </c>
      <c r="U13" s="14">
        <v>0.01</v>
      </c>
      <c r="V13" s="14">
        <v>0.01</v>
      </c>
      <c r="W13" s="14">
        <v>0.03</v>
      </c>
      <c r="X13" s="14">
        <v>0.01</v>
      </c>
      <c r="Y13" s="15" t="s">
        <v>375</v>
      </c>
      <c r="Z13" s="15" t="s">
        <v>375</v>
      </c>
      <c r="AA13" s="14">
        <v>0.01</v>
      </c>
      <c r="AB13" s="14">
        <v>0.03</v>
      </c>
      <c r="AC13" s="14">
        <v>0.04</v>
      </c>
      <c r="AD13" s="14">
        <v>0.02</v>
      </c>
      <c r="AE13" s="14">
        <v>0.01</v>
      </c>
      <c r="AF13" s="14">
        <v>0.01</v>
      </c>
    </row>
    <row r="14" spans="1:32">
      <c r="A14" s="19"/>
      <c r="B14" s="11" t="s">
        <v>578</v>
      </c>
      <c r="C14" s="12">
        <v>510</v>
      </c>
      <c r="D14" s="12">
        <v>19</v>
      </c>
      <c r="E14" s="12">
        <v>16</v>
      </c>
      <c r="F14" s="12">
        <v>21</v>
      </c>
      <c r="G14" s="12">
        <v>39</v>
      </c>
      <c r="H14" s="12">
        <v>78</v>
      </c>
      <c r="I14" s="12">
        <v>86</v>
      </c>
      <c r="J14" s="12">
        <v>7</v>
      </c>
      <c r="K14" s="12">
        <v>33</v>
      </c>
      <c r="L14" s="12">
        <v>7</v>
      </c>
      <c r="M14" s="12">
        <v>13</v>
      </c>
      <c r="N14" s="12">
        <v>9</v>
      </c>
      <c r="O14" s="12">
        <v>16</v>
      </c>
      <c r="P14" s="12">
        <v>14</v>
      </c>
      <c r="Q14" s="12">
        <v>4</v>
      </c>
      <c r="R14" s="12">
        <v>2</v>
      </c>
      <c r="S14" s="12">
        <v>19</v>
      </c>
      <c r="T14" s="12">
        <v>42</v>
      </c>
      <c r="U14" s="12">
        <v>4</v>
      </c>
      <c r="V14" s="12">
        <v>14</v>
      </c>
      <c r="W14" s="12">
        <v>5</v>
      </c>
      <c r="X14" s="12">
        <v>5</v>
      </c>
      <c r="Y14" s="12">
        <v>17</v>
      </c>
      <c r="Z14" s="12">
        <v>0</v>
      </c>
      <c r="AA14" s="12">
        <v>1</v>
      </c>
      <c r="AB14" s="12">
        <v>15</v>
      </c>
      <c r="AC14" s="12">
        <v>26</v>
      </c>
      <c r="AD14" s="12">
        <v>14</v>
      </c>
      <c r="AE14" s="12">
        <v>15</v>
      </c>
      <c r="AF14" s="12">
        <v>10</v>
      </c>
    </row>
    <row r="15" spans="1:32">
      <c r="A15" s="19"/>
      <c r="B15" s="13" t="s">
        <v>578</v>
      </c>
      <c r="C15" s="14">
        <v>0.02</v>
      </c>
      <c r="D15" s="14">
        <v>0.02</v>
      </c>
      <c r="E15" s="14">
        <v>0.02</v>
      </c>
      <c r="F15" s="14">
        <v>0.02</v>
      </c>
      <c r="G15" s="14">
        <v>0.04</v>
      </c>
      <c r="H15" s="14">
        <v>0.06</v>
      </c>
      <c r="I15" s="14">
        <v>0.05</v>
      </c>
      <c r="J15" s="14">
        <v>0.03</v>
      </c>
      <c r="K15" s="14">
        <v>0.03</v>
      </c>
      <c r="L15" s="14">
        <v>0.01</v>
      </c>
      <c r="M15" s="14">
        <v>0.01</v>
      </c>
      <c r="N15" s="14">
        <v>0.01</v>
      </c>
      <c r="O15" s="14">
        <v>0.02</v>
      </c>
      <c r="P15" s="14">
        <v>0.01</v>
      </c>
      <c r="Q15" s="15" t="s">
        <v>375</v>
      </c>
      <c r="R15" s="15" t="s">
        <v>375</v>
      </c>
      <c r="S15" s="14">
        <v>0.02</v>
      </c>
      <c r="T15" s="14">
        <v>0.04</v>
      </c>
      <c r="U15" s="14">
        <v>0.01</v>
      </c>
      <c r="V15" s="14">
        <v>0.01</v>
      </c>
      <c r="W15" s="14">
        <v>0.01</v>
      </c>
      <c r="X15" s="15" t="s">
        <v>375</v>
      </c>
      <c r="Y15" s="14">
        <v>0.02</v>
      </c>
      <c r="Z15" s="15" t="s">
        <v>375</v>
      </c>
      <c r="AA15" s="15" t="s">
        <v>375</v>
      </c>
      <c r="AB15" s="14">
        <v>0.01</v>
      </c>
      <c r="AC15" s="14">
        <v>0.03</v>
      </c>
      <c r="AD15" s="14">
        <v>0.01</v>
      </c>
      <c r="AE15" s="14">
        <v>0.01</v>
      </c>
      <c r="AF15" s="14">
        <v>0.01</v>
      </c>
    </row>
    <row r="16" spans="1:32">
      <c r="A16" s="19"/>
      <c r="B16" s="11" t="s">
        <v>579</v>
      </c>
      <c r="C16" s="12">
        <v>683</v>
      </c>
      <c r="D16" s="12">
        <v>30</v>
      </c>
      <c r="E16" s="12">
        <v>78</v>
      </c>
      <c r="F16" s="12">
        <v>48</v>
      </c>
      <c r="G16" s="12">
        <v>76</v>
      </c>
      <c r="H16" s="12">
        <v>33</v>
      </c>
      <c r="I16" s="12">
        <v>42</v>
      </c>
      <c r="J16" s="12">
        <v>10</v>
      </c>
      <c r="K16" s="12">
        <v>83</v>
      </c>
      <c r="L16" s="12">
        <v>12</v>
      </c>
      <c r="M16" s="12">
        <v>22</v>
      </c>
      <c r="N16" s="12">
        <v>14</v>
      </c>
      <c r="O16" s="12">
        <v>23</v>
      </c>
      <c r="P16" s="12">
        <v>29</v>
      </c>
      <c r="Q16" s="12">
        <v>21</v>
      </c>
      <c r="R16" s="12">
        <v>8</v>
      </c>
      <c r="S16" s="12">
        <v>43</v>
      </c>
      <c r="T16" s="12">
        <v>48</v>
      </c>
      <c r="U16" s="12">
        <v>9</v>
      </c>
      <c r="V16" s="12">
        <v>47</v>
      </c>
      <c r="W16" s="12">
        <v>21</v>
      </c>
      <c r="X16" s="12">
        <v>42</v>
      </c>
      <c r="Y16" s="12">
        <v>46</v>
      </c>
      <c r="Z16" s="12">
        <v>13</v>
      </c>
      <c r="AA16" s="12">
        <v>3</v>
      </c>
      <c r="AB16" s="12">
        <v>18</v>
      </c>
      <c r="AC16" s="12">
        <v>77</v>
      </c>
      <c r="AD16" s="12">
        <v>33</v>
      </c>
      <c r="AE16" s="12">
        <v>35</v>
      </c>
      <c r="AF16" s="12">
        <v>34</v>
      </c>
    </row>
    <row r="17" spans="1:32">
      <c r="A17" s="19"/>
      <c r="B17" s="13" t="s">
        <v>579</v>
      </c>
      <c r="C17" s="14">
        <v>0.03</v>
      </c>
      <c r="D17" s="14">
        <v>0.03</v>
      </c>
      <c r="E17" s="14">
        <v>7.0000000000000007E-2</v>
      </c>
      <c r="F17" s="14">
        <v>0.05</v>
      </c>
      <c r="G17" s="14">
        <v>7.0000000000000007E-2</v>
      </c>
      <c r="H17" s="14">
        <v>0.03</v>
      </c>
      <c r="I17" s="14">
        <v>0.03</v>
      </c>
      <c r="J17" s="14">
        <v>0.03</v>
      </c>
      <c r="K17" s="14">
        <v>0.08</v>
      </c>
      <c r="L17" s="14">
        <v>0.01</v>
      </c>
      <c r="M17" s="14">
        <v>0.02</v>
      </c>
      <c r="N17" s="14">
        <v>0.01</v>
      </c>
      <c r="O17" s="14">
        <v>0.02</v>
      </c>
      <c r="P17" s="14">
        <v>0.03</v>
      </c>
      <c r="Q17" s="14">
        <v>0.02</v>
      </c>
      <c r="R17" s="14">
        <v>0.02</v>
      </c>
      <c r="S17" s="14">
        <v>0.04</v>
      </c>
      <c r="T17" s="14">
        <v>0.05</v>
      </c>
      <c r="U17" s="14">
        <v>0.02</v>
      </c>
      <c r="V17" s="14">
        <v>0.05</v>
      </c>
      <c r="W17" s="14">
        <v>0.04</v>
      </c>
      <c r="X17" s="14">
        <v>0.04</v>
      </c>
      <c r="Y17" s="14">
        <v>0.05</v>
      </c>
      <c r="Z17" s="14">
        <v>0.01</v>
      </c>
      <c r="AA17" s="15" t="s">
        <v>375</v>
      </c>
      <c r="AB17" s="14">
        <v>0.02</v>
      </c>
      <c r="AC17" s="14">
        <v>0.08</v>
      </c>
      <c r="AD17" s="14">
        <v>0.03</v>
      </c>
      <c r="AE17" s="14">
        <v>0.04</v>
      </c>
      <c r="AF17" s="14">
        <v>0.03</v>
      </c>
    </row>
    <row r="18" spans="1:32">
      <c r="A18" s="19"/>
      <c r="B18" s="11" t="s">
        <v>580</v>
      </c>
      <c r="C18" s="12">
        <v>1199</v>
      </c>
      <c r="D18" s="12">
        <v>55</v>
      </c>
      <c r="E18" s="12">
        <v>80</v>
      </c>
      <c r="F18" s="12">
        <v>91</v>
      </c>
      <c r="G18" s="12">
        <v>92</v>
      </c>
      <c r="H18" s="12">
        <v>78</v>
      </c>
      <c r="I18" s="12">
        <v>93</v>
      </c>
      <c r="J18" s="12">
        <v>16</v>
      </c>
      <c r="K18" s="12">
        <v>80</v>
      </c>
      <c r="L18" s="12">
        <v>46</v>
      </c>
      <c r="M18" s="12">
        <v>44</v>
      </c>
      <c r="N18" s="12">
        <v>18</v>
      </c>
      <c r="O18" s="12">
        <v>42</v>
      </c>
      <c r="P18" s="12">
        <v>50</v>
      </c>
      <c r="Q18" s="12">
        <v>37</v>
      </c>
      <c r="R18" s="12">
        <v>16</v>
      </c>
      <c r="S18" s="12">
        <v>63</v>
      </c>
      <c r="T18" s="12">
        <v>80</v>
      </c>
      <c r="U18" s="12">
        <v>29</v>
      </c>
      <c r="V18" s="12">
        <v>87</v>
      </c>
      <c r="W18" s="12">
        <v>19</v>
      </c>
      <c r="X18" s="12">
        <v>45</v>
      </c>
      <c r="Y18" s="12">
        <v>56</v>
      </c>
      <c r="Z18" s="12">
        <v>27</v>
      </c>
      <c r="AA18" s="12">
        <v>27</v>
      </c>
      <c r="AB18" s="12">
        <v>39</v>
      </c>
      <c r="AC18" s="12">
        <v>70</v>
      </c>
      <c r="AD18" s="12">
        <v>38</v>
      </c>
      <c r="AE18" s="12">
        <v>58</v>
      </c>
      <c r="AF18" s="12">
        <v>65</v>
      </c>
    </row>
    <row r="19" spans="1:32">
      <c r="A19" s="19"/>
      <c r="B19" s="13" t="s">
        <v>580</v>
      </c>
      <c r="C19" s="14">
        <v>0.05</v>
      </c>
      <c r="D19" s="14">
        <v>0.05</v>
      </c>
      <c r="E19" s="14">
        <v>0.08</v>
      </c>
      <c r="F19" s="14">
        <v>0.08</v>
      </c>
      <c r="G19" s="14">
        <v>0.09</v>
      </c>
      <c r="H19" s="14">
        <v>0.06</v>
      </c>
      <c r="I19" s="14">
        <v>0.06</v>
      </c>
      <c r="J19" s="14">
        <v>0.05</v>
      </c>
      <c r="K19" s="14">
        <v>0.08</v>
      </c>
      <c r="L19" s="14">
        <v>0.05</v>
      </c>
      <c r="M19" s="14">
        <v>0.04</v>
      </c>
      <c r="N19" s="14">
        <v>0.02</v>
      </c>
      <c r="O19" s="14">
        <v>0.04</v>
      </c>
      <c r="P19" s="14">
        <v>0.05</v>
      </c>
      <c r="Q19" s="14">
        <v>0.04</v>
      </c>
      <c r="R19" s="14">
        <v>0.03</v>
      </c>
      <c r="S19" s="14">
        <v>0.06</v>
      </c>
      <c r="T19" s="14">
        <v>0.08</v>
      </c>
      <c r="U19" s="14">
        <v>0.06</v>
      </c>
      <c r="V19" s="14">
        <v>0.09</v>
      </c>
      <c r="W19" s="14">
        <v>0.04</v>
      </c>
      <c r="X19" s="14">
        <v>0.04</v>
      </c>
      <c r="Y19" s="14">
        <v>0.06</v>
      </c>
      <c r="Z19" s="14">
        <v>0.03</v>
      </c>
      <c r="AA19" s="14">
        <v>0.03</v>
      </c>
      <c r="AB19" s="14">
        <v>0.04</v>
      </c>
      <c r="AC19" s="14">
        <v>7.0000000000000007E-2</v>
      </c>
      <c r="AD19" s="14">
        <v>0.04</v>
      </c>
      <c r="AE19" s="14">
        <v>0.06</v>
      </c>
      <c r="AF19" s="14">
        <v>0.06</v>
      </c>
    </row>
    <row r="20" spans="1:32">
      <c r="A20" s="19"/>
      <c r="B20" s="11" t="s">
        <v>581</v>
      </c>
      <c r="C20" s="12">
        <v>2973</v>
      </c>
      <c r="D20" s="12">
        <v>135</v>
      </c>
      <c r="E20" s="12">
        <v>136</v>
      </c>
      <c r="F20" s="12">
        <v>164</v>
      </c>
      <c r="G20" s="12">
        <v>160</v>
      </c>
      <c r="H20" s="12">
        <v>153</v>
      </c>
      <c r="I20" s="12">
        <v>201</v>
      </c>
      <c r="J20" s="12">
        <v>48</v>
      </c>
      <c r="K20" s="12">
        <v>161</v>
      </c>
      <c r="L20" s="12">
        <v>92</v>
      </c>
      <c r="M20" s="12">
        <v>81</v>
      </c>
      <c r="N20" s="12">
        <v>72</v>
      </c>
      <c r="O20" s="12">
        <v>166</v>
      </c>
      <c r="P20" s="12">
        <v>97</v>
      </c>
      <c r="Q20" s="12">
        <v>63</v>
      </c>
      <c r="R20" s="12">
        <v>48</v>
      </c>
      <c r="S20" s="12">
        <v>166</v>
      </c>
      <c r="T20" s="12">
        <v>175</v>
      </c>
      <c r="U20" s="12">
        <v>52</v>
      </c>
      <c r="V20" s="12">
        <v>145</v>
      </c>
      <c r="W20" s="12">
        <v>35</v>
      </c>
      <c r="X20" s="12">
        <v>91</v>
      </c>
      <c r="Y20" s="12">
        <v>109</v>
      </c>
      <c r="Z20" s="12">
        <v>93</v>
      </c>
      <c r="AA20" s="12">
        <v>143</v>
      </c>
      <c r="AB20" s="12">
        <v>88</v>
      </c>
      <c r="AC20" s="12">
        <v>164</v>
      </c>
      <c r="AD20" s="12">
        <v>114</v>
      </c>
      <c r="AE20" s="12">
        <v>106</v>
      </c>
      <c r="AF20" s="12">
        <v>137</v>
      </c>
    </row>
    <row r="21" spans="1:32">
      <c r="A21" s="19"/>
      <c r="B21" s="13" t="s">
        <v>581</v>
      </c>
      <c r="C21" s="14">
        <v>0.11</v>
      </c>
      <c r="D21" s="14">
        <v>0.13</v>
      </c>
      <c r="E21" s="14">
        <v>0.13</v>
      </c>
      <c r="F21" s="14">
        <v>0.15</v>
      </c>
      <c r="G21" s="14">
        <v>0.16</v>
      </c>
      <c r="H21" s="14">
        <v>0.12</v>
      </c>
      <c r="I21" s="14">
        <v>0.13</v>
      </c>
      <c r="J21" s="14">
        <v>0.16</v>
      </c>
      <c r="K21" s="14">
        <v>0.16</v>
      </c>
      <c r="L21" s="14">
        <v>0.09</v>
      </c>
      <c r="M21" s="14">
        <v>0.08</v>
      </c>
      <c r="N21" s="14">
        <v>7.0000000000000007E-2</v>
      </c>
      <c r="O21" s="14">
        <v>0.17</v>
      </c>
      <c r="P21" s="14">
        <v>0.1</v>
      </c>
      <c r="Q21" s="14">
        <v>0.06</v>
      </c>
      <c r="R21" s="14">
        <v>0.1</v>
      </c>
      <c r="S21" s="14">
        <v>0.17</v>
      </c>
      <c r="T21" s="14">
        <v>0.17</v>
      </c>
      <c r="U21" s="14">
        <v>0.1</v>
      </c>
      <c r="V21" s="14">
        <v>0.14000000000000001</v>
      </c>
      <c r="W21" s="14">
        <v>7.0000000000000007E-2</v>
      </c>
      <c r="X21" s="14">
        <v>0.09</v>
      </c>
      <c r="Y21" s="14">
        <v>0.11</v>
      </c>
      <c r="Z21" s="14">
        <v>0.09</v>
      </c>
      <c r="AA21" s="14">
        <v>0.14000000000000001</v>
      </c>
      <c r="AB21" s="14">
        <v>0.08</v>
      </c>
      <c r="AC21" s="14">
        <v>0.16</v>
      </c>
      <c r="AD21" s="14">
        <v>0.11</v>
      </c>
      <c r="AE21" s="14">
        <v>0.11</v>
      </c>
      <c r="AF21" s="14">
        <v>0.13</v>
      </c>
    </row>
    <row r="22" spans="1:32">
      <c r="A22" s="19"/>
      <c r="B22" s="11" t="s">
        <v>582</v>
      </c>
      <c r="C22" s="12">
        <v>3264</v>
      </c>
      <c r="D22" s="12">
        <v>167</v>
      </c>
      <c r="E22" s="12">
        <v>134</v>
      </c>
      <c r="F22" s="12">
        <v>176</v>
      </c>
      <c r="G22" s="12">
        <v>157</v>
      </c>
      <c r="H22" s="12">
        <v>155</v>
      </c>
      <c r="I22" s="12">
        <v>195</v>
      </c>
      <c r="J22" s="12">
        <v>40</v>
      </c>
      <c r="K22" s="12">
        <v>115</v>
      </c>
      <c r="L22" s="12">
        <v>78</v>
      </c>
      <c r="M22" s="12">
        <v>107</v>
      </c>
      <c r="N22" s="12">
        <v>126</v>
      </c>
      <c r="O22" s="12">
        <v>112</v>
      </c>
      <c r="P22" s="12">
        <v>134</v>
      </c>
      <c r="Q22" s="12">
        <v>89</v>
      </c>
      <c r="R22" s="12">
        <v>55</v>
      </c>
      <c r="S22" s="12">
        <v>102</v>
      </c>
      <c r="T22" s="12">
        <v>137</v>
      </c>
      <c r="U22" s="12">
        <v>69</v>
      </c>
      <c r="V22" s="12">
        <v>138</v>
      </c>
      <c r="W22" s="12">
        <v>69</v>
      </c>
      <c r="X22" s="12">
        <v>138</v>
      </c>
      <c r="Y22" s="12">
        <v>145</v>
      </c>
      <c r="Z22" s="12">
        <v>148</v>
      </c>
      <c r="AA22" s="12">
        <v>141</v>
      </c>
      <c r="AB22" s="12">
        <v>146</v>
      </c>
      <c r="AC22" s="12">
        <v>111</v>
      </c>
      <c r="AD22" s="12">
        <v>108</v>
      </c>
      <c r="AE22" s="12">
        <v>130</v>
      </c>
      <c r="AF22" s="12">
        <v>141</v>
      </c>
    </row>
    <row r="23" spans="1:32">
      <c r="A23" s="19"/>
      <c r="B23" s="13" t="s">
        <v>582</v>
      </c>
      <c r="C23" s="14">
        <v>0.12</v>
      </c>
      <c r="D23" s="14">
        <v>0.16</v>
      </c>
      <c r="E23" s="14">
        <v>0.13</v>
      </c>
      <c r="F23" s="14">
        <v>0.17</v>
      </c>
      <c r="G23" s="14">
        <v>0.15</v>
      </c>
      <c r="H23" s="14">
        <v>0.13</v>
      </c>
      <c r="I23" s="14">
        <v>0.13</v>
      </c>
      <c r="J23" s="14">
        <v>0.14000000000000001</v>
      </c>
      <c r="K23" s="14">
        <v>0.11</v>
      </c>
      <c r="L23" s="14">
        <v>0.08</v>
      </c>
      <c r="M23" s="14">
        <v>0.11</v>
      </c>
      <c r="N23" s="14">
        <v>0.13</v>
      </c>
      <c r="O23" s="14">
        <v>0.11</v>
      </c>
      <c r="P23" s="14">
        <v>0.13</v>
      </c>
      <c r="Q23" s="14">
        <v>0.09</v>
      </c>
      <c r="R23" s="14">
        <v>0.11</v>
      </c>
      <c r="S23" s="14">
        <v>0.1</v>
      </c>
      <c r="T23" s="14">
        <v>0.13</v>
      </c>
      <c r="U23" s="14">
        <v>0.13</v>
      </c>
      <c r="V23" s="14">
        <v>0.13</v>
      </c>
      <c r="W23" s="14">
        <v>0.14000000000000001</v>
      </c>
      <c r="X23" s="14">
        <v>0.14000000000000001</v>
      </c>
      <c r="Y23" s="14">
        <v>0.14000000000000001</v>
      </c>
      <c r="Z23" s="14">
        <v>0.15</v>
      </c>
      <c r="AA23" s="14">
        <v>0.14000000000000001</v>
      </c>
      <c r="AB23" s="14">
        <v>0.14000000000000001</v>
      </c>
      <c r="AC23" s="14">
        <v>0.11</v>
      </c>
      <c r="AD23" s="14">
        <v>0.11</v>
      </c>
      <c r="AE23" s="14">
        <v>0.13</v>
      </c>
      <c r="AF23" s="14">
        <v>0.14000000000000001</v>
      </c>
    </row>
    <row r="24" spans="1:32">
      <c r="A24" s="19"/>
      <c r="B24" s="11" t="s">
        <v>583</v>
      </c>
      <c r="C24" s="12">
        <v>4819</v>
      </c>
      <c r="D24" s="12">
        <v>200</v>
      </c>
      <c r="E24" s="12">
        <v>138</v>
      </c>
      <c r="F24" s="12">
        <v>188</v>
      </c>
      <c r="G24" s="12">
        <v>184</v>
      </c>
      <c r="H24" s="12">
        <v>209</v>
      </c>
      <c r="I24" s="12">
        <v>264</v>
      </c>
      <c r="J24" s="12">
        <v>55</v>
      </c>
      <c r="K24" s="12">
        <v>144</v>
      </c>
      <c r="L24" s="12">
        <v>193</v>
      </c>
      <c r="M24" s="12">
        <v>192</v>
      </c>
      <c r="N24" s="12">
        <v>162</v>
      </c>
      <c r="O24" s="12">
        <v>208</v>
      </c>
      <c r="P24" s="12">
        <v>172</v>
      </c>
      <c r="Q24" s="12">
        <v>167</v>
      </c>
      <c r="R24" s="12">
        <v>118</v>
      </c>
      <c r="S24" s="12">
        <v>138</v>
      </c>
      <c r="T24" s="12">
        <v>168</v>
      </c>
      <c r="U24" s="12">
        <v>119</v>
      </c>
      <c r="V24" s="12">
        <v>202</v>
      </c>
      <c r="W24" s="12">
        <v>107</v>
      </c>
      <c r="X24" s="12">
        <v>234</v>
      </c>
      <c r="Y24" s="12">
        <v>171</v>
      </c>
      <c r="Z24" s="12">
        <v>196</v>
      </c>
      <c r="AA24" s="12">
        <v>190</v>
      </c>
      <c r="AB24" s="12">
        <v>189</v>
      </c>
      <c r="AC24" s="12">
        <v>134</v>
      </c>
      <c r="AD24" s="12">
        <v>219</v>
      </c>
      <c r="AE24" s="12">
        <v>203</v>
      </c>
      <c r="AF24" s="12">
        <v>204</v>
      </c>
    </row>
    <row r="25" spans="1:32">
      <c r="A25" s="19"/>
      <c r="B25" s="13" t="s">
        <v>583</v>
      </c>
      <c r="C25" s="14">
        <v>0.18</v>
      </c>
      <c r="D25" s="14">
        <v>0.2</v>
      </c>
      <c r="E25" s="14">
        <v>0.13</v>
      </c>
      <c r="F25" s="14">
        <v>0.18</v>
      </c>
      <c r="G25" s="14">
        <v>0.18</v>
      </c>
      <c r="H25" s="14">
        <v>0.17</v>
      </c>
      <c r="I25" s="14">
        <v>0.17</v>
      </c>
      <c r="J25" s="14">
        <v>0.19</v>
      </c>
      <c r="K25" s="14">
        <v>0.14000000000000001</v>
      </c>
      <c r="L25" s="14">
        <v>0.19</v>
      </c>
      <c r="M25" s="14">
        <v>0.19</v>
      </c>
      <c r="N25" s="14">
        <v>0.16</v>
      </c>
      <c r="O25" s="14">
        <v>0.21</v>
      </c>
      <c r="P25" s="14">
        <v>0.17</v>
      </c>
      <c r="Q25" s="14">
        <v>0.16</v>
      </c>
      <c r="R25" s="14">
        <v>0.23</v>
      </c>
      <c r="S25" s="14">
        <v>0.14000000000000001</v>
      </c>
      <c r="T25" s="14">
        <v>0.16</v>
      </c>
      <c r="U25" s="14">
        <v>0.23</v>
      </c>
      <c r="V25" s="14">
        <v>0.2</v>
      </c>
      <c r="W25" s="14">
        <v>0.21</v>
      </c>
      <c r="X25" s="14">
        <v>0.23</v>
      </c>
      <c r="Y25" s="14">
        <v>0.17</v>
      </c>
      <c r="Z25" s="14">
        <v>0.19</v>
      </c>
      <c r="AA25" s="14">
        <v>0.18</v>
      </c>
      <c r="AB25" s="14">
        <v>0.18</v>
      </c>
      <c r="AC25" s="14">
        <v>0.13</v>
      </c>
      <c r="AD25" s="14">
        <v>0.22</v>
      </c>
      <c r="AE25" s="14">
        <v>0.2</v>
      </c>
      <c r="AF25" s="14">
        <v>0.2</v>
      </c>
    </row>
    <row r="26" spans="1:32">
      <c r="A26" s="19"/>
      <c r="B26" s="11" t="s">
        <v>584</v>
      </c>
      <c r="C26" s="12">
        <v>6064</v>
      </c>
      <c r="D26" s="12">
        <v>215</v>
      </c>
      <c r="E26" s="12">
        <v>165</v>
      </c>
      <c r="F26" s="12">
        <v>152</v>
      </c>
      <c r="G26" s="12">
        <v>139</v>
      </c>
      <c r="H26" s="12">
        <v>262</v>
      </c>
      <c r="I26" s="12">
        <v>319</v>
      </c>
      <c r="J26" s="12">
        <v>57</v>
      </c>
      <c r="K26" s="12">
        <v>139</v>
      </c>
      <c r="L26" s="12">
        <v>237</v>
      </c>
      <c r="M26" s="12">
        <v>294</v>
      </c>
      <c r="N26" s="12">
        <v>264</v>
      </c>
      <c r="O26" s="12">
        <v>210</v>
      </c>
      <c r="P26" s="12">
        <v>192</v>
      </c>
      <c r="Q26" s="12">
        <v>304</v>
      </c>
      <c r="R26" s="12">
        <v>102</v>
      </c>
      <c r="S26" s="12">
        <v>170</v>
      </c>
      <c r="T26" s="12">
        <v>120</v>
      </c>
      <c r="U26" s="12">
        <v>75</v>
      </c>
      <c r="V26" s="12">
        <v>178</v>
      </c>
      <c r="W26" s="12">
        <v>96</v>
      </c>
      <c r="X26" s="12">
        <v>248</v>
      </c>
      <c r="Y26" s="12">
        <v>207</v>
      </c>
      <c r="Z26" s="12">
        <v>267</v>
      </c>
      <c r="AA26" s="12">
        <v>167</v>
      </c>
      <c r="AB26" s="12">
        <v>252</v>
      </c>
      <c r="AC26" s="12">
        <v>119</v>
      </c>
      <c r="AD26" s="12">
        <v>267</v>
      </c>
      <c r="AE26" s="12">
        <v>209</v>
      </c>
      <c r="AF26" s="12">
        <v>204</v>
      </c>
    </row>
    <row r="27" spans="1:32">
      <c r="A27" s="19"/>
      <c r="B27" s="13" t="s">
        <v>584</v>
      </c>
      <c r="C27" s="14">
        <v>0.23</v>
      </c>
      <c r="D27" s="14">
        <v>0.21</v>
      </c>
      <c r="E27" s="14">
        <v>0.16</v>
      </c>
      <c r="F27" s="14">
        <v>0.14000000000000001</v>
      </c>
      <c r="G27" s="14">
        <v>0.14000000000000001</v>
      </c>
      <c r="H27" s="14">
        <v>0.21</v>
      </c>
      <c r="I27" s="14">
        <v>0.21</v>
      </c>
      <c r="J27" s="14">
        <v>0.19</v>
      </c>
      <c r="K27" s="14">
        <v>0.14000000000000001</v>
      </c>
      <c r="L27" s="14">
        <v>0.24</v>
      </c>
      <c r="M27" s="14">
        <v>0.28999999999999998</v>
      </c>
      <c r="N27" s="14">
        <v>0.26</v>
      </c>
      <c r="O27" s="14">
        <v>0.21</v>
      </c>
      <c r="P27" s="14">
        <v>0.19</v>
      </c>
      <c r="Q27" s="14">
        <v>0.28999999999999998</v>
      </c>
      <c r="R27" s="14">
        <v>0.2</v>
      </c>
      <c r="S27" s="14">
        <v>0.17</v>
      </c>
      <c r="T27" s="14">
        <v>0.12</v>
      </c>
      <c r="U27" s="14">
        <v>0.15</v>
      </c>
      <c r="V27" s="14">
        <v>0.17</v>
      </c>
      <c r="W27" s="14">
        <v>0.19</v>
      </c>
      <c r="X27" s="14">
        <v>0.25</v>
      </c>
      <c r="Y27" s="14">
        <v>0.21</v>
      </c>
      <c r="Z27" s="14">
        <v>0.26</v>
      </c>
      <c r="AA27" s="14">
        <v>0.16</v>
      </c>
      <c r="AB27" s="14">
        <v>0.24</v>
      </c>
      <c r="AC27" s="14">
        <v>0.12</v>
      </c>
      <c r="AD27" s="14">
        <v>0.27</v>
      </c>
      <c r="AE27" s="14">
        <v>0.21</v>
      </c>
      <c r="AF27" s="14">
        <v>0.2</v>
      </c>
    </row>
    <row r="28" spans="1:32">
      <c r="A28" s="19"/>
      <c r="B28" s="11" t="s">
        <v>585</v>
      </c>
      <c r="C28" s="12">
        <v>2770</v>
      </c>
      <c r="D28" s="12">
        <v>85</v>
      </c>
      <c r="E28" s="12">
        <v>78</v>
      </c>
      <c r="F28" s="12">
        <v>68</v>
      </c>
      <c r="G28" s="12">
        <v>60</v>
      </c>
      <c r="H28" s="12">
        <v>95</v>
      </c>
      <c r="I28" s="12">
        <v>122</v>
      </c>
      <c r="J28" s="12">
        <v>27</v>
      </c>
      <c r="K28" s="12">
        <v>58</v>
      </c>
      <c r="L28" s="12">
        <v>114</v>
      </c>
      <c r="M28" s="12">
        <v>157</v>
      </c>
      <c r="N28" s="12">
        <v>132</v>
      </c>
      <c r="O28" s="12">
        <v>53</v>
      </c>
      <c r="P28" s="12">
        <v>97</v>
      </c>
      <c r="Q28" s="12">
        <v>172</v>
      </c>
      <c r="R28" s="12">
        <v>37</v>
      </c>
      <c r="S28" s="12">
        <v>91</v>
      </c>
      <c r="T28" s="12">
        <v>69</v>
      </c>
      <c r="U28" s="12">
        <v>44</v>
      </c>
      <c r="V28" s="12">
        <v>93</v>
      </c>
      <c r="W28" s="12">
        <v>64</v>
      </c>
      <c r="X28" s="12">
        <v>116</v>
      </c>
      <c r="Y28" s="12">
        <v>94</v>
      </c>
      <c r="Z28" s="12">
        <v>124</v>
      </c>
      <c r="AA28" s="12">
        <v>130</v>
      </c>
      <c r="AB28" s="12">
        <v>142</v>
      </c>
      <c r="AC28" s="12">
        <v>53</v>
      </c>
      <c r="AD28" s="12">
        <v>110</v>
      </c>
      <c r="AE28" s="12">
        <v>104</v>
      </c>
      <c r="AF28" s="12">
        <v>106</v>
      </c>
    </row>
    <row r="29" spans="1:32">
      <c r="A29" s="19"/>
      <c r="B29" s="13" t="s">
        <v>585</v>
      </c>
      <c r="C29" s="14">
        <v>0.1</v>
      </c>
      <c r="D29" s="14">
        <v>0.08</v>
      </c>
      <c r="E29" s="14">
        <v>7.0000000000000007E-2</v>
      </c>
      <c r="F29" s="14">
        <v>0.06</v>
      </c>
      <c r="G29" s="14">
        <v>0.06</v>
      </c>
      <c r="H29" s="14">
        <v>0.08</v>
      </c>
      <c r="I29" s="14">
        <v>0.08</v>
      </c>
      <c r="J29" s="14">
        <v>0.09</v>
      </c>
      <c r="K29" s="14">
        <v>0.06</v>
      </c>
      <c r="L29" s="14">
        <v>0.11</v>
      </c>
      <c r="M29" s="14">
        <v>0.16</v>
      </c>
      <c r="N29" s="14">
        <v>0.13</v>
      </c>
      <c r="O29" s="14">
        <v>0.05</v>
      </c>
      <c r="P29" s="14">
        <v>0.1</v>
      </c>
      <c r="Q29" s="14">
        <v>0.17</v>
      </c>
      <c r="R29" s="14">
        <v>7.0000000000000007E-2</v>
      </c>
      <c r="S29" s="14">
        <v>0.09</v>
      </c>
      <c r="T29" s="14">
        <v>7.0000000000000007E-2</v>
      </c>
      <c r="U29" s="14">
        <v>0.09</v>
      </c>
      <c r="V29" s="14">
        <v>0.09</v>
      </c>
      <c r="W29" s="14">
        <v>0.13</v>
      </c>
      <c r="X29" s="14">
        <v>0.12</v>
      </c>
      <c r="Y29" s="14">
        <v>0.09</v>
      </c>
      <c r="Z29" s="14">
        <v>0.12</v>
      </c>
      <c r="AA29" s="14">
        <v>0.13</v>
      </c>
      <c r="AB29" s="14">
        <v>0.14000000000000001</v>
      </c>
      <c r="AC29" s="14">
        <v>0.05</v>
      </c>
      <c r="AD29" s="14">
        <v>0.11</v>
      </c>
      <c r="AE29" s="14">
        <v>0.1</v>
      </c>
      <c r="AF29" s="14">
        <v>0.1</v>
      </c>
    </row>
    <row r="30" spans="1:32">
      <c r="A30" s="19"/>
      <c r="B30" s="11" t="s">
        <v>586</v>
      </c>
      <c r="C30" s="12">
        <v>3276</v>
      </c>
      <c r="D30" s="12">
        <v>69</v>
      </c>
      <c r="E30" s="12">
        <v>172</v>
      </c>
      <c r="F30" s="12">
        <v>110</v>
      </c>
      <c r="G30" s="12">
        <v>64</v>
      </c>
      <c r="H30" s="12">
        <v>138</v>
      </c>
      <c r="I30" s="12">
        <v>166</v>
      </c>
      <c r="J30" s="12">
        <v>28</v>
      </c>
      <c r="K30" s="12">
        <v>130</v>
      </c>
      <c r="L30" s="12">
        <v>172</v>
      </c>
      <c r="M30" s="12">
        <v>79</v>
      </c>
      <c r="N30" s="12">
        <v>183</v>
      </c>
      <c r="O30" s="12">
        <v>111</v>
      </c>
      <c r="P30" s="12">
        <v>187</v>
      </c>
      <c r="Q30" s="12">
        <v>146</v>
      </c>
      <c r="R30" s="12">
        <v>108</v>
      </c>
      <c r="S30" s="12">
        <v>156</v>
      </c>
      <c r="T30" s="12">
        <v>114</v>
      </c>
      <c r="U30" s="12">
        <v>97</v>
      </c>
      <c r="V30" s="12">
        <v>107</v>
      </c>
      <c r="W30" s="12">
        <v>68</v>
      </c>
      <c r="X30" s="12">
        <v>84</v>
      </c>
      <c r="Y30" s="12">
        <v>142</v>
      </c>
      <c r="Z30" s="12">
        <v>133</v>
      </c>
      <c r="AA30" s="12">
        <v>170</v>
      </c>
      <c r="AB30" s="12">
        <v>92</v>
      </c>
      <c r="AC30" s="12">
        <v>205</v>
      </c>
      <c r="AD30" s="12">
        <v>77</v>
      </c>
      <c r="AE30" s="12">
        <v>121</v>
      </c>
      <c r="AF30" s="12">
        <v>118</v>
      </c>
    </row>
    <row r="31" spans="1:32">
      <c r="A31" s="19"/>
      <c r="B31" s="13" t="s">
        <v>587</v>
      </c>
      <c r="C31" s="14">
        <v>0.12</v>
      </c>
      <c r="D31" s="14">
        <v>7.0000000000000007E-2</v>
      </c>
      <c r="E31" s="14">
        <v>0.16</v>
      </c>
      <c r="F31" s="14">
        <v>0.1</v>
      </c>
      <c r="G31" s="14">
        <v>0.06</v>
      </c>
      <c r="H31" s="14">
        <v>0.11</v>
      </c>
      <c r="I31" s="14">
        <v>0.11</v>
      </c>
      <c r="J31" s="14">
        <v>0.09</v>
      </c>
      <c r="K31" s="14">
        <v>0.13</v>
      </c>
      <c r="L31" s="14">
        <v>0.17</v>
      </c>
      <c r="M31" s="14">
        <v>0.08</v>
      </c>
      <c r="N31" s="14">
        <v>0.18</v>
      </c>
      <c r="O31" s="14">
        <v>0.11</v>
      </c>
      <c r="P31" s="14">
        <v>0.19</v>
      </c>
      <c r="Q31" s="14">
        <v>0.14000000000000001</v>
      </c>
      <c r="R31" s="14">
        <v>0.22</v>
      </c>
      <c r="S31" s="14">
        <v>0.15</v>
      </c>
      <c r="T31" s="14">
        <v>0.11</v>
      </c>
      <c r="U31" s="14">
        <v>0.19</v>
      </c>
      <c r="V31" s="14">
        <v>0.1</v>
      </c>
      <c r="W31" s="14">
        <v>0.13</v>
      </c>
      <c r="X31" s="14">
        <v>0.08</v>
      </c>
      <c r="Y31" s="14">
        <v>0.14000000000000001</v>
      </c>
      <c r="Z31" s="14">
        <v>0.13</v>
      </c>
      <c r="AA31" s="14">
        <v>0.16</v>
      </c>
      <c r="AB31" s="14">
        <v>0.09</v>
      </c>
      <c r="AC31" s="14">
        <v>0.2</v>
      </c>
      <c r="AD31" s="14">
        <v>0.08</v>
      </c>
      <c r="AE31" s="14">
        <v>0.12</v>
      </c>
      <c r="AF31" s="14">
        <v>0.11</v>
      </c>
    </row>
    <row r="32" spans="1:32">
      <c r="A32" s="19"/>
      <c r="B32" s="11" t="s">
        <v>386</v>
      </c>
      <c r="C32" s="12">
        <v>492</v>
      </c>
      <c r="D32" s="12">
        <v>4</v>
      </c>
      <c r="E32" s="12">
        <v>11</v>
      </c>
      <c r="F32" s="12">
        <v>6</v>
      </c>
      <c r="G32" s="12">
        <v>16</v>
      </c>
      <c r="H32" s="12">
        <v>10</v>
      </c>
      <c r="I32" s="12">
        <v>13</v>
      </c>
      <c r="J32" s="12">
        <v>2</v>
      </c>
      <c r="K32" s="12">
        <v>18</v>
      </c>
      <c r="L32" s="12">
        <v>12</v>
      </c>
      <c r="M32" s="12">
        <v>13</v>
      </c>
      <c r="N32" s="12">
        <v>22</v>
      </c>
      <c r="O32" s="12">
        <v>43</v>
      </c>
      <c r="P32" s="12">
        <v>15</v>
      </c>
      <c r="Q32" s="12">
        <v>20</v>
      </c>
      <c r="R32" s="12">
        <v>3</v>
      </c>
      <c r="S32" s="12">
        <v>18</v>
      </c>
      <c r="T32" s="12">
        <v>21</v>
      </c>
      <c r="U32" s="12">
        <v>4</v>
      </c>
      <c r="V32" s="12">
        <v>7</v>
      </c>
      <c r="W32" s="12">
        <v>5</v>
      </c>
      <c r="X32" s="12">
        <v>1</v>
      </c>
      <c r="Y32" s="12">
        <v>10</v>
      </c>
      <c r="Z32" s="12">
        <v>14</v>
      </c>
      <c r="AA32" s="12">
        <v>57</v>
      </c>
      <c r="AB32" s="12">
        <v>28</v>
      </c>
      <c r="AC32" s="12">
        <v>7</v>
      </c>
      <c r="AD32" s="12">
        <v>4</v>
      </c>
      <c r="AE32" s="12">
        <v>7</v>
      </c>
      <c r="AF32" s="12">
        <v>5</v>
      </c>
    </row>
    <row r="33" spans="1:32">
      <c r="A33" s="19"/>
      <c r="B33" s="13" t="s">
        <v>399</v>
      </c>
      <c r="C33" s="14">
        <v>0.02</v>
      </c>
      <c r="D33" s="14">
        <v>0.01</v>
      </c>
      <c r="E33" s="14">
        <v>0.01</v>
      </c>
      <c r="F33" s="14">
        <v>0.01</v>
      </c>
      <c r="G33" s="14">
        <v>0.02</v>
      </c>
      <c r="H33" s="14">
        <v>0.01</v>
      </c>
      <c r="I33" s="14">
        <v>0.01</v>
      </c>
      <c r="J33" s="14">
        <v>0.01</v>
      </c>
      <c r="K33" s="14">
        <v>0.02</v>
      </c>
      <c r="L33" s="14">
        <v>0.01</v>
      </c>
      <c r="M33" s="14">
        <v>0.01</v>
      </c>
      <c r="N33" s="14">
        <v>0.02</v>
      </c>
      <c r="O33" s="14">
        <v>0.04</v>
      </c>
      <c r="P33" s="14">
        <v>0.02</v>
      </c>
      <c r="Q33" s="14">
        <v>0.02</v>
      </c>
      <c r="R33" s="14">
        <v>0.01</v>
      </c>
      <c r="S33" s="14">
        <v>0.02</v>
      </c>
      <c r="T33" s="14">
        <v>0.02</v>
      </c>
      <c r="U33" s="14">
        <v>0.01</v>
      </c>
      <c r="V33" s="14">
        <v>0.01</v>
      </c>
      <c r="W33" s="14">
        <v>0.01</v>
      </c>
      <c r="X33" s="15" t="s">
        <v>375</v>
      </c>
      <c r="Y33" s="14">
        <v>0.01</v>
      </c>
      <c r="Z33" s="14">
        <v>0.02</v>
      </c>
      <c r="AA33" s="14">
        <v>0.05</v>
      </c>
      <c r="AB33" s="14">
        <v>0.03</v>
      </c>
      <c r="AC33" s="14">
        <v>0.01</v>
      </c>
      <c r="AD33" s="15" t="s">
        <v>375</v>
      </c>
      <c r="AE33" s="14">
        <v>0.01</v>
      </c>
      <c r="AF33" s="14">
        <v>0.01</v>
      </c>
    </row>
    <row r="34" spans="1:32">
      <c r="A34" s="19"/>
      <c r="B34" s="11" t="s">
        <v>588</v>
      </c>
      <c r="C34" s="12">
        <v>2794</v>
      </c>
      <c r="D34" s="12">
        <v>146</v>
      </c>
      <c r="E34" s="12">
        <v>212</v>
      </c>
      <c r="F34" s="12">
        <v>200</v>
      </c>
      <c r="G34" s="12">
        <v>236</v>
      </c>
      <c r="H34" s="12">
        <v>208</v>
      </c>
      <c r="I34" s="12">
        <v>247</v>
      </c>
      <c r="J34" s="12">
        <v>40</v>
      </c>
      <c r="K34" s="12">
        <v>242</v>
      </c>
      <c r="L34" s="12">
        <v>108</v>
      </c>
      <c r="M34" s="12">
        <v>85</v>
      </c>
      <c r="N34" s="12">
        <v>51</v>
      </c>
      <c r="O34" s="12">
        <v>101</v>
      </c>
      <c r="P34" s="12">
        <v>108</v>
      </c>
      <c r="Q34" s="12">
        <v>70</v>
      </c>
      <c r="R34" s="12">
        <v>29</v>
      </c>
      <c r="S34" s="12">
        <v>163</v>
      </c>
      <c r="T34" s="12">
        <v>219</v>
      </c>
      <c r="U34" s="12">
        <v>48</v>
      </c>
      <c r="V34" s="12">
        <v>154</v>
      </c>
      <c r="W34" s="12">
        <v>58</v>
      </c>
      <c r="X34" s="12">
        <v>98</v>
      </c>
      <c r="Y34" s="12">
        <v>125</v>
      </c>
      <c r="Z34" s="12">
        <v>41</v>
      </c>
      <c r="AA34" s="12">
        <v>39</v>
      </c>
      <c r="AB34" s="12">
        <v>104</v>
      </c>
      <c r="AC34" s="12">
        <v>212</v>
      </c>
      <c r="AD34" s="12">
        <v>103</v>
      </c>
      <c r="AE34" s="12">
        <v>121</v>
      </c>
      <c r="AF34" s="12">
        <v>117</v>
      </c>
    </row>
    <row r="35" spans="1:32">
      <c r="A35" s="19"/>
      <c r="B35" s="13" t="s">
        <v>589</v>
      </c>
      <c r="C35" s="14">
        <v>0.12</v>
      </c>
      <c r="D35" s="14">
        <v>0.14000000000000001</v>
      </c>
      <c r="E35" s="14">
        <v>0.21</v>
      </c>
      <c r="F35" s="14">
        <v>0.19</v>
      </c>
      <c r="G35" s="14">
        <v>0.23</v>
      </c>
      <c r="H35" s="14">
        <v>0.17</v>
      </c>
      <c r="I35" s="14">
        <v>0.16</v>
      </c>
      <c r="J35" s="14">
        <v>0.13</v>
      </c>
      <c r="K35" s="14">
        <v>0.24</v>
      </c>
      <c r="L35" s="14">
        <v>0.11</v>
      </c>
      <c r="M35" s="14">
        <v>0.08</v>
      </c>
      <c r="N35" s="14">
        <v>0.05</v>
      </c>
      <c r="O35" s="14">
        <v>0.1</v>
      </c>
      <c r="P35" s="14">
        <v>0.1</v>
      </c>
      <c r="Q35" s="14">
        <v>7.0000000000000007E-2</v>
      </c>
      <c r="R35" s="14">
        <v>0.06</v>
      </c>
      <c r="S35" s="14">
        <v>0.16</v>
      </c>
      <c r="T35" s="14">
        <v>0.22</v>
      </c>
      <c r="U35" s="14">
        <v>0.1</v>
      </c>
      <c r="V35" s="14">
        <v>0.16</v>
      </c>
      <c r="W35" s="14">
        <v>0.12</v>
      </c>
      <c r="X35" s="14">
        <v>0.09</v>
      </c>
      <c r="Y35" s="14">
        <v>0.13</v>
      </c>
      <c r="Z35" s="14">
        <v>0.04</v>
      </c>
      <c r="AA35" s="14">
        <v>0.04</v>
      </c>
      <c r="AB35" s="14">
        <v>0.1</v>
      </c>
      <c r="AC35" s="14">
        <v>0.22</v>
      </c>
      <c r="AD35" s="14">
        <v>0.1</v>
      </c>
      <c r="AE35" s="14">
        <v>0.12</v>
      </c>
      <c r="AF35" s="14">
        <v>0.11</v>
      </c>
    </row>
    <row r="36" spans="1:32">
      <c r="A36" s="19"/>
      <c r="B36" s="11" t="s">
        <v>590</v>
      </c>
      <c r="C36" s="12">
        <v>6237</v>
      </c>
      <c r="D36" s="12">
        <v>302</v>
      </c>
      <c r="E36" s="12">
        <v>270</v>
      </c>
      <c r="F36" s="12">
        <v>340</v>
      </c>
      <c r="G36" s="12">
        <v>317</v>
      </c>
      <c r="H36" s="12">
        <v>308</v>
      </c>
      <c r="I36" s="12">
        <v>396</v>
      </c>
      <c r="J36" s="12">
        <v>88</v>
      </c>
      <c r="K36" s="12">
        <v>276</v>
      </c>
      <c r="L36" s="12">
        <v>170</v>
      </c>
      <c r="M36" s="12">
        <v>188</v>
      </c>
      <c r="N36" s="12">
        <v>198</v>
      </c>
      <c r="O36" s="12">
        <v>278</v>
      </c>
      <c r="P36" s="12">
        <v>231</v>
      </c>
      <c r="Q36" s="12">
        <v>152</v>
      </c>
      <c r="R36" s="12">
        <v>103</v>
      </c>
      <c r="S36" s="12">
        <v>268</v>
      </c>
      <c r="T36" s="12">
        <v>312</v>
      </c>
      <c r="U36" s="12">
        <v>121</v>
      </c>
      <c r="V36" s="12">
        <v>283</v>
      </c>
      <c r="W36" s="12">
        <v>104</v>
      </c>
      <c r="X36" s="12">
        <v>229</v>
      </c>
      <c r="Y36" s="12">
        <v>254</v>
      </c>
      <c r="Z36" s="12">
        <v>241</v>
      </c>
      <c r="AA36" s="12">
        <v>284</v>
      </c>
      <c r="AB36" s="12">
        <v>234</v>
      </c>
      <c r="AC36" s="12">
        <v>275</v>
      </c>
      <c r="AD36" s="12">
        <v>222</v>
      </c>
      <c r="AE36" s="12">
        <v>236</v>
      </c>
      <c r="AF36" s="12">
        <v>278</v>
      </c>
    </row>
    <row r="37" spans="1:32">
      <c r="A37" s="19"/>
      <c r="B37" s="13" t="s">
        <v>591</v>
      </c>
      <c r="C37" s="14">
        <v>0.23</v>
      </c>
      <c r="D37" s="14">
        <v>0.28999999999999998</v>
      </c>
      <c r="E37" s="14">
        <v>0.26</v>
      </c>
      <c r="F37" s="14">
        <v>0.32</v>
      </c>
      <c r="G37" s="14">
        <v>0.31</v>
      </c>
      <c r="H37" s="14">
        <v>0.25</v>
      </c>
      <c r="I37" s="14">
        <v>0.26</v>
      </c>
      <c r="J37" s="14">
        <v>0.3</v>
      </c>
      <c r="K37" s="14">
        <v>0.27</v>
      </c>
      <c r="L37" s="14">
        <v>0.17</v>
      </c>
      <c r="M37" s="14">
        <v>0.19</v>
      </c>
      <c r="N37" s="14">
        <v>0.2</v>
      </c>
      <c r="O37" s="14">
        <v>0.28000000000000003</v>
      </c>
      <c r="P37" s="14">
        <v>0.23</v>
      </c>
      <c r="Q37" s="14">
        <v>0.15</v>
      </c>
      <c r="R37" s="14">
        <v>0.21</v>
      </c>
      <c r="S37" s="14">
        <v>0.27</v>
      </c>
      <c r="T37" s="14">
        <v>0.3</v>
      </c>
      <c r="U37" s="14">
        <v>0.23</v>
      </c>
      <c r="V37" s="14">
        <v>0.27</v>
      </c>
      <c r="W37" s="14">
        <v>0.21</v>
      </c>
      <c r="X37" s="14">
        <v>0.23</v>
      </c>
      <c r="Y37" s="14">
        <v>0.25</v>
      </c>
      <c r="Z37" s="14">
        <v>0.24</v>
      </c>
      <c r="AA37" s="14">
        <v>0.28000000000000003</v>
      </c>
      <c r="AB37" s="14">
        <v>0.22</v>
      </c>
      <c r="AC37" s="14">
        <v>0.27</v>
      </c>
      <c r="AD37" s="14">
        <v>0.22</v>
      </c>
      <c r="AE37" s="14">
        <v>0.24</v>
      </c>
      <c r="AF37" s="14">
        <v>0.27</v>
      </c>
    </row>
    <row r="38" spans="1:32">
      <c r="A38" s="19"/>
      <c r="B38" s="11" t="s">
        <v>592</v>
      </c>
      <c r="C38" s="12">
        <v>16929</v>
      </c>
      <c r="D38" s="12">
        <v>569</v>
      </c>
      <c r="E38" s="12">
        <v>553</v>
      </c>
      <c r="F38" s="12">
        <v>518</v>
      </c>
      <c r="G38" s="12">
        <v>447</v>
      </c>
      <c r="H38" s="12">
        <v>704</v>
      </c>
      <c r="I38" s="12">
        <v>871</v>
      </c>
      <c r="J38" s="12">
        <v>167</v>
      </c>
      <c r="K38" s="12">
        <v>471</v>
      </c>
      <c r="L38" s="12">
        <v>716</v>
      </c>
      <c r="M38" s="12">
        <v>722</v>
      </c>
      <c r="N38" s="12">
        <v>741</v>
      </c>
      <c r="O38" s="12">
        <v>582</v>
      </c>
      <c r="P38" s="12">
        <v>648</v>
      </c>
      <c r="Q38" s="12">
        <v>789</v>
      </c>
      <c r="R38" s="12">
        <v>365</v>
      </c>
      <c r="S38" s="12">
        <v>555</v>
      </c>
      <c r="T38" s="12">
        <v>471</v>
      </c>
      <c r="U38" s="12">
        <v>335</v>
      </c>
      <c r="V38" s="12">
        <v>580</v>
      </c>
      <c r="W38" s="12">
        <v>335</v>
      </c>
      <c r="X38" s="12">
        <v>682</v>
      </c>
      <c r="Y38" s="12">
        <v>614</v>
      </c>
      <c r="Z38" s="12">
        <v>720</v>
      </c>
      <c r="AA38" s="12">
        <v>657</v>
      </c>
      <c r="AB38" s="12">
        <v>675</v>
      </c>
      <c r="AC38" s="12">
        <v>511</v>
      </c>
      <c r="AD38" s="12">
        <v>673</v>
      </c>
      <c r="AE38" s="12">
        <v>637</v>
      </c>
      <c r="AF38" s="12">
        <v>632</v>
      </c>
    </row>
    <row r="39" spans="1:32">
      <c r="A39" s="19"/>
      <c r="B39" s="13" t="s">
        <v>593</v>
      </c>
      <c r="C39" s="14">
        <v>0.63</v>
      </c>
      <c r="D39" s="14">
        <v>0.56000000000000005</v>
      </c>
      <c r="E39" s="14">
        <v>0.52</v>
      </c>
      <c r="F39" s="14">
        <v>0.48</v>
      </c>
      <c r="G39" s="14">
        <v>0.44</v>
      </c>
      <c r="H39" s="14">
        <v>0.57000000000000006</v>
      </c>
      <c r="I39" s="14">
        <v>0.57000000000000006</v>
      </c>
      <c r="J39" s="14">
        <v>0.56000000000000005</v>
      </c>
      <c r="K39" s="14">
        <v>0.47</v>
      </c>
      <c r="L39" s="14">
        <v>0.71</v>
      </c>
      <c r="M39" s="14">
        <v>0.72</v>
      </c>
      <c r="N39" s="14">
        <v>0.73</v>
      </c>
      <c r="O39" s="14">
        <v>0.57999999999999996</v>
      </c>
      <c r="P39" s="14">
        <v>0.65</v>
      </c>
      <c r="Q39" s="14">
        <v>0.76</v>
      </c>
      <c r="R39" s="14">
        <v>0.72</v>
      </c>
      <c r="S39" s="14">
        <v>0.55000000000000004</v>
      </c>
      <c r="T39" s="14">
        <v>0.46</v>
      </c>
      <c r="U39" s="14">
        <v>0.66</v>
      </c>
      <c r="V39" s="14">
        <v>0.56000000000000005</v>
      </c>
      <c r="W39" s="14">
        <v>0.66</v>
      </c>
      <c r="X39" s="14">
        <v>0.68</v>
      </c>
      <c r="Y39" s="14">
        <v>0.61</v>
      </c>
      <c r="Z39" s="14">
        <v>0.70000000000000007</v>
      </c>
      <c r="AA39" s="14">
        <v>0.63</v>
      </c>
      <c r="AB39" s="14">
        <v>0.65</v>
      </c>
      <c r="AC39" s="14">
        <v>0.5</v>
      </c>
      <c r="AD39" s="14">
        <v>0.68</v>
      </c>
      <c r="AE39" s="14">
        <v>0.63</v>
      </c>
      <c r="AF39" s="14">
        <v>0.61</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646</v>
      </c>
      <c r="C3" s="17"/>
      <c r="D3" s="17"/>
      <c r="E3" s="17"/>
      <c r="F3" s="17"/>
      <c r="H3" s="17" t="s">
        <v>647</v>
      </c>
      <c r="I3" s="17"/>
      <c r="J3" s="17"/>
      <c r="K3" s="17"/>
      <c r="L3" s="17"/>
    </row>
    <row r="4" spans="1:32" ht="27" customHeight="1">
      <c r="B4" s="17" t="s">
        <v>648</v>
      </c>
      <c r="C4" s="17"/>
      <c r="D4" s="17"/>
      <c r="E4" s="17"/>
      <c r="F4" s="17"/>
      <c r="H4" s="17" t="s">
        <v>649</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HYPERLINK("#Content!A43","&lt;&lt;Back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557</v>
      </c>
      <c r="D12" s="12">
        <v>18</v>
      </c>
      <c r="E12" s="12">
        <v>55</v>
      </c>
      <c r="F12" s="12">
        <v>62</v>
      </c>
      <c r="G12" s="12">
        <v>18</v>
      </c>
      <c r="H12" s="12">
        <v>39</v>
      </c>
      <c r="I12" s="12">
        <v>42</v>
      </c>
      <c r="J12" s="12">
        <v>4</v>
      </c>
      <c r="K12" s="12">
        <v>63</v>
      </c>
      <c r="L12" s="12">
        <v>26</v>
      </c>
      <c r="M12" s="12">
        <v>7</v>
      </c>
      <c r="N12" s="12">
        <v>18</v>
      </c>
      <c r="O12" s="12">
        <v>23</v>
      </c>
      <c r="P12" s="12">
        <v>27</v>
      </c>
      <c r="Q12" s="12">
        <v>14</v>
      </c>
      <c r="R12" s="12">
        <v>5</v>
      </c>
      <c r="S12" s="12">
        <v>65</v>
      </c>
      <c r="T12" s="12">
        <v>68</v>
      </c>
      <c r="U12" s="12">
        <v>4</v>
      </c>
      <c r="V12" s="12">
        <v>9</v>
      </c>
      <c r="W12" s="12">
        <v>11</v>
      </c>
      <c r="X12" s="12">
        <v>7</v>
      </c>
      <c r="Y12" s="12">
        <v>18</v>
      </c>
      <c r="Z12" s="12">
        <v>3</v>
      </c>
      <c r="AA12" s="12">
        <v>11</v>
      </c>
      <c r="AB12" s="12">
        <v>46</v>
      </c>
      <c r="AC12" s="12">
        <v>41</v>
      </c>
      <c r="AD12" s="12">
        <v>36</v>
      </c>
      <c r="AE12" s="12">
        <v>11</v>
      </c>
      <c r="AF12" s="12">
        <v>13</v>
      </c>
    </row>
    <row r="13" spans="1:32">
      <c r="A13" s="19"/>
      <c r="B13" s="13" t="s">
        <v>577</v>
      </c>
      <c r="C13" s="14">
        <v>0.02</v>
      </c>
      <c r="D13" s="14">
        <v>0.02</v>
      </c>
      <c r="E13" s="14">
        <v>0.05</v>
      </c>
      <c r="F13" s="14">
        <v>0.06</v>
      </c>
      <c r="G13" s="14">
        <v>0.02</v>
      </c>
      <c r="H13" s="14">
        <v>0.03</v>
      </c>
      <c r="I13" s="14">
        <v>0.03</v>
      </c>
      <c r="J13" s="14">
        <v>0.01</v>
      </c>
      <c r="K13" s="14">
        <v>0.06</v>
      </c>
      <c r="L13" s="14">
        <v>0.03</v>
      </c>
      <c r="M13" s="14">
        <v>0.01</v>
      </c>
      <c r="N13" s="14">
        <v>0.02</v>
      </c>
      <c r="O13" s="14">
        <v>0.02</v>
      </c>
      <c r="P13" s="14">
        <v>0.03</v>
      </c>
      <c r="Q13" s="14">
        <v>0.01</v>
      </c>
      <c r="R13" s="14">
        <v>0.01</v>
      </c>
      <c r="S13" s="14">
        <v>0.06</v>
      </c>
      <c r="T13" s="14">
        <v>7.0000000000000007E-2</v>
      </c>
      <c r="U13" s="14">
        <v>0.01</v>
      </c>
      <c r="V13" s="14">
        <v>0.01</v>
      </c>
      <c r="W13" s="14">
        <v>0.02</v>
      </c>
      <c r="X13" s="14">
        <v>0.01</v>
      </c>
      <c r="Y13" s="14">
        <v>0.02</v>
      </c>
      <c r="Z13" s="15" t="s">
        <v>375</v>
      </c>
      <c r="AA13" s="14">
        <v>0.01</v>
      </c>
      <c r="AB13" s="14">
        <v>0.04</v>
      </c>
      <c r="AC13" s="14">
        <v>0.04</v>
      </c>
      <c r="AD13" s="14">
        <v>0.03</v>
      </c>
      <c r="AE13" s="14">
        <v>0.01</v>
      </c>
      <c r="AF13" s="14">
        <v>0.01</v>
      </c>
    </row>
    <row r="14" spans="1:32">
      <c r="A14" s="19"/>
      <c r="B14" s="11" t="s">
        <v>578</v>
      </c>
      <c r="C14" s="12">
        <v>586</v>
      </c>
      <c r="D14" s="12">
        <v>18</v>
      </c>
      <c r="E14" s="12">
        <v>29</v>
      </c>
      <c r="F14" s="12">
        <v>31</v>
      </c>
      <c r="G14" s="12">
        <v>26</v>
      </c>
      <c r="H14" s="12">
        <v>86</v>
      </c>
      <c r="I14" s="12">
        <v>93</v>
      </c>
      <c r="J14" s="12">
        <v>6</v>
      </c>
      <c r="K14" s="12">
        <v>41</v>
      </c>
      <c r="L14" s="12">
        <v>5</v>
      </c>
      <c r="M14" s="12">
        <v>9</v>
      </c>
      <c r="N14" s="12">
        <v>7</v>
      </c>
      <c r="O14" s="12">
        <v>21</v>
      </c>
      <c r="P14" s="12">
        <v>15</v>
      </c>
      <c r="Q14" s="12">
        <v>5</v>
      </c>
      <c r="R14" s="12">
        <v>5</v>
      </c>
      <c r="S14" s="12">
        <v>27</v>
      </c>
      <c r="T14" s="12">
        <v>33</v>
      </c>
      <c r="U14" s="12">
        <v>5</v>
      </c>
      <c r="V14" s="12">
        <v>13</v>
      </c>
      <c r="W14" s="12">
        <v>11</v>
      </c>
      <c r="X14" s="12">
        <v>3</v>
      </c>
      <c r="Y14" s="12">
        <v>18</v>
      </c>
      <c r="Z14" s="12">
        <v>4</v>
      </c>
      <c r="AA14" s="12">
        <v>40</v>
      </c>
      <c r="AB14" s="12">
        <v>11</v>
      </c>
      <c r="AC14" s="12">
        <v>32</v>
      </c>
      <c r="AD14" s="12">
        <v>17</v>
      </c>
      <c r="AE14" s="12">
        <v>21</v>
      </c>
      <c r="AF14" s="12">
        <v>18</v>
      </c>
    </row>
    <row r="15" spans="1:32">
      <c r="A15" s="19"/>
      <c r="B15" s="13" t="s">
        <v>578</v>
      </c>
      <c r="C15" s="14">
        <v>0.02</v>
      </c>
      <c r="D15" s="14">
        <v>0.02</v>
      </c>
      <c r="E15" s="14">
        <v>0.03</v>
      </c>
      <c r="F15" s="14">
        <v>0.03</v>
      </c>
      <c r="G15" s="14">
        <v>0.02</v>
      </c>
      <c r="H15" s="14">
        <v>7.0000000000000007E-2</v>
      </c>
      <c r="I15" s="14">
        <v>0.06</v>
      </c>
      <c r="J15" s="14">
        <v>0.02</v>
      </c>
      <c r="K15" s="14">
        <v>0.04</v>
      </c>
      <c r="L15" s="14">
        <v>0.01</v>
      </c>
      <c r="M15" s="14">
        <v>0.01</v>
      </c>
      <c r="N15" s="14">
        <v>0.01</v>
      </c>
      <c r="O15" s="14">
        <v>0.02</v>
      </c>
      <c r="P15" s="14">
        <v>0.01</v>
      </c>
      <c r="Q15" s="14">
        <v>0.01</v>
      </c>
      <c r="R15" s="14">
        <v>0.01</v>
      </c>
      <c r="S15" s="14">
        <v>0.03</v>
      </c>
      <c r="T15" s="14">
        <v>0.03</v>
      </c>
      <c r="U15" s="14">
        <v>0.01</v>
      </c>
      <c r="V15" s="14">
        <v>0.01</v>
      </c>
      <c r="W15" s="14">
        <v>0.02</v>
      </c>
      <c r="X15" s="15" t="s">
        <v>375</v>
      </c>
      <c r="Y15" s="14">
        <v>0.02</v>
      </c>
      <c r="Z15" s="15" t="s">
        <v>375</v>
      </c>
      <c r="AA15" s="14">
        <v>0.04</v>
      </c>
      <c r="AB15" s="14">
        <v>0.01</v>
      </c>
      <c r="AC15" s="14">
        <v>0.03</v>
      </c>
      <c r="AD15" s="14">
        <v>0.02</v>
      </c>
      <c r="AE15" s="14">
        <v>0.02</v>
      </c>
      <c r="AF15" s="14">
        <v>0.02</v>
      </c>
    </row>
    <row r="16" spans="1:32">
      <c r="A16" s="19"/>
      <c r="B16" s="11" t="s">
        <v>579</v>
      </c>
      <c r="C16" s="12">
        <v>873</v>
      </c>
      <c r="D16" s="12">
        <v>26</v>
      </c>
      <c r="E16" s="12">
        <v>75</v>
      </c>
      <c r="F16" s="12">
        <v>60</v>
      </c>
      <c r="G16" s="12">
        <v>61</v>
      </c>
      <c r="H16" s="12">
        <v>60</v>
      </c>
      <c r="I16" s="12">
        <v>68</v>
      </c>
      <c r="J16" s="12">
        <v>8</v>
      </c>
      <c r="K16" s="12">
        <v>76</v>
      </c>
      <c r="L16" s="12">
        <v>25</v>
      </c>
      <c r="M16" s="12">
        <v>23</v>
      </c>
      <c r="N16" s="12">
        <v>14</v>
      </c>
      <c r="O16" s="12">
        <v>27</v>
      </c>
      <c r="P16" s="12">
        <v>51</v>
      </c>
      <c r="Q16" s="12">
        <v>25</v>
      </c>
      <c r="R16" s="12">
        <v>3</v>
      </c>
      <c r="S16" s="12">
        <v>41</v>
      </c>
      <c r="T16" s="12">
        <v>42</v>
      </c>
      <c r="U16" s="12">
        <v>6</v>
      </c>
      <c r="V16" s="12">
        <v>48</v>
      </c>
      <c r="W16" s="12">
        <v>8</v>
      </c>
      <c r="X16" s="12">
        <v>28</v>
      </c>
      <c r="Y16" s="12">
        <v>44</v>
      </c>
      <c r="Z16" s="12">
        <v>25</v>
      </c>
      <c r="AA16" s="12">
        <v>94</v>
      </c>
      <c r="AB16" s="12">
        <v>26</v>
      </c>
      <c r="AC16" s="12">
        <v>65</v>
      </c>
      <c r="AD16" s="12">
        <v>48</v>
      </c>
      <c r="AE16" s="12">
        <v>24</v>
      </c>
      <c r="AF16" s="12">
        <v>32</v>
      </c>
    </row>
    <row r="17" spans="1:32">
      <c r="A17" s="19"/>
      <c r="B17" s="13" t="s">
        <v>579</v>
      </c>
      <c r="C17" s="14">
        <v>0.03</v>
      </c>
      <c r="D17" s="14">
        <v>0.02</v>
      </c>
      <c r="E17" s="14">
        <v>7.0000000000000007E-2</v>
      </c>
      <c r="F17" s="14">
        <v>0.05</v>
      </c>
      <c r="G17" s="14">
        <v>0.06</v>
      </c>
      <c r="H17" s="14">
        <v>0.05</v>
      </c>
      <c r="I17" s="14">
        <v>0.04</v>
      </c>
      <c r="J17" s="14">
        <v>0.03</v>
      </c>
      <c r="K17" s="14">
        <v>0.08</v>
      </c>
      <c r="L17" s="14">
        <v>0.02</v>
      </c>
      <c r="M17" s="14">
        <v>0.02</v>
      </c>
      <c r="N17" s="14">
        <v>0.01</v>
      </c>
      <c r="O17" s="14">
        <v>0.03</v>
      </c>
      <c r="P17" s="14">
        <v>0.05</v>
      </c>
      <c r="Q17" s="14">
        <v>0.03</v>
      </c>
      <c r="R17" s="14">
        <v>0.01</v>
      </c>
      <c r="S17" s="14">
        <v>0.04</v>
      </c>
      <c r="T17" s="14">
        <v>0.04</v>
      </c>
      <c r="U17" s="14">
        <v>0.01</v>
      </c>
      <c r="V17" s="14">
        <v>0.05</v>
      </c>
      <c r="W17" s="14">
        <v>0.01</v>
      </c>
      <c r="X17" s="14">
        <v>0.03</v>
      </c>
      <c r="Y17" s="14">
        <v>0.04</v>
      </c>
      <c r="Z17" s="14">
        <v>0.02</v>
      </c>
      <c r="AA17" s="14">
        <v>0.09</v>
      </c>
      <c r="AB17" s="14">
        <v>0.03</v>
      </c>
      <c r="AC17" s="14">
        <v>7.0000000000000007E-2</v>
      </c>
      <c r="AD17" s="14">
        <v>0.05</v>
      </c>
      <c r="AE17" s="14">
        <v>0.02</v>
      </c>
      <c r="AF17" s="14">
        <v>0.03</v>
      </c>
    </row>
    <row r="18" spans="1:32">
      <c r="A18" s="19"/>
      <c r="B18" s="11" t="s">
        <v>580</v>
      </c>
      <c r="C18" s="12">
        <v>1126</v>
      </c>
      <c r="D18" s="12">
        <v>35</v>
      </c>
      <c r="E18" s="12">
        <v>80</v>
      </c>
      <c r="F18" s="12">
        <v>83</v>
      </c>
      <c r="G18" s="12">
        <v>57</v>
      </c>
      <c r="H18" s="12">
        <v>75</v>
      </c>
      <c r="I18" s="12">
        <v>84</v>
      </c>
      <c r="J18" s="12">
        <v>10</v>
      </c>
      <c r="K18" s="12">
        <v>67</v>
      </c>
      <c r="L18" s="12">
        <v>31</v>
      </c>
      <c r="M18" s="12">
        <v>41</v>
      </c>
      <c r="N18" s="12">
        <v>17</v>
      </c>
      <c r="O18" s="12">
        <v>36</v>
      </c>
      <c r="P18" s="12">
        <v>74</v>
      </c>
      <c r="Q18" s="12">
        <v>34</v>
      </c>
      <c r="R18" s="12">
        <v>12</v>
      </c>
      <c r="S18" s="12">
        <v>80</v>
      </c>
      <c r="T18" s="12">
        <v>54</v>
      </c>
      <c r="U18" s="12">
        <v>5</v>
      </c>
      <c r="V18" s="12">
        <v>80</v>
      </c>
      <c r="W18" s="12">
        <v>14</v>
      </c>
      <c r="X18" s="12">
        <v>41</v>
      </c>
      <c r="Y18" s="12">
        <v>51</v>
      </c>
      <c r="Z18" s="12">
        <v>45</v>
      </c>
      <c r="AA18" s="12">
        <v>38</v>
      </c>
      <c r="AB18" s="12">
        <v>36</v>
      </c>
      <c r="AC18" s="12">
        <v>53</v>
      </c>
      <c r="AD18" s="12">
        <v>40</v>
      </c>
      <c r="AE18" s="12">
        <v>42</v>
      </c>
      <c r="AF18" s="12">
        <v>69</v>
      </c>
    </row>
    <row r="19" spans="1:32">
      <c r="A19" s="19"/>
      <c r="B19" s="13" t="s">
        <v>580</v>
      </c>
      <c r="C19" s="14">
        <v>0.04</v>
      </c>
      <c r="D19" s="14">
        <v>0.03</v>
      </c>
      <c r="E19" s="14">
        <v>0.08</v>
      </c>
      <c r="F19" s="14">
        <v>0.08</v>
      </c>
      <c r="G19" s="14">
        <v>0.06</v>
      </c>
      <c r="H19" s="14">
        <v>0.06</v>
      </c>
      <c r="I19" s="14">
        <v>0.05</v>
      </c>
      <c r="J19" s="14">
        <v>0.03</v>
      </c>
      <c r="K19" s="14">
        <v>7.0000000000000007E-2</v>
      </c>
      <c r="L19" s="14">
        <v>0.03</v>
      </c>
      <c r="M19" s="14">
        <v>0.04</v>
      </c>
      <c r="N19" s="14">
        <v>0.02</v>
      </c>
      <c r="O19" s="14">
        <v>0.04</v>
      </c>
      <c r="P19" s="14">
        <v>7.0000000000000007E-2</v>
      </c>
      <c r="Q19" s="14">
        <v>0.03</v>
      </c>
      <c r="R19" s="14">
        <v>0.02</v>
      </c>
      <c r="S19" s="14">
        <v>0.08</v>
      </c>
      <c r="T19" s="14">
        <v>0.05</v>
      </c>
      <c r="U19" s="14">
        <v>0.01</v>
      </c>
      <c r="V19" s="14">
        <v>0.08</v>
      </c>
      <c r="W19" s="14">
        <v>0.03</v>
      </c>
      <c r="X19" s="14">
        <v>0.04</v>
      </c>
      <c r="Y19" s="14">
        <v>0.05</v>
      </c>
      <c r="Z19" s="14">
        <v>0.04</v>
      </c>
      <c r="AA19" s="14">
        <v>0.04</v>
      </c>
      <c r="AB19" s="14">
        <v>0.03</v>
      </c>
      <c r="AC19" s="14">
        <v>0.05</v>
      </c>
      <c r="AD19" s="14">
        <v>0.04</v>
      </c>
      <c r="AE19" s="14">
        <v>0.04</v>
      </c>
      <c r="AF19" s="14">
        <v>7.0000000000000007E-2</v>
      </c>
    </row>
    <row r="20" spans="1:32">
      <c r="A20" s="19"/>
      <c r="B20" s="11" t="s">
        <v>581</v>
      </c>
      <c r="C20" s="12">
        <v>2387</v>
      </c>
      <c r="D20" s="12">
        <v>90</v>
      </c>
      <c r="E20" s="12">
        <v>119</v>
      </c>
      <c r="F20" s="12">
        <v>172</v>
      </c>
      <c r="G20" s="12">
        <v>107</v>
      </c>
      <c r="H20" s="12">
        <v>130</v>
      </c>
      <c r="I20" s="12">
        <v>166</v>
      </c>
      <c r="J20" s="12">
        <v>36</v>
      </c>
      <c r="K20" s="12">
        <v>126</v>
      </c>
      <c r="L20" s="12">
        <v>58</v>
      </c>
      <c r="M20" s="12">
        <v>92</v>
      </c>
      <c r="N20" s="12">
        <v>71</v>
      </c>
      <c r="O20" s="12">
        <v>93</v>
      </c>
      <c r="P20" s="12">
        <v>117</v>
      </c>
      <c r="Q20" s="12">
        <v>59</v>
      </c>
      <c r="R20" s="12">
        <v>19</v>
      </c>
      <c r="S20" s="12">
        <v>87</v>
      </c>
      <c r="T20" s="12">
        <v>125</v>
      </c>
      <c r="U20" s="12">
        <v>40</v>
      </c>
      <c r="V20" s="12">
        <v>137</v>
      </c>
      <c r="W20" s="12">
        <v>30</v>
      </c>
      <c r="X20" s="12">
        <v>69</v>
      </c>
      <c r="Y20" s="12">
        <v>108</v>
      </c>
      <c r="Z20" s="12">
        <v>98</v>
      </c>
      <c r="AA20" s="12">
        <v>80</v>
      </c>
      <c r="AB20" s="12">
        <v>90</v>
      </c>
      <c r="AC20" s="12">
        <v>103</v>
      </c>
      <c r="AD20" s="12">
        <v>118</v>
      </c>
      <c r="AE20" s="12">
        <v>67</v>
      </c>
      <c r="AF20" s="12">
        <v>97</v>
      </c>
    </row>
    <row r="21" spans="1:32">
      <c r="A21" s="19"/>
      <c r="B21" s="13" t="s">
        <v>581</v>
      </c>
      <c r="C21" s="14">
        <v>0.09</v>
      </c>
      <c r="D21" s="14">
        <v>0.09</v>
      </c>
      <c r="E21" s="14">
        <v>0.11</v>
      </c>
      <c r="F21" s="14">
        <v>0.16</v>
      </c>
      <c r="G21" s="14">
        <v>0.11</v>
      </c>
      <c r="H21" s="14">
        <v>0.11</v>
      </c>
      <c r="I21" s="14">
        <v>0.11</v>
      </c>
      <c r="J21" s="14">
        <v>0.12</v>
      </c>
      <c r="K21" s="14">
        <v>0.12</v>
      </c>
      <c r="L21" s="14">
        <v>0.06</v>
      </c>
      <c r="M21" s="14">
        <v>0.09</v>
      </c>
      <c r="N21" s="14">
        <v>7.0000000000000007E-2</v>
      </c>
      <c r="O21" s="14">
        <v>0.09</v>
      </c>
      <c r="P21" s="14">
        <v>0.12</v>
      </c>
      <c r="Q21" s="14">
        <v>0.06</v>
      </c>
      <c r="R21" s="14">
        <v>0.04</v>
      </c>
      <c r="S21" s="14">
        <v>0.09</v>
      </c>
      <c r="T21" s="14">
        <v>0.12</v>
      </c>
      <c r="U21" s="14">
        <v>0.08</v>
      </c>
      <c r="V21" s="14">
        <v>0.13</v>
      </c>
      <c r="W21" s="14">
        <v>0.06</v>
      </c>
      <c r="X21" s="14">
        <v>7.0000000000000007E-2</v>
      </c>
      <c r="Y21" s="14">
        <v>0.11</v>
      </c>
      <c r="Z21" s="14">
        <v>0.1</v>
      </c>
      <c r="AA21" s="14">
        <v>0.08</v>
      </c>
      <c r="AB21" s="14">
        <v>0.09</v>
      </c>
      <c r="AC21" s="14">
        <v>0.1</v>
      </c>
      <c r="AD21" s="14">
        <v>0.12</v>
      </c>
      <c r="AE21" s="14">
        <v>7.0000000000000007E-2</v>
      </c>
      <c r="AF21" s="14">
        <v>0.1</v>
      </c>
    </row>
    <row r="22" spans="1:32">
      <c r="A22" s="19"/>
      <c r="B22" s="11" t="s">
        <v>582</v>
      </c>
      <c r="C22" s="12">
        <v>2713</v>
      </c>
      <c r="D22" s="12">
        <v>108</v>
      </c>
      <c r="E22" s="12">
        <v>143</v>
      </c>
      <c r="F22" s="12">
        <v>148</v>
      </c>
      <c r="G22" s="12">
        <v>80</v>
      </c>
      <c r="H22" s="12">
        <v>131</v>
      </c>
      <c r="I22" s="12">
        <v>164</v>
      </c>
      <c r="J22" s="12">
        <v>33</v>
      </c>
      <c r="K22" s="12">
        <v>128</v>
      </c>
      <c r="L22" s="12">
        <v>92</v>
      </c>
      <c r="M22" s="12">
        <v>107</v>
      </c>
      <c r="N22" s="12">
        <v>84</v>
      </c>
      <c r="O22" s="12">
        <v>96</v>
      </c>
      <c r="P22" s="12">
        <v>106</v>
      </c>
      <c r="Q22" s="12">
        <v>86</v>
      </c>
      <c r="R22" s="12">
        <v>30</v>
      </c>
      <c r="S22" s="12">
        <v>76</v>
      </c>
      <c r="T22" s="12">
        <v>93</v>
      </c>
      <c r="U22" s="12">
        <v>43</v>
      </c>
      <c r="V22" s="12">
        <v>163</v>
      </c>
      <c r="W22" s="12">
        <v>29</v>
      </c>
      <c r="X22" s="12">
        <v>117</v>
      </c>
      <c r="Y22" s="12">
        <v>123</v>
      </c>
      <c r="Z22" s="12">
        <v>119</v>
      </c>
      <c r="AA22" s="12">
        <v>67</v>
      </c>
      <c r="AB22" s="12">
        <v>143</v>
      </c>
      <c r="AC22" s="12">
        <v>78</v>
      </c>
      <c r="AD22" s="12">
        <v>151</v>
      </c>
      <c r="AE22" s="12">
        <v>94</v>
      </c>
      <c r="AF22" s="12">
        <v>96</v>
      </c>
    </row>
    <row r="23" spans="1:32">
      <c r="A23" s="19"/>
      <c r="B23" s="13" t="s">
        <v>582</v>
      </c>
      <c r="C23" s="14">
        <v>0.1</v>
      </c>
      <c r="D23" s="14">
        <v>0.11</v>
      </c>
      <c r="E23" s="14">
        <v>0.14000000000000001</v>
      </c>
      <c r="F23" s="14">
        <v>0.14000000000000001</v>
      </c>
      <c r="G23" s="14">
        <v>0.08</v>
      </c>
      <c r="H23" s="14">
        <v>0.11</v>
      </c>
      <c r="I23" s="14">
        <v>0.11</v>
      </c>
      <c r="J23" s="14">
        <v>0.11</v>
      </c>
      <c r="K23" s="14">
        <v>0.13</v>
      </c>
      <c r="L23" s="14">
        <v>0.09</v>
      </c>
      <c r="M23" s="14">
        <v>0.11</v>
      </c>
      <c r="N23" s="14">
        <v>0.08</v>
      </c>
      <c r="O23" s="14">
        <v>0.1</v>
      </c>
      <c r="P23" s="14">
        <v>0.11</v>
      </c>
      <c r="Q23" s="14">
        <v>0.08</v>
      </c>
      <c r="R23" s="14">
        <v>0.06</v>
      </c>
      <c r="S23" s="14">
        <v>0.08</v>
      </c>
      <c r="T23" s="14">
        <v>0.09</v>
      </c>
      <c r="U23" s="14">
        <v>0.08</v>
      </c>
      <c r="V23" s="14">
        <v>0.16</v>
      </c>
      <c r="W23" s="14">
        <v>0.06</v>
      </c>
      <c r="X23" s="14">
        <v>0.11</v>
      </c>
      <c r="Y23" s="14">
        <v>0.12</v>
      </c>
      <c r="Z23" s="14">
        <v>0.12</v>
      </c>
      <c r="AA23" s="14">
        <v>0.06</v>
      </c>
      <c r="AB23" s="14">
        <v>0.14000000000000001</v>
      </c>
      <c r="AC23" s="14">
        <v>0.08</v>
      </c>
      <c r="AD23" s="14">
        <v>0.15</v>
      </c>
      <c r="AE23" s="14">
        <v>0.09</v>
      </c>
      <c r="AF23" s="14">
        <v>0.09</v>
      </c>
    </row>
    <row r="24" spans="1:32">
      <c r="A24" s="19"/>
      <c r="B24" s="11" t="s">
        <v>583</v>
      </c>
      <c r="C24" s="12">
        <v>4316</v>
      </c>
      <c r="D24" s="12">
        <v>193</v>
      </c>
      <c r="E24" s="12">
        <v>123</v>
      </c>
      <c r="F24" s="12">
        <v>126</v>
      </c>
      <c r="G24" s="12">
        <v>164</v>
      </c>
      <c r="H24" s="12">
        <v>191</v>
      </c>
      <c r="I24" s="12">
        <v>233</v>
      </c>
      <c r="J24" s="12">
        <v>42</v>
      </c>
      <c r="K24" s="12">
        <v>131</v>
      </c>
      <c r="L24" s="12">
        <v>158</v>
      </c>
      <c r="M24" s="12">
        <v>181</v>
      </c>
      <c r="N24" s="12">
        <v>127</v>
      </c>
      <c r="O24" s="12">
        <v>176</v>
      </c>
      <c r="P24" s="12">
        <v>153</v>
      </c>
      <c r="Q24" s="12">
        <v>166</v>
      </c>
      <c r="R24" s="12">
        <v>73</v>
      </c>
      <c r="S24" s="12">
        <v>131</v>
      </c>
      <c r="T24" s="12">
        <v>142</v>
      </c>
      <c r="U24" s="12">
        <v>83</v>
      </c>
      <c r="V24" s="12">
        <v>197</v>
      </c>
      <c r="W24" s="12">
        <v>55</v>
      </c>
      <c r="X24" s="12">
        <v>192</v>
      </c>
      <c r="Y24" s="12">
        <v>149</v>
      </c>
      <c r="Z24" s="12">
        <v>204</v>
      </c>
      <c r="AA24" s="12">
        <v>126</v>
      </c>
      <c r="AB24" s="12">
        <v>209</v>
      </c>
      <c r="AC24" s="12">
        <v>126</v>
      </c>
      <c r="AD24" s="12">
        <v>211</v>
      </c>
      <c r="AE24" s="12">
        <v>177</v>
      </c>
      <c r="AF24" s="12">
        <v>187</v>
      </c>
    </row>
    <row r="25" spans="1:32">
      <c r="A25" s="19"/>
      <c r="B25" s="13" t="s">
        <v>583</v>
      </c>
      <c r="C25" s="14">
        <v>0.17</v>
      </c>
      <c r="D25" s="14">
        <v>0.19</v>
      </c>
      <c r="E25" s="14">
        <v>0.12</v>
      </c>
      <c r="F25" s="14">
        <v>0.12</v>
      </c>
      <c r="G25" s="14">
        <v>0.16</v>
      </c>
      <c r="H25" s="14">
        <v>0.15</v>
      </c>
      <c r="I25" s="14">
        <v>0.15</v>
      </c>
      <c r="J25" s="14">
        <v>0.14000000000000001</v>
      </c>
      <c r="K25" s="14">
        <v>0.13</v>
      </c>
      <c r="L25" s="14">
        <v>0.16</v>
      </c>
      <c r="M25" s="14">
        <v>0.18</v>
      </c>
      <c r="N25" s="14">
        <v>0.13</v>
      </c>
      <c r="O25" s="14">
        <v>0.17</v>
      </c>
      <c r="P25" s="14">
        <v>0.15</v>
      </c>
      <c r="Q25" s="14">
        <v>0.16</v>
      </c>
      <c r="R25" s="14">
        <v>0.14000000000000001</v>
      </c>
      <c r="S25" s="14">
        <v>0.13</v>
      </c>
      <c r="T25" s="14">
        <v>0.14000000000000001</v>
      </c>
      <c r="U25" s="14">
        <v>0.16</v>
      </c>
      <c r="V25" s="14">
        <v>0.19</v>
      </c>
      <c r="W25" s="14">
        <v>0.11</v>
      </c>
      <c r="X25" s="14">
        <v>0.19</v>
      </c>
      <c r="Y25" s="14">
        <v>0.15</v>
      </c>
      <c r="Z25" s="14">
        <v>0.2</v>
      </c>
      <c r="AA25" s="14">
        <v>0.12</v>
      </c>
      <c r="AB25" s="14">
        <v>0.2</v>
      </c>
      <c r="AC25" s="14">
        <v>0.12</v>
      </c>
      <c r="AD25" s="14">
        <v>0.21</v>
      </c>
      <c r="AE25" s="14">
        <v>0.18</v>
      </c>
      <c r="AF25" s="14">
        <v>0.18</v>
      </c>
    </row>
    <row r="26" spans="1:32">
      <c r="A26" s="19"/>
      <c r="B26" s="11" t="s">
        <v>584</v>
      </c>
      <c r="C26" s="12">
        <v>5323</v>
      </c>
      <c r="D26" s="12">
        <v>268</v>
      </c>
      <c r="E26" s="12">
        <v>127</v>
      </c>
      <c r="F26" s="12">
        <v>172</v>
      </c>
      <c r="G26" s="12">
        <v>208</v>
      </c>
      <c r="H26" s="12">
        <v>184</v>
      </c>
      <c r="I26" s="12">
        <v>241</v>
      </c>
      <c r="J26" s="12">
        <v>57</v>
      </c>
      <c r="K26" s="12">
        <v>124</v>
      </c>
      <c r="L26" s="12">
        <v>200</v>
      </c>
      <c r="M26" s="12">
        <v>239</v>
      </c>
      <c r="N26" s="12">
        <v>202</v>
      </c>
      <c r="O26" s="12">
        <v>189</v>
      </c>
      <c r="P26" s="12">
        <v>180</v>
      </c>
      <c r="Q26" s="12">
        <v>274</v>
      </c>
      <c r="R26" s="12">
        <v>115</v>
      </c>
      <c r="S26" s="12">
        <v>136</v>
      </c>
      <c r="T26" s="12">
        <v>151</v>
      </c>
      <c r="U26" s="12">
        <v>109</v>
      </c>
      <c r="V26" s="12">
        <v>152</v>
      </c>
      <c r="W26" s="12">
        <v>99</v>
      </c>
      <c r="X26" s="12">
        <v>250</v>
      </c>
      <c r="Y26" s="12">
        <v>181</v>
      </c>
      <c r="Z26" s="12">
        <v>230</v>
      </c>
      <c r="AA26" s="12">
        <v>168</v>
      </c>
      <c r="AB26" s="12">
        <v>230</v>
      </c>
      <c r="AC26" s="12">
        <v>134</v>
      </c>
      <c r="AD26" s="12">
        <v>207</v>
      </c>
      <c r="AE26" s="12">
        <v>216</v>
      </c>
      <c r="AF26" s="12">
        <v>213</v>
      </c>
    </row>
    <row r="27" spans="1:32">
      <c r="A27" s="19"/>
      <c r="B27" s="13" t="s">
        <v>584</v>
      </c>
      <c r="C27" s="14">
        <v>0.2</v>
      </c>
      <c r="D27" s="14">
        <v>0.26</v>
      </c>
      <c r="E27" s="14">
        <v>0.12</v>
      </c>
      <c r="F27" s="14">
        <v>0.16</v>
      </c>
      <c r="G27" s="14">
        <v>0.2</v>
      </c>
      <c r="H27" s="14">
        <v>0.15</v>
      </c>
      <c r="I27" s="14">
        <v>0.16</v>
      </c>
      <c r="J27" s="14">
        <v>0.19</v>
      </c>
      <c r="K27" s="14">
        <v>0.12</v>
      </c>
      <c r="L27" s="14">
        <v>0.2</v>
      </c>
      <c r="M27" s="14">
        <v>0.24</v>
      </c>
      <c r="N27" s="14">
        <v>0.2</v>
      </c>
      <c r="O27" s="14">
        <v>0.19</v>
      </c>
      <c r="P27" s="14">
        <v>0.18</v>
      </c>
      <c r="Q27" s="14">
        <v>0.27</v>
      </c>
      <c r="R27" s="14">
        <v>0.23</v>
      </c>
      <c r="S27" s="14">
        <v>0.13</v>
      </c>
      <c r="T27" s="14">
        <v>0.15</v>
      </c>
      <c r="U27" s="14">
        <v>0.22</v>
      </c>
      <c r="V27" s="14">
        <v>0.15</v>
      </c>
      <c r="W27" s="14">
        <v>0.2</v>
      </c>
      <c r="X27" s="14">
        <v>0.25</v>
      </c>
      <c r="Y27" s="14">
        <v>0.18</v>
      </c>
      <c r="Z27" s="14">
        <v>0.23</v>
      </c>
      <c r="AA27" s="14">
        <v>0.16</v>
      </c>
      <c r="AB27" s="14">
        <v>0.22</v>
      </c>
      <c r="AC27" s="14">
        <v>0.13</v>
      </c>
      <c r="AD27" s="14">
        <v>0.2</v>
      </c>
      <c r="AE27" s="14">
        <v>0.22</v>
      </c>
      <c r="AF27" s="14">
        <v>0.21</v>
      </c>
    </row>
    <row r="28" spans="1:32">
      <c r="A28" s="19"/>
      <c r="B28" s="11" t="s">
        <v>585</v>
      </c>
      <c r="C28" s="12">
        <v>3395</v>
      </c>
      <c r="D28" s="12">
        <v>125</v>
      </c>
      <c r="E28" s="12">
        <v>82</v>
      </c>
      <c r="F28" s="12">
        <v>72</v>
      </c>
      <c r="G28" s="12">
        <v>88</v>
      </c>
      <c r="H28" s="12">
        <v>118</v>
      </c>
      <c r="I28" s="12">
        <v>156</v>
      </c>
      <c r="J28" s="12">
        <v>38</v>
      </c>
      <c r="K28" s="12">
        <v>86</v>
      </c>
      <c r="L28" s="12">
        <v>136</v>
      </c>
      <c r="M28" s="12">
        <v>148</v>
      </c>
      <c r="N28" s="12">
        <v>190</v>
      </c>
      <c r="O28" s="12">
        <v>118</v>
      </c>
      <c r="P28" s="12">
        <v>94</v>
      </c>
      <c r="Q28" s="12">
        <v>167</v>
      </c>
      <c r="R28" s="12">
        <v>93</v>
      </c>
      <c r="S28" s="12">
        <v>112</v>
      </c>
      <c r="T28" s="12">
        <v>76</v>
      </c>
      <c r="U28" s="12">
        <v>72</v>
      </c>
      <c r="V28" s="12">
        <v>90</v>
      </c>
      <c r="W28" s="12">
        <v>115</v>
      </c>
      <c r="X28" s="12">
        <v>152</v>
      </c>
      <c r="Y28" s="12">
        <v>101</v>
      </c>
      <c r="Z28" s="12">
        <v>133</v>
      </c>
      <c r="AA28" s="12">
        <v>154</v>
      </c>
      <c r="AB28" s="12">
        <v>108</v>
      </c>
      <c r="AC28" s="12">
        <v>86</v>
      </c>
      <c r="AD28" s="12">
        <v>88</v>
      </c>
      <c r="AE28" s="12">
        <v>146</v>
      </c>
      <c r="AF28" s="12">
        <v>117</v>
      </c>
    </row>
    <row r="29" spans="1:32">
      <c r="A29" s="19"/>
      <c r="B29" s="13" t="s">
        <v>585</v>
      </c>
      <c r="C29" s="14">
        <v>0.13</v>
      </c>
      <c r="D29" s="14">
        <v>0.12</v>
      </c>
      <c r="E29" s="14">
        <v>0.08</v>
      </c>
      <c r="F29" s="14">
        <v>7.0000000000000007E-2</v>
      </c>
      <c r="G29" s="14">
        <v>0.09</v>
      </c>
      <c r="H29" s="14">
        <v>0.1</v>
      </c>
      <c r="I29" s="14">
        <v>0.1</v>
      </c>
      <c r="J29" s="14">
        <v>0.13</v>
      </c>
      <c r="K29" s="14">
        <v>0.09</v>
      </c>
      <c r="L29" s="14">
        <v>0.13</v>
      </c>
      <c r="M29" s="14">
        <v>0.15</v>
      </c>
      <c r="N29" s="14">
        <v>0.19</v>
      </c>
      <c r="O29" s="14">
        <v>0.12</v>
      </c>
      <c r="P29" s="14">
        <v>0.09</v>
      </c>
      <c r="Q29" s="14">
        <v>0.16</v>
      </c>
      <c r="R29" s="14">
        <v>0.19</v>
      </c>
      <c r="S29" s="14">
        <v>0.11</v>
      </c>
      <c r="T29" s="14">
        <v>0.08</v>
      </c>
      <c r="U29" s="14">
        <v>0.14000000000000001</v>
      </c>
      <c r="V29" s="14">
        <v>0.09</v>
      </c>
      <c r="W29" s="14">
        <v>0.23</v>
      </c>
      <c r="X29" s="14">
        <v>0.15</v>
      </c>
      <c r="Y29" s="14">
        <v>0.1</v>
      </c>
      <c r="Z29" s="14">
        <v>0.13</v>
      </c>
      <c r="AA29" s="14">
        <v>0.15</v>
      </c>
      <c r="AB29" s="14">
        <v>0.1</v>
      </c>
      <c r="AC29" s="14">
        <v>0.09</v>
      </c>
      <c r="AD29" s="14">
        <v>0.09</v>
      </c>
      <c r="AE29" s="14">
        <v>0.15</v>
      </c>
      <c r="AF29" s="14">
        <v>0.11</v>
      </c>
    </row>
    <row r="30" spans="1:32">
      <c r="A30" s="19"/>
      <c r="B30" s="11" t="s">
        <v>586</v>
      </c>
      <c r="C30" s="12">
        <v>4693</v>
      </c>
      <c r="D30" s="12">
        <v>141</v>
      </c>
      <c r="E30" s="12">
        <v>167</v>
      </c>
      <c r="F30" s="12">
        <v>123</v>
      </c>
      <c r="G30" s="12">
        <v>194</v>
      </c>
      <c r="H30" s="12">
        <v>198</v>
      </c>
      <c r="I30" s="12">
        <v>254</v>
      </c>
      <c r="J30" s="12">
        <v>55</v>
      </c>
      <c r="K30" s="12">
        <v>129</v>
      </c>
      <c r="L30" s="12">
        <v>266</v>
      </c>
      <c r="M30" s="12">
        <v>135</v>
      </c>
      <c r="N30" s="12">
        <v>257</v>
      </c>
      <c r="O30" s="12">
        <v>210</v>
      </c>
      <c r="P30" s="12">
        <v>166</v>
      </c>
      <c r="Q30" s="12">
        <v>188</v>
      </c>
      <c r="R30" s="12">
        <v>139</v>
      </c>
      <c r="S30" s="12">
        <v>218</v>
      </c>
      <c r="T30" s="12">
        <v>173</v>
      </c>
      <c r="U30" s="12">
        <v>138</v>
      </c>
      <c r="V30" s="12">
        <v>125</v>
      </c>
      <c r="W30" s="12">
        <v>125</v>
      </c>
      <c r="X30" s="12">
        <v>144</v>
      </c>
      <c r="Y30" s="12">
        <v>176</v>
      </c>
      <c r="Z30" s="12">
        <v>140</v>
      </c>
      <c r="AA30" s="12">
        <v>194</v>
      </c>
      <c r="AB30" s="12">
        <v>105</v>
      </c>
      <c r="AC30" s="12">
        <v>280</v>
      </c>
      <c r="AD30" s="12">
        <v>78</v>
      </c>
      <c r="AE30" s="12">
        <v>183</v>
      </c>
      <c r="AF30" s="12">
        <v>188</v>
      </c>
    </row>
    <row r="31" spans="1:32">
      <c r="A31" s="19"/>
      <c r="B31" s="13" t="s">
        <v>587</v>
      </c>
      <c r="C31" s="14">
        <v>0.18</v>
      </c>
      <c r="D31" s="14">
        <v>0.14000000000000001</v>
      </c>
      <c r="E31" s="14">
        <v>0.16</v>
      </c>
      <c r="F31" s="14">
        <v>0.12</v>
      </c>
      <c r="G31" s="14">
        <v>0.19</v>
      </c>
      <c r="H31" s="14">
        <v>0.16</v>
      </c>
      <c r="I31" s="14">
        <v>0.17</v>
      </c>
      <c r="J31" s="14">
        <v>0.19</v>
      </c>
      <c r="K31" s="14">
        <v>0.13</v>
      </c>
      <c r="L31" s="14">
        <v>0.26</v>
      </c>
      <c r="M31" s="14">
        <v>0.13</v>
      </c>
      <c r="N31" s="14">
        <v>0.25</v>
      </c>
      <c r="O31" s="14">
        <v>0.21</v>
      </c>
      <c r="P31" s="14">
        <v>0.17</v>
      </c>
      <c r="Q31" s="14">
        <v>0.18</v>
      </c>
      <c r="R31" s="14">
        <v>0.28000000000000003</v>
      </c>
      <c r="S31" s="14">
        <v>0.22</v>
      </c>
      <c r="T31" s="14">
        <v>0.17</v>
      </c>
      <c r="U31" s="14">
        <v>0.27</v>
      </c>
      <c r="V31" s="14">
        <v>0.12</v>
      </c>
      <c r="W31" s="14">
        <v>0.25</v>
      </c>
      <c r="X31" s="14">
        <v>0.14000000000000001</v>
      </c>
      <c r="Y31" s="14">
        <v>0.18</v>
      </c>
      <c r="Z31" s="14">
        <v>0.14000000000000001</v>
      </c>
      <c r="AA31" s="14">
        <v>0.19</v>
      </c>
      <c r="AB31" s="14">
        <v>0.1</v>
      </c>
      <c r="AC31" s="14">
        <v>0.28000000000000003</v>
      </c>
      <c r="AD31" s="14">
        <v>0.08</v>
      </c>
      <c r="AE31" s="14">
        <v>0.18</v>
      </c>
      <c r="AF31" s="14">
        <v>0.18</v>
      </c>
    </row>
    <row r="32" spans="1:32">
      <c r="A32" s="19"/>
      <c r="B32" s="11" t="s">
        <v>386</v>
      </c>
      <c r="C32" s="12">
        <v>485</v>
      </c>
      <c r="D32" s="12">
        <v>1</v>
      </c>
      <c r="E32" s="12">
        <v>44</v>
      </c>
      <c r="F32" s="12">
        <v>15</v>
      </c>
      <c r="G32" s="12">
        <v>13</v>
      </c>
      <c r="H32" s="12">
        <v>18</v>
      </c>
      <c r="I32" s="12">
        <v>27</v>
      </c>
      <c r="J32" s="12">
        <v>9</v>
      </c>
      <c r="K32" s="12">
        <v>35</v>
      </c>
      <c r="L32" s="12">
        <v>9</v>
      </c>
      <c r="M32" s="12">
        <v>25</v>
      </c>
      <c r="N32" s="12">
        <v>24</v>
      </c>
      <c r="O32" s="12">
        <v>14</v>
      </c>
      <c r="P32" s="12">
        <v>19</v>
      </c>
      <c r="Q32" s="12">
        <v>13</v>
      </c>
      <c r="R32" s="12">
        <v>7</v>
      </c>
      <c r="S32" s="12">
        <v>31</v>
      </c>
      <c r="T32" s="12">
        <v>64</v>
      </c>
      <c r="U32" s="12">
        <v>4</v>
      </c>
      <c r="V32" s="12">
        <v>12</v>
      </c>
      <c r="W32" s="12">
        <v>5</v>
      </c>
      <c r="X32" s="12">
        <v>7</v>
      </c>
      <c r="Y32" s="12">
        <v>35</v>
      </c>
      <c r="Z32" s="12">
        <v>16</v>
      </c>
      <c r="AA32" s="12">
        <v>63</v>
      </c>
      <c r="AB32" s="12">
        <v>37</v>
      </c>
      <c r="AC32" s="12">
        <v>8</v>
      </c>
      <c r="AD32" s="12">
        <v>10</v>
      </c>
      <c r="AE32" s="12">
        <v>21</v>
      </c>
      <c r="AF32" s="12">
        <v>3</v>
      </c>
    </row>
    <row r="33" spans="1:32">
      <c r="A33" s="19"/>
      <c r="B33" s="13" t="s">
        <v>399</v>
      </c>
      <c r="C33" s="14">
        <v>0.02</v>
      </c>
      <c r="D33" s="15" t="s">
        <v>375</v>
      </c>
      <c r="E33" s="14">
        <v>0.04</v>
      </c>
      <c r="F33" s="14">
        <v>0.01</v>
      </c>
      <c r="G33" s="14">
        <v>0.01</v>
      </c>
      <c r="H33" s="14">
        <v>0.01</v>
      </c>
      <c r="I33" s="14">
        <v>0.02</v>
      </c>
      <c r="J33" s="14">
        <v>0.03</v>
      </c>
      <c r="K33" s="14">
        <v>0.03</v>
      </c>
      <c r="L33" s="14">
        <v>0.01</v>
      </c>
      <c r="M33" s="14">
        <v>0.02</v>
      </c>
      <c r="N33" s="14">
        <v>0.02</v>
      </c>
      <c r="O33" s="14">
        <v>0.01</v>
      </c>
      <c r="P33" s="14">
        <v>0.02</v>
      </c>
      <c r="Q33" s="14">
        <v>0.01</v>
      </c>
      <c r="R33" s="14">
        <v>0.01</v>
      </c>
      <c r="S33" s="14">
        <v>0.03</v>
      </c>
      <c r="T33" s="14">
        <v>0.06</v>
      </c>
      <c r="U33" s="14">
        <v>0.01</v>
      </c>
      <c r="V33" s="14">
        <v>0.01</v>
      </c>
      <c r="W33" s="14">
        <v>0.01</v>
      </c>
      <c r="X33" s="14">
        <v>0.01</v>
      </c>
      <c r="Y33" s="14">
        <v>0.03</v>
      </c>
      <c r="Z33" s="14">
        <v>0.02</v>
      </c>
      <c r="AA33" s="14">
        <v>0.06</v>
      </c>
      <c r="AB33" s="14">
        <v>0.04</v>
      </c>
      <c r="AC33" s="14">
        <v>0.01</v>
      </c>
      <c r="AD33" s="14">
        <v>0.01</v>
      </c>
      <c r="AE33" s="14">
        <v>0.02</v>
      </c>
      <c r="AF33" s="15" t="s">
        <v>375</v>
      </c>
    </row>
    <row r="34" spans="1:32">
      <c r="A34" s="19"/>
      <c r="B34" s="11" t="s">
        <v>588</v>
      </c>
      <c r="C34" s="12">
        <v>3142</v>
      </c>
      <c r="D34" s="12">
        <v>97</v>
      </c>
      <c r="E34" s="12">
        <v>239</v>
      </c>
      <c r="F34" s="12">
        <v>236</v>
      </c>
      <c r="G34" s="12">
        <v>162</v>
      </c>
      <c r="H34" s="12">
        <v>260</v>
      </c>
      <c r="I34" s="12">
        <v>287</v>
      </c>
      <c r="J34" s="12">
        <v>28</v>
      </c>
      <c r="K34" s="12">
        <v>247</v>
      </c>
      <c r="L34" s="12">
        <v>87</v>
      </c>
      <c r="M34" s="12">
        <v>80</v>
      </c>
      <c r="N34" s="12">
        <v>56</v>
      </c>
      <c r="O34" s="12">
        <v>107</v>
      </c>
      <c r="P34" s="12">
        <v>167</v>
      </c>
      <c r="Q34" s="12">
        <v>78</v>
      </c>
      <c r="R34" s="12">
        <v>25</v>
      </c>
      <c r="S34" s="12">
        <v>213</v>
      </c>
      <c r="T34" s="12">
        <v>197</v>
      </c>
      <c r="U34" s="12">
        <v>20</v>
      </c>
      <c r="V34" s="12">
        <v>150</v>
      </c>
      <c r="W34" s="12">
        <v>44</v>
      </c>
      <c r="X34" s="12">
        <v>79</v>
      </c>
      <c r="Y34" s="12">
        <v>131</v>
      </c>
      <c r="Z34" s="12">
        <v>77</v>
      </c>
      <c r="AA34" s="12">
        <v>183</v>
      </c>
      <c r="AB34" s="12">
        <v>119</v>
      </c>
      <c r="AC34" s="12">
        <v>191</v>
      </c>
      <c r="AD34" s="12">
        <v>141</v>
      </c>
      <c r="AE34" s="12">
        <v>98</v>
      </c>
      <c r="AF34" s="12">
        <v>132</v>
      </c>
    </row>
    <row r="35" spans="1:32">
      <c r="A35" s="19"/>
      <c r="B35" s="13" t="s">
        <v>589</v>
      </c>
      <c r="C35" s="14">
        <v>0.11</v>
      </c>
      <c r="D35" s="14">
        <v>0.09</v>
      </c>
      <c r="E35" s="14">
        <v>0.23</v>
      </c>
      <c r="F35" s="14">
        <v>0.22</v>
      </c>
      <c r="G35" s="14">
        <v>0.16</v>
      </c>
      <c r="H35" s="14">
        <v>0.21</v>
      </c>
      <c r="I35" s="14">
        <v>0.18</v>
      </c>
      <c r="J35" s="14">
        <v>0.09</v>
      </c>
      <c r="K35" s="14">
        <v>0.25</v>
      </c>
      <c r="L35" s="14">
        <v>0.09</v>
      </c>
      <c r="M35" s="14">
        <v>0.08</v>
      </c>
      <c r="N35" s="14">
        <v>0.06</v>
      </c>
      <c r="O35" s="14">
        <v>0.11</v>
      </c>
      <c r="P35" s="14">
        <v>0.16</v>
      </c>
      <c r="Q35" s="14">
        <v>0.08</v>
      </c>
      <c r="R35" s="14">
        <v>0.05</v>
      </c>
      <c r="S35" s="14">
        <v>0.21</v>
      </c>
      <c r="T35" s="14">
        <v>0.19</v>
      </c>
      <c r="U35" s="14">
        <v>0.04</v>
      </c>
      <c r="V35" s="14">
        <v>0.15</v>
      </c>
      <c r="W35" s="14">
        <v>0.08</v>
      </c>
      <c r="X35" s="14">
        <v>0.08</v>
      </c>
      <c r="Y35" s="14">
        <v>0.13</v>
      </c>
      <c r="Z35" s="14">
        <v>0.06</v>
      </c>
      <c r="AA35" s="14">
        <v>0.18</v>
      </c>
      <c r="AB35" s="14">
        <v>0.11</v>
      </c>
      <c r="AC35" s="14">
        <v>0.19</v>
      </c>
      <c r="AD35" s="14">
        <v>0.14000000000000001</v>
      </c>
      <c r="AE35" s="14">
        <v>0.09</v>
      </c>
      <c r="AF35" s="14">
        <v>0.13</v>
      </c>
    </row>
    <row r="36" spans="1:32">
      <c r="A36" s="19"/>
      <c r="B36" s="11" t="s">
        <v>590</v>
      </c>
      <c r="C36" s="12">
        <v>5100</v>
      </c>
      <c r="D36" s="12">
        <v>198</v>
      </c>
      <c r="E36" s="12">
        <v>262</v>
      </c>
      <c r="F36" s="12">
        <v>320</v>
      </c>
      <c r="G36" s="12">
        <v>187</v>
      </c>
      <c r="H36" s="12">
        <v>261</v>
      </c>
      <c r="I36" s="12">
        <v>330</v>
      </c>
      <c r="J36" s="12">
        <v>69</v>
      </c>
      <c r="K36" s="12">
        <v>254</v>
      </c>
      <c r="L36" s="12">
        <v>150</v>
      </c>
      <c r="M36" s="12">
        <v>199</v>
      </c>
      <c r="N36" s="12">
        <v>155</v>
      </c>
      <c r="O36" s="12">
        <v>189</v>
      </c>
      <c r="P36" s="12">
        <v>223</v>
      </c>
      <c r="Q36" s="12">
        <v>145</v>
      </c>
      <c r="R36" s="12">
        <v>49</v>
      </c>
      <c r="S36" s="12">
        <v>163</v>
      </c>
      <c r="T36" s="12">
        <v>218</v>
      </c>
      <c r="U36" s="12">
        <v>83</v>
      </c>
      <c r="V36" s="12">
        <v>300</v>
      </c>
      <c r="W36" s="12">
        <v>59</v>
      </c>
      <c r="X36" s="12">
        <v>186</v>
      </c>
      <c r="Y36" s="12">
        <v>231</v>
      </c>
      <c r="Z36" s="12">
        <v>217</v>
      </c>
      <c r="AA36" s="12">
        <v>147</v>
      </c>
      <c r="AB36" s="12">
        <v>233</v>
      </c>
      <c r="AC36" s="12">
        <v>181</v>
      </c>
      <c r="AD36" s="12">
        <v>269</v>
      </c>
      <c r="AE36" s="12">
        <v>161</v>
      </c>
      <c r="AF36" s="12">
        <v>193</v>
      </c>
    </row>
    <row r="37" spans="1:32">
      <c r="A37" s="19"/>
      <c r="B37" s="13" t="s">
        <v>591</v>
      </c>
      <c r="C37" s="14">
        <v>0.19</v>
      </c>
      <c r="D37" s="14">
        <v>0.2</v>
      </c>
      <c r="E37" s="14">
        <v>0.25</v>
      </c>
      <c r="F37" s="14">
        <v>0.3</v>
      </c>
      <c r="G37" s="14">
        <v>0.19</v>
      </c>
      <c r="H37" s="14">
        <v>0.22</v>
      </c>
      <c r="I37" s="14">
        <v>0.22</v>
      </c>
      <c r="J37" s="14">
        <v>0.23</v>
      </c>
      <c r="K37" s="14">
        <v>0.25</v>
      </c>
      <c r="L37" s="14">
        <v>0.15</v>
      </c>
      <c r="M37" s="14">
        <v>0.2</v>
      </c>
      <c r="N37" s="14">
        <v>0.15</v>
      </c>
      <c r="O37" s="14">
        <v>0.19</v>
      </c>
      <c r="P37" s="14">
        <v>0.23</v>
      </c>
      <c r="Q37" s="14">
        <v>0.14000000000000001</v>
      </c>
      <c r="R37" s="14">
        <v>0.1</v>
      </c>
      <c r="S37" s="14">
        <v>0.17</v>
      </c>
      <c r="T37" s="14">
        <v>0.21</v>
      </c>
      <c r="U37" s="14">
        <v>0.16</v>
      </c>
      <c r="V37" s="14">
        <v>0.28999999999999998</v>
      </c>
      <c r="W37" s="14">
        <v>0.12</v>
      </c>
      <c r="X37" s="14">
        <v>0.18</v>
      </c>
      <c r="Y37" s="14">
        <v>0.23</v>
      </c>
      <c r="Z37" s="14">
        <v>0.22</v>
      </c>
      <c r="AA37" s="14">
        <v>0.14000000000000001</v>
      </c>
      <c r="AB37" s="14">
        <v>0.23</v>
      </c>
      <c r="AC37" s="14">
        <v>0.18</v>
      </c>
      <c r="AD37" s="14">
        <v>0.27</v>
      </c>
      <c r="AE37" s="14">
        <v>0.16</v>
      </c>
      <c r="AF37" s="14">
        <v>0.19</v>
      </c>
    </row>
    <row r="38" spans="1:32">
      <c r="A38" s="19"/>
      <c r="B38" s="11" t="s">
        <v>592</v>
      </c>
      <c r="C38" s="12">
        <v>17727</v>
      </c>
      <c r="D38" s="12">
        <v>727</v>
      </c>
      <c r="E38" s="12">
        <v>499</v>
      </c>
      <c r="F38" s="12">
        <v>493</v>
      </c>
      <c r="G38" s="12">
        <v>654</v>
      </c>
      <c r="H38" s="12">
        <v>691</v>
      </c>
      <c r="I38" s="12">
        <v>884</v>
      </c>
      <c r="J38" s="12">
        <v>192</v>
      </c>
      <c r="K38" s="12">
        <v>470</v>
      </c>
      <c r="L38" s="12">
        <v>760</v>
      </c>
      <c r="M38" s="12">
        <v>703</v>
      </c>
      <c r="N38" s="12">
        <v>776</v>
      </c>
      <c r="O38" s="12">
        <v>693</v>
      </c>
      <c r="P38" s="12">
        <v>593</v>
      </c>
      <c r="Q38" s="12">
        <v>795</v>
      </c>
      <c r="R38" s="12">
        <v>420</v>
      </c>
      <c r="S38" s="12">
        <v>597</v>
      </c>
      <c r="T38" s="12">
        <v>542</v>
      </c>
      <c r="U38" s="12">
        <v>402</v>
      </c>
      <c r="V38" s="12">
        <v>564</v>
      </c>
      <c r="W38" s="12">
        <v>394</v>
      </c>
      <c r="X38" s="12">
        <v>738</v>
      </c>
      <c r="Y38" s="12">
        <v>607</v>
      </c>
      <c r="Z38" s="12">
        <v>707</v>
      </c>
      <c r="AA38" s="12">
        <v>642</v>
      </c>
      <c r="AB38" s="12">
        <v>652</v>
      </c>
      <c r="AC38" s="12">
        <v>626</v>
      </c>
      <c r="AD38" s="12">
        <v>584</v>
      </c>
      <c r="AE38" s="12">
        <v>722</v>
      </c>
      <c r="AF38" s="12">
        <v>705</v>
      </c>
    </row>
    <row r="39" spans="1:32">
      <c r="A39" s="19"/>
      <c r="B39" s="13" t="s">
        <v>593</v>
      </c>
      <c r="C39" s="14">
        <v>0.68</v>
      </c>
      <c r="D39" s="14">
        <v>0.71</v>
      </c>
      <c r="E39" s="14">
        <v>0.48</v>
      </c>
      <c r="F39" s="14">
        <v>0.47</v>
      </c>
      <c r="G39" s="14">
        <v>0.64</v>
      </c>
      <c r="H39" s="14">
        <v>0.56000000000000005</v>
      </c>
      <c r="I39" s="14">
        <v>0.57999999999999996</v>
      </c>
      <c r="J39" s="14">
        <v>0.65</v>
      </c>
      <c r="K39" s="14">
        <v>0.47</v>
      </c>
      <c r="L39" s="14">
        <v>0.75</v>
      </c>
      <c r="M39" s="14">
        <v>0.70000000000000007</v>
      </c>
      <c r="N39" s="14">
        <v>0.77</v>
      </c>
      <c r="O39" s="14">
        <v>0.69000000000000006</v>
      </c>
      <c r="P39" s="14">
        <v>0.59</v>
      </c>
      <c r="Q39" s="14">
        <v>0.77</v>
      </c>
      <c r="R39" s="14">
        <v>0.84</v>
      </c>
      <c r="S39" s="14">
        <v>0.59</v>
      </c>
      <c r="T39" s="14">
        <v>0.54</v>
      </c>
      <c r="U39" s="14">
        <v>0.79</v>
      </c>
      <c r="V39" s="14">
        <v>0.55000000000000004</v>
      </c>
      <c r="W39" s="14">
        <v>0.79</v>
      </c>
      <c r="X39" s="14">
        <v>0.73</v>
      </c>
      <c r="Y39" s="14">
        <v>0.61</v>
      </c>
      <c r="Z39" s="14">
        <v>0.70000000000000007</v>
      </c>
      <c r="AA39" s="14">
        <v>0.62</v>
      </c>
      <c r="AB39" s="14">
        <v>0.62</v>
      </c>
      <c r="AC39" s="14">
        <v>0.62</v>
      </c>
      <c r="AD39" s="14">
        <v>0.57999999999999996</v>
      </c>
      <c r="AE39" s="14">
        <v>0.73</v>
      </c>
      <c r="AF39" s="14">
        <v>0.68</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650</v>
      </c>
      <c r="C3" s="17"/>
      <c r="D3" s="17"/>
      <c r="E3" s="17"/>
      <c r="F3" s="17"/>
      <c r="H3" s="17" t="s">
        <v>651</v>
      </c>
      <c r="I3" s="17"/>
      <c r="J3" s="17"/>
      <c r="K3" s="17"/>
      <c r="L3" s="17"/>
    </row>
    <row r="4" spans="1:32" ht="27" customHeight="1">
      <c r="B4" s="17" t="s">
        <v>652</v>
      </c>
      <c r="C4" s="17"/>
      <c r="D4" s="17"/>
      <c r="E4" s="17"/>
      <c r="F4" s="17"/>
      <c r="H4" s="17" t="s">
        <v>653</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HYPERLINK("#Content!A44","&lt;&lt;Back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721</v>
      </c>
      <c r="D12" s="12">
        <v>24</v>
      </c>
      <c r="E12" s="12">
        <v>76</v>
      </c>
      <c r="F12" s="12">
        <v>53</v>
      </c>
      <c r="G12" s="12">
        <v>60</v>
      </c>
      <c r="H12" s="12">
        <v>44</v>
      </c>
      <c r="I12" s="12">
        <v>54</v>
      </c>
      <c r="J12" s="12">
        <v>9</v>
      </c>
      <c r="K12" s="12">
        <v>96</v>
      </c>
      <c r="L12" s="12">
        <v>49</v>
      </c>
      <c r="M12" s="12">
        <v>12</v>
      </c>
      <c r="N12" s="12">
        <v>24</v>
      </c>
      <c r="O12" s="12">
        <v>18</v>
      </c>
      <c r="P12" s="12">
        <v>19</v>
      </c>
      <c r="Q12" s="12">
        <v>27</v>
      </c>
      <c r="R12" s="12">
        <v>2</v>
      </c>
      <c r="S12" s="12">
        <v>76</v>
      </c>
      <c r="T12" s="12">
        <v>68</v>
      </c>
      <c r="U12" s="12">
        <v>9</v>
      </c>
      <c r="V12" s="12">
        <v>19</v>
      </c>
      <c r="W12" s="12">
        <v>16</v>
      </c>
      <c r="X12" s="12">
        <v>13</v>
      </c>
      <c r="Y12" s="12">
        <v>24</v>
      </c>
      <c r="Z12" s="12">
        <v>8</v>
      </c>
      <c r="AA12" s="12">
        <v>12</v>
      </c>
      <c r="AB12" s="12">
        <v>56</v>
      </c>
      <c r="AC12" s="12">
        <v>52</v>
      </c>
      <c r="AD12" s="12">
        <v>45</v>
      </c>
      <c r="AE12" s="12">
        <v>34</v>
      </c>
      <c r="AF12" s="12">
        <v>21</v>
      </c>
    </row>
    <row r="13" spans="1:32">
      <c r="A13" s="19"/>
      <c r="B13" s="13" t="s">
        <v>577</v>
      </c>
      <c r="C13" s="14">
        <v>0.03</v>
      </c>
      <c r="D13" s="14">
        <v>0.02</v>
      </c>
      <c r="E13" s="14">
        <v>7.0000000000000007E-2</v>
      </c>
      <c r="F13" s="14">
        <v>0.05</v>
      </c>
      <c r="G13" s="14">
        <v>0.06</v>
      </c>
      <c r="H13" s="14">
        <v>0.04</v>
      </c>
      <c r="I13" s="14">
        <v>0.04</v>
      </c>
      <c r="J13" s="14">
        <v>0.03</v>
      </c>
      <c r="K13" s="14">
        <v>0.1</v>
      </c>
      <c r="L13" s="14">
        <v>0.05</v>
      </c>
      <c r="M13" s="14">
        <v>0.01</v>
      </c>
      <c r="N13" s="14">
        <v>0.02</v>
      </c>
      <c r="O13" s="14">
        <v>0.02</v>
      </c>
      <c r="P13" s="14">
        <v>0.02</v>
      </c>
      <c r="Q13" s="14">
        <v>0.03</v>
      </c>
      <c r="R13" s="15" t="s">
        <v>375</v>
      </c>
      <c r="S13" s="14">
        <v>7.0000000000000007E-2</v>
      </c>
      <c r="T13" s="14">
        <v>7.0000000000000007E-2</v>
      </c>
      <c r="U13" s="14">
        <v>0.02</v>
      </c>
      <c r="V13" s="14">
        <v>0.02</v>
      </c>
      <c r="W13" s="14">
        <v>0.03</v>
      </c>
      <c r="X13" s="14">
        <v>0.01</v>
      </c>
      <c r="Y13" s="14">
        <v>0.02</v>
      </c>
      <c r="Z13" s="14">
        <v>0.01</v>
      </c>
      <c r="AA13" s="14">
        <v>0.01</v>
      </c>
      <c r="AB13" s="14">
        <v>0.05</v>
      </c>
      <c r="AC13" s="14">
        <v>0.05</v>
      </c>
      <c r="AD13" s="14">
        <v>0.04</v>
      </c>
      <c r="AE13" s="14">
        <v>0.03</v>
      </c>
      <c r="AF13" s="14">
        <v>0.02</v>
      </c>
    </row>
    <row r="14" spans="1:32">
      <c r="A14" s="19"/>
      <c r="B14" s="11" t="s">
        <v>578</v>
      </c>
      <c r="C14" s="12">
        <v>622</v>
      </c>
      <c r="D14" s="12">
        <v>18</v>
      </c>
      <c r="E14" s="12">
        <v>30</v>
      </c>
      <c r="F14" s="12">
        <v>31</v>
      </c>
      <c r="G14" s="12">
        <v>45</v>
      </c>
      <c r="H14" s="12">
        <v>73</v>
      </c>
      <c r="I14" s="12">
        <v>84</v>
      </c>
      <c r="J14" s="12">
        <v>11</v>
      </c>
      <c r="K14" s="12">
        <v>58</v>
      </c>
      <c r="L14" s="12">
        <v>16</v>
      </c>
      <c r="M14" s="12">
        <v>13</v>
      </c>
      <c r="N14" s="12">
        <v>17</v>
      </c>
      <c r="O14" s="12">
        <v>16</v>
      </c>
      <c r="P14" s="12">
        <v>9</v>
      </c>
      <c r="Q14" s="12">
        <v>4</v>
      </c>
      <c r="R14" s="12">
        <v>8</v>
      </c>
      <c r="S14" s="12">
        <v>26</v>
      </c>
      <c r="T14" s="12">
        <v>43</v>
      </c>
      <c r="U14" s="12">
        <v>6</v>
      </c>
      <c r="V14" s="12">
        <v>28</v>
      </c>
      <c r="W14" s="12">
        <v>4</v>
      </c>
      <c r="X14" s="12">
        <v>14</v>
      </c>
      <c r="Y14" s="12">
        <v>22</v>
      </c>
      <c r="Z14" s="12">
        <v>10</v>
      </c>
      <c r="AA14" s="12">
        <v>24</v>
      </c>
      <c r="AB14" s="12">
        <v>15</v>
      </c>
      <c r="AC14" s="12">
        <v>37</v>
      </c>
      <c r="AD14" s="12">
        <v>25</v>
      </c>
      <c r="AE14" s="12">
        <v>32</v>
      </c>
      <c r="AF14" s="12">
        <v>40</v>
      </c>
    </row>
    <row r="15" spans="1:32">
      <c r="A15" s="19"/>
      <c r="B15" s="13" t="s">
        <v>578</v>
      </c>
      <c r="C15" s="14">
        <v>0.02</v>
      </c>
      <c r="D15" s="14">
        <v>0.02</v>
      </c>
      <c r="E15" s="14">
        <v>0.03</v>
      </c>
      <c r="F15" s="14">
        <v>0.03</v>
      </c>
      <c r="G15" s="14">
        <v>0.04</v>
      </c>
      <c r="H15" s="14">
        <v>0.06</v>
      </c>
      <c r="I15" s="14">
        <v>0.05</v>
      </c>
      <c r="J15" s="14">
        <v>0.04</v>
      </c>
      <c r="K15" s="14">
        <v>0.06</v>
      </c>
      <c r="L15" s="14">
        <v>0.02</v>
      </c>
      <c r="M15" s="14">
        <v>0.01</v>
      </c>
      <c r="N15" s="14">
        <v>0.02</v>
      </c>
      <c r="O15" s="14">
        <v>0.02</v>
      </c>
      <c r="P15" s="14">
        <v>0.01</v>
      </c>
      <c r="Q15" s="15" t="s">
        <v>375</v>
      </c>
      <c r="R15" s="14">
        <v>0.02</v>
      </c>
      <c r="S15" s="14">
        <v>0.03</v>
      </c>
      <c r="T15" s="14">
        <v>0.04</v>
      </c>
      <c r="U15" s="14">
        <v>0.01</v>
      </c>
      <c r="V15" s="14">
        <v>0.03</v>
      </c>
      <c r="W15" s="14">
        <v>0.01</v>
      </c>
      <c r="X15" s="14">
        <v>0.01</v>
      </c>
      <c r="Y15" s="14">
        <v>0.02</v>
      </c>
      <c r="Z15" s="14">
        <v>0.01</v>
      </c>
      <c r="AA15" s="14">
        <v>0.02</v>
      </c>
      <c r="AB15" s="14">
        <v>0.02</v>
      </c>
      <c r="AC15" s="14">
        <v>0.04</v>
      </c>
      <c r="AD15" s="14">
        <v>0.02</v>
      </c>
      <c r="AE15" s="14">
        <v>0.03</v>
      </c>
      <c r="AF15" s="14">
        <v>0.04</v>
      </c>
    </row>
    <row r="16" spans="1:32">
      <c r="A16" s="19"/>
      <c r="B16" s="11" t="s">
        <v>579</v>
      </c>
      <c r="C16" s="12">
        <v>935</v>
      </c>
      <c r="D16" s="12">
        <v>30</v>
      </c>
      <c r="E16" s="12">
        <v>59</v>
      </c>
      <c r="F16" s="12">
        <v>73</v>
      </c>
      <c r="G16" s="12">
        <v>72</v>
      </c>
      <c r="H16" s="12">
        <v>48</v>
      </c>
      <c r="I16" s="12">
        <v>66</v>
      </c>
      <c r="J16" s="12">
        <v>18</v>
      </c>
      <c r="K16" s="12">
        <v>84</v>
      </c>
      <c r="L16" s="12">
        <v>21</v>
      </c>
      <c r="M16" s="12">
        <v>21</v>
      </c>
      <c r="N16" s="12">
        <v>16</v>
      </c>
      <c r="O16" s="12">
        <v>37</v>
      </c>
      <c r="P16" s="12">
        <v>40</v>
      </c>
      <c r="Q16" s="12">
        <v>15</v>
      </c>
      <c r="R16" s="12">
        <v>17</v>
      </c>
      <c r="S16" s="12">
        <v>47</v>
      </c>
      <c r="T16" s="12">
        <v>53</v>
      </c>
      <c r="U16" s="12">
        <v>9</v>
      </c>
      <c r="V16" s="12">
        <v>66</v>
      </c>
      <c r="W16" s="12">
        <v>10</v>
      </c>
      <c r="X16" s="12">
        <v>27</v>
      </c>
      <c r="Y16" s="12">
        <v>48</v>
      </c>
      <c r="Z16" s="12">
        <v>28</v>
      </c>
      <c r="AA16" s="12">
        <v>90</v>
      </c>
      <c r="AB16" s="12">
        <v>24</v>
      </c>
      <c r="AC16" s="12">
        <v>78</v>
      </c>
      <c r="AD16" s="12">
        <v>88</v>
      </c>
      <c r="AE16" s="12">
        <v>53</v>
      </c>
      <c r="AF16" s="12">
        <v>55</v>
      </c>
    </row>
    <row r="17" spans="1:32">
      <c r="A17" s="19"/>
      <c r="B17" s="13" t="s">
        <v>579</v>
      </c>
      <c r="C17" s="14">
        <v>0.04</v>
      </c>
      <c r="D17" s="14">
        <v>0.03</v>
      </c>
      <c r="E17" s="14">
        <v>0.06</v>
      </c>
      <c r="F17" s="14">
        <v>7.0000000000000007E-2</v>
      </c>
      <c r="G17" s="14">
        <v>7.0000000000000007E-2</v>
      </c>
      <c r="H17" s="14">
        <v>0.04</v>
      </c>
      <c r="I17" s="14">
        <v>0.04</v>
      </c>
      <c r="J17" s="14">
        <v>0.06</v>
      </c>
      <c r="K17" s="14">
        <v>0.08</v>
      </c>
      <c r="L17" s="14">
        <v>0.02</v>
      </c>
      <c r="M17" s="14">
        <v>0.02</v>
      </c>
      <c r="N17" s="14">
        <v>0.02</v>
      </c>
      <c r="O17" s="14">
        <v>0.04</v>
      </c>
      <c r="P17" s="14">
        <v>0.04</v>
      </c>
      <c r="Q17" s="14">
        <v>0.01</v>
      </c>
      <c r="R17" s="14">
        <v>0.04</v>
      </c>
      <c r="S17" s="14">
        <v>0.05</v>
      </c>
      <c r="T17" s="14">
        <v>0.05</v>
      </c>
      <c r="U17" s="14">
        <v>0.02</v>
      </c>
      <c r="V17" s="14">
        <v>0.06</v>
      </c>
      <c r="W17" s="14">
        <v>0.02</v>
      </c>
      <c r="X17" s="14">
        <v>0.03</v>
      </c>
      <c r="Y17" s="14">
        <v>0.05</v>
      </c>
      <c r="Z17" s="14">
        <v>0.03</v>
      </c>
      <c r="AA17" s="14">
        <v>0.09</v>
      </c>
      <c r="AB17" s="14">
        <v>0.02</v>
      </c>
      <c r="AC17" s="14">
        <v>0.08</v>
      </c>
      <c r="AD17" s="14">
        <v>0.09</v>
      </c>
      <c r="AE17" s="14">
        <v>0.05</v>
      </c>
      <c r="AF17" s="14">
        <v>0.05</v>
      </c>
    </row>
    <row r="18" spans="1:32">
      <c r="A18" s="19"/>
      <c r="B18" s="11" t="s">
        <v>580</v>
      </c>
      <c r="C18" s="12">
        <v>1180</v>
      </c>
      <c r="D18" s="12">
        <v>59</v>
      </c>
      <c r="E18" s="12">
        <v>84</v>
      </c>
      <c r="F18" s="12">
        <v>84</v>
      </c>
      <c r="G18" s="12">
        <v>72</v>
      </c>
      <c r="H18" s="12">
        <v>59</v>
      </c>
      <c r="I18" s="12">
        <v>77</v>
      </c>
      <c r="J18" s="12">
        <v>18</v>
      </c>
      <c r="K18" s="12">
        <v>90</v>
      </c>
      <c r="L18" s="12">
        <v>27</v>
      </c>
      <c r="M18" s="12">
        <v>27</v>
      </c>
      <c r="N18" s="12">
        <v>23</v>
      </c>
      <c r="O18" s="12">
        <v>38</v>
      </c>
      <c r="P18" s="12">
        <v>54</v>
      </c>
      <c r="Q18" s="12">
        <v>36</v>
      </c>
      <c r="R18" s="12">
        <v>16</v>
      </c>
      <c r="S18" s="12">
        <v>80</v>
      </c>
      <c r="T18" s="12">
        <v>66</v>
      </c>
      <c r="U18" s="12">
        <v>25</v>
      </c>
      <c r="V18" s="12">
        <v>91</v>
      </c>
      <c r="W18" s="12">
        <v>29</v>
      </c>
      <c r="X18" s="12">
        <v>43</v>
      </c>
      <c r="Y18" s="12">
        <v>69</v>
      </c>
      <c r="Z18" s="12">
        <v>33</v>
      </c>
      <c r="AA18" s="12">
        <v>61</v>
      </c>
      <c r="AB18" s="12">
        <v>39</v>
      </c>
      <c r="AC18" s="12">
        <v>62</v>
      </c>
      <c r="AD18" s="12">
        <v>78</v>
      </c>
      <c r="AE18" s="12">
        <v>80</v>
      </c>
      <c r="AF18" s="12">
        <v>63</v>
      </c>
    </row>
    <row r="19" spans="1:32">
      <c r="A19" s="19"/>
      <c r="B19" s="13" t="s">
        <v>580</v>
      </c>
      <c r="C19" s="14">
        <v>0.04</v>
      </c>
      <c r="D19" s="14">
        <v>0.06</v>
      </c>
      <c r="E19" s="14">
        <v>0.08</v>
      </c>
      <c r="F19" s="14">
        <v>0.08</v>
      </c>
      <c r="G19" s="14">
        <v>7.0000000000000007E-2</v>
      </c>
      <c r="H19" s="14">
        <v>0.05</v>
      </c>
      <c r="I19" s="14">
        <v>0.05</v>
      </c>
      <c r="J19" s="14">
        <v>0.06</v>
      </c>
      <c r="K19" s="14">
        <v>0.09</v>
      </c>
      <c r="L19" s="14">
        <v>0.03</v>
      </c>
      <c r="M19" s="14">
        <v>0.03</v>
      </c>
      <c r="N19" s="14">
        <v>0.02</v>
      </c>
      <c r="O19" s="14">
        <v>0.04</v>
      </c>
      <c r="P19" s="14">
        <v>0.05</v>
      </c>
      <c r="Q19" s="14">
        <v>0.04</v>
      </c>
      <c r="R19" s="14">
        <v>0.03</v>
      </c>
      <c r="S19" s="14">
        <v>0.08</v>
      </c>
      <c r="T19" s="14">
        <v>0.06</v>
      </c>
      <c r="U19" s="14">
        <v>0.05</v>
      </c>
      <c r="V19" s="14">
        <v>0.09</v>
      </c>
      <c r="W19" s="14">
        <v>0.06</v>
      </c>
      <c r="X19" s="14">
        <v>0.04</v>
      </c>
      <c r="Y19" s="14">
        <v>7.0000000000000007E-2</v>
      </c>
      <c r="Z19" s="14">
        <v>0.03</v>
      </c>
      <c r="AA19" s="14">
        <v>0.06</v>
      </c>
      <c r="AB19" s="14">
        <v>0.04</v>
      </c>
      <c r="AC19" s="14">
        <v>0.06</v>
      </c>
      <c r="AD19" s="14">
        <v>0.08</v>
      </c>
      <c r="AE19" s="14">
        <v>0.08</v>
      </c>
      <c r="AF19" s="14">
        <v>0.06</v>
      </c>
    </row>
    <row r="20" spans="1:32">
      <c r="A20" s="19"/>
      <c r="B20" s="11" t="s">
        <v>581</v>
      </c>
      <c r="C20" s="12">
        <v>2796</v>
      </c>
      <c r="D20" s="12">
        <v>110</v>
      </c>
      <c r="E20" s="12">
        <v>118</v>
      </c>
      <c r="F20" s="12">
        <v>163</v>
      </c>
      <c r="G20" s="12">
        <v>136</v>
      </c>
      <c r="H20" s="12">
        <v>197</v>
      </c>
      <c r="I20" s="12">
        <v>237</v>
      </c>
      <c r="J20" s="12">
        <v>40</v>
      </c>
      <c r="K20" s="12">
        <v>136</v>
      </c>
      <c r="L20" s="12">
        <v>64</v>
      </c>
      <c r="M20" s="12">
        <v>79</v>
      </c>
      <c r="N20" s="12">
        <v>66</v>
      </c>
      <c r="O20" s="12">
        <v>118</v>
      </c>
      <c r="P20" s="12">
        <v>103</v>
      </c>
      <c r="Q20" s="12">
        <v>60</v>
      </c>
      <c r="R20" s="12">
        <v>27</v>
      </c>
      <c r="S20" s="12">
        <v>154</v>
      </c>
      <c r="T20" s="12">
        <v>173</v>
      </c>
      <c r="U20" s="12">
        <v>35</v>
      </c>
      <c r="V20" s="12">
        <v>130</v>
      </c>
      <c r="W20" s="12">
        <v>37</v>
      </c>
      <c r="X20" s="12">
        <v>83</v>
      </c>
      <c r="Y20" s="12">
        <v>110</v>
      </c>
      <c r="Z20" s="12">
        <v>100</v>
      </c>
      <c r="AA20" s="12">
        <v>87</v>
      </c>
      <c r="AB20" s="12">
        <v>100</v>
      </c>
      <c r="AC20" s="12">
        <v>127</v>
      </c>
      <c r="AD20" s="12">
        <v>149</v>
      </c>
      <c r="AE20" s="12">
        <v>112</v>
      </c>
      <c r="AF20" s="12">
        <v>111</v>
      </c>
    </row>
    <row r="21" spans="1:32">
      <c r="A21" s="19"/>
      <c r="B21" s="13" t="s">
        <v>581</v>
      </c>
      <c r="C21" s="14">
        <v>0.11</v>
      </c>
      <c r="D21" s="14">
        <v>0.11</v>
      </c>
      <c r="E21" s="14">
        <v>0.11</v>
      </c>
      <c r="F21" s="14">
        <v>0.15</v>
      </c>
      <c r="G21" s="14">
        <v>0.13</v>
      </c>
      <c r="H21" s="14">
        <v>0.16</v>
      </c>
      <c r="I21" s="14">
        <v>0.15</v>
      </c>
      <c r="J21" s="14">
        <v>0.13</v>
      </c>
      <c r="K21" s="14">
        <v>0.13</v>
      </c>
      <c r="L21" s="14">
        <v>0.06</v>
      </c>
      <c r="M21" s="14">
        <v>0.08</v>
      </c>
      <c r="N21" s="14">
        <v>7.0000000000000007E-2</v>
      </c>
      <c r="O21" s="14">
        <v>0.12</v>
      </c>
      <c r="P21" s="14">
        <v>0.1</v>
      </c>
      <c r="Q21" s="14">
        <v>0.06</v>
      </c>
      <c r="R21" s="14">
        <v>0.05</v>
      </c>
      <c r="S21" s="14">
        <v>0.15</v>
      </c>
      <c r="T21" s="14">
        <v>0.17</v>
      </c>
      <c r="U21" s="14">
        <v>7.0000000000000007E-2</v>
      </c>
      <c r="V21" s="14">
        <v>0.13</v>
      </c>
      <c r="W21" s="14">
        <v>7.0000000000000007E-2</v>
      </c>
      <c r="X21" s="14">
        <v>0.08</v>
      </c>
      <c r="Y21" s="14">
        <v>0.11</v>
      </c>
      <c r="Z21" s="14">
        <v>0.1</v>
      </c>
      <c r="AA21" s="14">
        <v>0.08</v>
      </c>
      <c r="AB21" s="14">
        <v>0.1</v>
      </c>
      <c r="AC21" s="14">
        <v>0.12</v>
      </c>
      <c r="AD21" s="14">
        <v>0.15</v>
      </c>
      <c r="AE21" s="14">
        <v>0.11</v>
      </c>
      <c r="AF21" s="14">
        <v>0.11</v>
      </c>
    </row>
    <row r="22" spans="1:32">
      <c r="A22" s="19"/>
      <c r="B22" s="11" t="s">
        <v>582</v>
      </c>
      <c r="C22" s="12">
        <v>3034</v>
      </c>
      <c r="D22" s="12">
        <v>139</v>
      </c>
      <c r="E22" s="12">
        <v>128</v>
      </c>
      <c r="F22" s="12">
        <v>191</v>
      </c>
      <c r="G22" s="12">
        <v>83</v>
      </c>
      <c r="H22" s="12">
        <v>168</v>
      </c>
      <c r="I22" s="12">
        <v>213</v>
      </c>
      <c r="J22" s="12">
        <v>44</v>
      </c>
      <c r="K22" s="12">
        <v>106</v>
      </c>
      <c r="L22" s="12">
        <v>80</v>
      </c>
      <c r="M22" s="12">
        <v>94</v>
      </c>
      <c r="N22" s="12">
        <v>98</v>
      </c>
      <c r="O22" s="12">
        <v>100</v>
      </c>
      <c r="P22" s="12">
        <v>133</v>
      </c>
      <c r="Q22" s="12">
        <v>85</v>
      </c>
      <c r="R22" s="12">
        <v>55</v>
      </c>
      <c r="S22" s="12">
        <v>79</v>
      </c>
      <c r="T22" s="12">
        <v>133</v>
      </c>
      <c r="U22" s="12">
        <v>54</v>
      </c>
      <c r="V22" s="12">
        <v>148</v>
      </c>
      <c r="W22" s="12">
        <v>50</v>
      </c>
      <c r="X22" s="12">
        <v>154</v>
      </c>
      <c r="Y22" s="12">
        <v>113</v>
      </c>
      <c r="Z22" s="12">
        <v>121</v>
      </c>
      <c r="AA22" s="12">
        <v>80</v>
      </c>
      <c r="AB22" s="12">
        <v>138</v>
      </c>
      <c r="AC22" s="12">
        <v>89</v>
      </c>
      <c r="AD22" s="12">
        <v>136</v>
      </c>
      <c r="AE22" s="12">
        <v>136</v>
      </c>
      <c r="AF22" s="12">
        <v>132</v>
      </c>
    </row>
    <row r="23" spans="1:32">
      <c r="A23" s="19"/>
      <c r="B23" s="13" t="s">
        <v>582</v>
      </c>
      <c r="C23" s="14">
        <v>0.11</v>
      </c>
      <c r="D23" s="14">
        <v>0.14000000000000001</v>
      </c>
      <c r="E23" s="14">
        <v>0.12</v>
      </c>
      <c r="F23" s="14">
        <v>0.18</v>
      </c>
      <c r="G23" s="14">
        <v>0.08</v>
      </c>
      <c r="H23" s="14">
        <v>0.14000000000000001</v>
      </c>
      <c r="I23" s="14">
        <v>0.14000000000000001</v>
      </c>
      <c r="J23" s="14">
        <v>0.15</v>
      </c>
      <c r="K23" s="14">
        <v>0.11</v>
      </c>
      <c r="L23" s="14">
        <v>0.08</v>
      </c>
      <c r="M23" s="14">
        <v>0.09</v>
      </c>
      <c r="N23" s="14">
        <v>0.1</v>
      </c>
      <c r="O23" s="14">
        <v>0.1</v>
      </c>
      <c r="P23" s="14">
        <v>0.13</v>
      </c>
      <c r="Q23" s="14">
        <v>0.08</v>
      </c>
      <c r="R23" s="14">
        <v>0.11</v>
      </c>
      <c r="S23" s="14">
        <v>0.08</v>
      </c>
      <c r="T23" s="14">
        <v>0.13</v>
      </c>
      <c r="U23" s="14">
        <v>0.1</v>
      </c>
      <c r="V23" s="14">
        <v>0.14000000000000001</v>
      </c>
      <c r="W23" s="14">
        <v>0.1</v>
      </c>
      <c r="X23" s="14">
        <v>0.15</v>
      </c>
      <c r="Y23" s="14">
        <v>0.11</v>
      </c>
      <c r="Z23" s="14">
        <v>0.12</v>
      </c>
      <c r="AA23" s="14">
        <v>0.08</v>
      </c>
      <c r="AB23" s="14">
        <v>0.13</v>
      </c>
      <c r="AC23" s="14">
        <v>0.09</v>
      </c>
      <c r="AD23" s="14">
        <v>0.14000000000000001</v>
      </c>
      <c r="AE23" s="14">
        <v>0.14000000000000001</v>
      </c>
      <c r="AF23" s="14">
        <v>0.13</v>
      </c>
    </row>
    <row r="24" spans="1:32">
      <c r="A24" s="19"/>
      <c r="B24" s="11" t="s">
        <v>583</v>
      </c>
      <c r="C24" s="12">
        <v>4381</v>
      </c>
      <c r="D24" s="12">
        <v>196</v>
      </c>
      <c r="E24" s="12">
        <v>131</v>
      </c>
      <c r="F24" s="12">
        <v>139</v>
      </c>
      <c r="G24" s="12">
        <v>159</v>
      </c>
      <c r="H24" s="12">
        <v>192</v>
      </c>
      <c r="I24" s="12">
        <v>241</v>
      </c>
      <c r="J24" s="12">
        <v>49</v>
      </c>
      <c r="K24" s="12">
        <v>133</v>
      </c>
      <c r="L24" s="12">
        <v>166</v>
      </c>
      <c r="M24" s="12">
        <v>174</v>
      </c>
      <c r="N24" s="12">
        <v>141</v>
      </c>
      <c r="O24" s="12">
        <v>180</v>
      </c>
      <c r="P24" s="12">
        <v>156</v>
      </c>
      <c r="Q24" s="12">
        <v>168</v>
      </c>
      <c r="R24" s="12">
        <v>92</v>
      </c>
      <c r="S24" s="12">
        <v>116</v>
      </c>
      <c r="T24" s="12">
        <v>148</v>
      </c>
      <c r="U24" s="12">
        <v>105</v>
      </c>
      <c r="V24" s="12">
        <v>172</v>
      </c>
      <c r="W24" s="12">
        <v>80</v>
      </c>
      <c r="X24" s="12">
        <v>178</v>
      </c>
      <c r="Y24" s="12">
        <v>147</v>
      </c>
      <c r="Z24" s="12">
        <v>203</v>
      </c>
      <c r="AA24" s="12">
        <v>156</v>
      </c>
      <c r="AB24" s="12">
        <v>211</v>
      </c>
      <c r="AC24" s="12">
        <v>129</v>
      </c>
      <c r="AD24" s="12">
        <v>177</v>
      </c>
      <c r="AE24" s="12">
        <v>131</v>
      </c>
      <c r="AF24" s="12">
        <v>187</v>
      </c>
    </row>
    <row r="25" spans="1:32">
      <c r="A25" s="19"/>
      <c r="B25" s="13" t="s">
        <v>583</v>
      </c>
      <c r="C25" s="14">
        <v>0.17</v>
      </c>
      <c r="D25" s="14">
        <v>0.19</v>
      </c>
      <c r="E25" s="14">
        <v>0.12</v>
      </c>
      <c r="F25" s="14">
        <v>0.13</v>
      </c>
      <c r="G25" s="14">
        <v>0.16</v>
      </c>
      <c r="H25" s="14">
        <v>0.15</v>
      </c>
      <c r="I25" s="14">
        <v>0.16</v>
      </c>
      <c r="J25" s="14">
        <v>0.17</v>
      </c>
      <c r="K25" s="14">
        <v>0.13</v>
      </c>
      <c r="L25" s="14">
        <v>0.16</v>
      </c>
      <c r="M25" s="14">
        <v>0.17</v>
      </c>
      <c r="N25" s="14">
        <v>0.14000000000000001</v>
      </c>
      <c r="O25" s="14">
        <v>0.18</v>
      </c>
      <c r="P25" s="14">
        <v>0.16</v>
      </c>
      <c r="Q25" s="14">
        <v>0.16</v>
      </c>
      <c r="R25" s="14">
        <v>0.18</v>
      </c>
      <c r="S25" s="14">
        <v>0.11</v>
      </c>
      <c r="T25" s="14">
        <v>0.15</v>
      </c>
      <c r="U25" s="14">
        <v>0.21</v>
      </c>
      <c r="V25" s="14">
        <v>0.17</v>
      </c>
      <c r="W25" s="14">
        <v>0.16</v>
      </c>
      <c r="X25" s="14">
        <v>0.18</v>
      </c>
      <c r="Y25" s="14">
        <v>0.15</v>
      </c>
      <c r="Z25" s="14">
        <v>0.2</v>
      </c>
      <c r="AA25" s="14">
        <v>0.15</v>
      </c>
      <c r="AB25" s="14">
        <v>0.2</v>
      </c>
      <c r="AC25" s="14">
        <v>0.13</v>
      </c>
      <c r="AD25" s="14">
        <v>0.18</v>
      </c>
      <c r="AE25" s="14">
        <v>0.13</v>
      </c>
      <c r="AF25" s="14">
        <v>0.18</v>
      </c>
    </row>
    <row r="26" spans="1:32">
      <c r="A26" s="19"/>
      <c r="B26" s="11" t="s">
        <v>584</v>
      </c>
      <c r="C26" s="12">
        <v>5656</v>
      </c>
      <c r="D26" s="12">
        <v>232</v>
      </c>
      <c r="E26" s="12">
        <v>144</v>
      </c>
      <c r="F26" s="12">
        <v>135</v>
      </c>
      <c r="G26" s="12">
        <v>172</v>
      </c>
      <c r="H26" s="12">
        <v>198</v>
      </c>
      <c r="I26" s="12">
        <v>253</v>
      </c>
      <c r="J26" s="12">
        <v>55</v>
      </c>
      <c r="K26" s="12">
        <v>103</v>
      </c>
      <c r="L26" s="12">
        <v>212</v>
      </c>
      <c r="M26" s="12">
        <v>266</v>
      </c>
      <c r="N26" s="12">
        <v>225</v>
      </c>
      <c r="O26" s="12">
        <v>225</v>
      </c>
      <c r="P26" s="12">
        <v>172</v>
      </c>
      <c r="Q26" s="12">
        <v>306</v>
      </c>
      <c r="R26" s="12">
        <v>111</v>
      </c>
      <c r="S26" s="12">
        <v>148</v>
      </c>
      <c r="T26" s="12">
        <v>117</v>
      </c>
      <c r="U26" s="12">
        <v>97</v>
      </c>
      <c r="V26" s="12">
        <v>187</v>
      </c>
      <c r="W26" s="12">
        <v>94</v>
      </c>
      <c r="X26" s="12">
        <v>231</v>
      </c>
      <c r="Y26" s="12">
        <v>184</v>
      </c>
      <c r="Z26" s="12">
        <v>260</v>
      </c>
      <c r="AA26" s="12">
        <v>188</v>
      </c>
      <c r="AB26" s="12">
        <v>216</v>
      </c>
      <c r="AC26" s="12">
        <v>131</v>
      </c>
      <c r="AD26" s="12">
        <v>142</v>
      </c>
      <c r="AE26" s="12">
        <v>186</v>
      </c>
      <c r="AF26" s="12">
        <v>185</v>
      </c>
    </row>
    <row r="27" spans="1:32">
      <c r="A27" s="19"/>
      <c r="B27" s="13" t="s">
        <v>584</v>
      </c>
      <c r="C27" s="14">
        <v>0.21</v>
      </c>
      <c r="D27" s="14">
        <v>0.23</v>
      </c>
      <c r="E27" s="14">
        <v>0.14000000000000001</v>
      </c>
      <c r="F27" s="14">
        <v>0.13</v>
      </c>
      <c r="G27" s="14">
        <v>0.17</v>
      </c>
      <c r="H27" s="14">
        <v>0.16</v>
      </c>
      <c r="I27" s="14">
        <v>0.17</v>
      </c>
      <c r="J27" s="14">
        <v>0.18</v>
      </c>
      <c r="K27" s="14">
        <v>0.1</v>
      </c>
      <c r="L27" s="14">
        <v>0.21</v>
      </c>
      <c r="M27" s="14">
        <v>0.27</v>
      </c>
      <c r="N27" s="14">
        <v>0.22</v>
      </c>
      <c r="O27" s="14">
        <v>0.22</v>
      </c>
      <c r="P27" s="14">
        <v>0.17</v>
      </c>
      <c r="Q27" s="14">
        <v>0.3</v>
      </c>
      <c r="R27" s="14">
        <v>0.22</v>
      </c>
      <c r="S27" s="14">
        <v>0.15</v>
      </c>
      <c r="T27" s="14">
        <v>0.11</v>
      </c>
      <c r="U27" s="14">
        <v>0.19</v>
      </c>
      <c r="V27" s="14">
        <v>0.18</v>
      </c>
      <c r="W27" s="14">
        <v>0.19</v>
      </c>
      <c r="X27" s="14">
        <v>0.23</v>
      </c>
      <c r="Y27" s="14">
        <v>0.18</v>
      </c>
      <c r="Z27" s="14">
        <v>0.25</v>
      </c>
      <c r="AA27" s="14">
        <v>0.18</v>
      </c>
      <c r="AB27" s="14">
        <v>0.21</v>
      </c>
      <c r="AC27" s="14">
        <v>0.13</v>
      </c>
      <c r="AD27" s="14">
        <v>0.14000000000000001</v>
      </c>
      <c r="AE27" s="14">
        <v>0.19</v>
      </c>
      <c r="AF27" s="14">
        <v>0.18</v>
      </c>
    </row>
    <row r="28" spans="1:32">
      <c r="A28" s="19"/>
      <c r="B28" s="11" t="s">
        <v>585</v>
      </c>
      <c r="C28" s="12">
        <v>3067</v>
      </c>
      <c r="D28" s="12">
        <v>106</v>
      </c>
      <c r="E28" s="12">
        <v>80</v>
      </c>
      <c r="F28" s="12">
        <v>81</v>
      </c>
      <c r="G28" s="12">
        <v>77</v>
      </c>
      <c r="H28" s="12">
        <v>101</v>
      </c>
      <c r="I28" s="12">
        <v>121</v>
      </c>
      <c r="J28" s="12">
        <v>20</v>
      </c>
      <c r="K28" s="12">
        <v>60</v>
      </c>
      <c r="L28" s="12">
        <v>140</v>
      </c>
      <c r="M28" s="12">
        <v>161</v>
      </c>
      <c r="N28" s="12">
        <v>159</v>
      </c>
      <c r="O28" s="12">
        <v>104</v>
      </c>
      <c r="P28" s="12">
        <v>108</v>
      </c>
      <c r="Q28" s="12">
        <v>165</v>
      </c>
      <c r="R28" s="12">
        <v>57</v>
      </c>
      <c r="S28" s="12">
        <v>98</v>
      </c>
      <c r="T28" s="12">
        <v>47</v>
      </c>
      <c r="U28" s="12">
        <v>66</v>
      </c>
      <c r="V28" s="12">
        <v>79</v>
      </c>
      <c r="W28" s="12">
        <v>80</v>
      </c>
      <c r="X28" s="12">
        <v>144</v>
      </c>
      <c r="Y28" s="12">
        <v>105</v>
      </c>
      <c r="Z28" s="12">
        <v>121</v>
      </c>
      <c r="AA28" s="12">
        <v>121</v>
      </c>
      <c r="AB28" s="12">
        <v>135</v>
      </c>
      <c r="AC28" s="12">
        <v>80</v>
      </c>
      <c r="AD28" s="12">
        <v>73</v>
      </c>
      <c r="AE28" s="12">
        <v>103</v>
      </c>
      <c r="AF28" s="12">
        <v>113</v>
      </c>
    </row>
    <row r="29" spans="1:32">
      <c r="A29" s="19"/>
      <c r="B29" s="13" t="s">
        <v>585</v>
      </c>
      <c r="C29" s="14">
        <v>0.12</v>
      </c>
      <c r="D29" s="14">
        <v>0.1</v>
      </c>
      <c r="E29" s="14">
        <v>0.08</v>
      </c>
      <c r="F29" s="14">
        <v>7.0000000000000007E-2</v>
      </c>
      <c r="G29" s="14">
        <v>0.08</v>
      </c>
      <c r="H29" s="14">
        <v>0.08</v>
      </c>
      <c r="I29" s="14">
        <v>0.08</v>
      </c>
      <c r="J29" s="14">
        <v>7.0000000000000007E-2</v>
      </c>
      <c r="K29" s="14">
        <v>0.06</v>
      </c>
      <c r="L29" s="14">
        <v>0.14000000000000001</v>
      </c>
      <c r="M29" s="14">
        <v>0.16</v>
      </c>
      <c r="N29" s="14">
        <v>0.16</v>
      </c>
      <c r="O29" s="14">
        <v>0.1</v>
      </c>
      <c r="P29" s="14">
        <v>0.11</v>
      </c>
      <c r="Q29" s="14">
        <v>0.16</v>
      </c>
      <c r="R29" s="14">
        <v>0.11</v>
      </c>
      <c r="S29" s="14">
        <v>0.1</v>
      </c>
      <c r="T29" s="14">
        <v>0.05</v>
      </c>
      <c r="U29" s="14">
        <v>0.13</v>
      </c>
      <c r="V29" s="14">
        <v>0.08</v>
      </c>
      <c r="W29" s="14">
        <v>0.16</v>
      </c>
      <c r="X29" s="14">
        <v>0.14000000000000001</v>
      </c>
      <c r="Y29" s="14">
        <v>0.11</v>
      </c>
      <c r="Z29" s="14">
        <v>0.12</v>
      </c>
      <c r="AA29" s="14">
        <v>0.12</v>
      </c>
      <c r="AB29" s="14">
        <v>0.13</v>
      </c>
      <c r="AC29" s="14">
        <v>0.08</v>
      </c>
      <c r="AD29" s="14">
        <v>7.0000000000000007E-2</v>
      </c>
      <c r="AE29" s="14">
        <v>0.1</v>
      </c>
      <c r="AF29" s="14">
        <v>0.11</v>
      </c>
    </row>
    <row r="30" spans="1:32">
      <c r="A30" s="19"/>
      <c r="B30" s="11" t="s">
        <v>586</v>
      </c>
      <c r="C30" s="12">
        <v>3445</v>
      </c>
      <c r="D30" s="12">
        <v>104</v>
      </c>
      <c r="E30" s="12">
        <v>144</v>
      </c>
      <c r="F30" s="12">
        <v>97</v>
      </c>
      <c r="G30" s="12">
        <v>122</v>
      </c>
      <c r="H30" s="12">
        <v>119</v>
      </c>
      <c r="I30" s="12">
        <v>150</v>
      </c>
      <c r="J30" s="12">
        <v>31</v>
      </c>
      <c r="K30" s="12">
        <v>86</v>
      </c>
      <c r="L30" s="12">
        <v>220</v>
      </c>
      <c r="M30" s="12">
        <v>120</v>
      </c>
      <c r="N30" s="12">
        <v>208</v>
      </c>
      <c r="O30" s="12">
        <v>142</v>
      </c>
      <c r="P30" s="12">
        <v>196</v>
      </c>
      <c r="Q30" s="12">
        <v>151</v>
      </c>
      <c r="R30" s="12">
        <v>104</v>
      </c>
      <c r="S30" s="12">
        <v>131</v>
      </c>
      <c r="T30" s="12">
        <v>95</v>
      </c>
      <c r="U30" s="12">
        <v>98</v>
      </c>
      <c r="V30" s="12">
        <v>92</v>
      </c>
      <c r="W30" s="12">
        <v>91</v>
      </c>
      <c r="X30" s="12">
        <v>120</v>
      </c>
      <c r="Y30" s="12">
        <v>151</v>
      </c>
      <c r="Z30" s="12">
        <v>113</v>
      </c>
      <c r="AA30" s="12">
        <v>141</v>
      </c>
      <c r="AB30" s="12">
        <v>76</v>
      </c>
      <c r="AC30" s="12">
        <v>203</v>
      </c>
      <c r="AD30" s="12">
        <v>65</v>
      </c>
      <c r="AE30" s="12">
        <v>107</v>
      </c>
      <c r="AF30" s="12">
        <v>120</v>
      </c>
    </row>
    <row r="31" spans="1:32">
      <c r="A31" s="19"/>
      <c r="B31" s="13" t="s">
        <v>587</v>
      </c>
      <c r="C31" s="14">
        <v>0.13</v>
      </c>
      <c r="D31" s="14">
        <v>0.1</v>
      </c>
      <c r="E31" s="14">
        <v>0.14000000000000001</v>
      </c>
      <c r="F31" s="14">
        <v>0.09</v>
      </c>
      <c r="G31" s="14">
        <v>0.12</v>
      </c>
      <c r="H31" s="14">
        <v>0.1</v>
      </c>
      <c r="I31" s="14">
        <v>0.1</v>
      </c>
      <c r="J31" s="14">
        <v>0.1</v>
      </c>
      <c r="K31" s="14">
        <v>0.09</v>
      </c>
      <c r="L31" s="14">
        <v>0.22</v>
      </c>
      <c r="M31" s="14">
        <v>0.12</v>
      </c>
      <c r="N31" s="14">
        <v>0.2</v>
      </c>
      <c r="O31" s="14">
        <v>0.14000000000000001</v>
      </c>
      <c r="P31" s="14">
        <v>0.2</v>
      </c>
      <c r="Q31" s="14">
        <v>0.15</v>
      </c>
      <c r="R31" s="14">
        <v>0.21</v>
      </c>
      <c r="S31" s="14">
        <v>0.13</v>
      </c>
      <c r="T31" s="14">
        <v>0.09</v>
      </c>
      <c r="U31" s="14">
        <v>0.19</v>
      </c>
      <c r="V31" s="14">
        <v>0.09</v>
      </c>
      <c r="W31" s="14">
        <v>0.18</v>
      </c>
      <c r="X31" s="14">
        <v>0.12</v>
      </c>
      <c r="Y31" s="14">
        <v>0.15</v>
      </c>
      <c r="Z31" s="14">
        <v>0.11</v>
      </c>
      <c r="AA31" s="14">
        <v>0.14000000000000001</v>
      </c>
      <c r="AB31" s="14">
        <v>7.0000000000000007E-2</v>
      </c>
      <c r="AC31" s="14">
        <v>0.2</v>
      </c>
      <c r="AD31" s="14">
        <v>0.06</v>
      </c>
      <c r="AE31" s="14">
        <v>0.11</v>
      </c>
      <c r="AF31" s="14">
        <v>0.12</v>
      </c>
    </row>
    <row r="32" spans="1:32">
      <c r="A32" s="19"/>
      <c r="B32" s="11" t="s">
        <v>386</v>
      </c>
      <c r="C32" s="12">
        <v>615</v>
      </c>
      <c r="D32" s="12">
        <v>4</v>
      </c>
      <c r="E32" s="12">
        <v>53</v>
      </c>
      <c r="F32" s="12">
        <v>17</v>
      </c>
      <c r="G32" s="12">
        <v>19</v>
      </c>
      <c r="H32" s="12">
        <v>29</v>
      </c>
      <c r="I32" s="12">
        <v>31</v>
      </c>
      <c r="J32" s="12">
        <v>2</v>
      </c>
      <c r="K32" s="12">
        <v>53</v>
      </c>
      <c r="L32" s="12">
        <v>11</v>
      </c>
      <c r="M32" s="12">
        <v>41</v>
      </c>
      <c r="N32" s="12">
        <v>33</v>
      </c>
      <c r="O32" s="12">
        <v>25</v>
      </c>
      <c r="P32" s="12">
        <v>14</v>
      </c>
      <c r="Q32" s="12">
        <v>14</v>
      </c>
      <c r="R32" s="12">
        <v>13</v>
      </c>
      <c r="S32" s="12">
        <v>49</v>
      </c>
      <c r="T32" s="12">
        <v>80</v>
      </c>
      <c r="U32" s="12">
        <v>5</v>
      </c>
      <c r="V32" s="12">
        <v>16</v>
      </c>
      <c r="W32" s="12">
        <v>10</v>
      </c>
      <c r="X32" s="12">
        <v>4</v>
      </c>
      <c r="Y32" s="12">
        <v>30</v>
      </c>
      <c r="Z32" s="12">
        <v>20</v>
      </c>
      <c r="AA32" s="12">
        <v>77</v>
      </c>
      <c r="AB32" s="12">
        <v>32</v>
      </c>
      <c r="AC32" s="12">
        <v>17</v>
      </c>
      <c r="AD32" s="12">
        <v>25</v>
      </c>
      <c r="AE32" s="12">
        <v>25</v>
      </c>
      <c r="AF32" s="12">
        <v>4</v>
      </c>
    </row>
    <row r="33" spans="1:32">
      <c r="A33" s="19"/>
      <c r="B33" s="13" t="s">
        <v>399</v>
      </c>
      <c r="C33" s="14">
        <v>0.02</v>
      </c>
      <c r="D33" s="15" t="s">
        <v>375</v>
      </c>
      <c r="E33" s="14">
        <v>0.05</v>
      </c>
      <c r="F33" s="14">
        <v>0.02</v>
      </c>
      <c r="G33" s="14">
        <v>0.02</v>
      </c>
      <c r="H33" s="14">
        <v>0.02</v>
      </c>
      <c r="I33" s="14">
        <v>0.02</v>
      </c>
      <c r="J33" s="14">
        <v>0.01</v>
      </c>
      <c r="K33" s="14">
        <v>0.05</v>
      </c>
      <c r="L33" s="14">
        <v>0.01</v>
      </c>
      <c r="M33" s="14">
        <v>0.04</v>
      </c>
      <c r="N33" s="14">
        <v>0.03</v>
      </c>
      <c r="O33" s="14">
        <v>0.02</v>
      </c>
      <c r="P33" s="14">
        <v>0.01</v>
      </c>
      <c r="Q33" s="14">
        <v>0.01</v>
      </c>
      <c r="R33" s="14">
        <v>0.03</v>
      </c>
      <c r="S33" s="14">
        <v>0.05</v>
      </c>
      <c r="T33" s="14">
        <v>0.08</v>
      </c>
      <c r="U33" s="14">
        <v>0.01</v>
      </c>
      <c r="V33" s="14">
        <v>0.01</v>
      </c>
      <c r="W33" s="14">
        <v>0.02</v>
      </c>
      <c r="X33" s="14">
        <v>0.01</v>
      </c>
      <c r="Y33" s="14">
        <v>0.03</v>
      </c>
      <c r="Z33" s="14">
        <v>0.02</v>
      </c>
      <c r="AA33" s="14">
        <v>7.0000000000000007E-2</v>
      </c>
      <c r="AB33" s="14">
        <v>0.03</v>
      </c>
      <c r="AC33" s="14">
        <v>0.02</v>
      </c>
      <c r="AD33" s="14">
        <v>0.03</v>
      </c>
      <c r="AE33" s="14">
        <v>0.03</v>
      </c>
      <c r="AF33" s="15" t="s">
        <v>375</v>
      </c>
    </row>
    <row r="34" spans="1:32">
      <c r="A34" s="19"/>
      <c r="B34" s="11" t="s">
        <v>588</v>
      </c>
      <c r="C34" s="12">
        <v>3458</v>
      </c>
      <c r="D34" s="12">
        <v>131</v>
      </c>
      <c r="E34" s="12">
        <v>249</v>
      </c>
      <c r="F34" s="12">
        <v>241</v>
      </c>
      <c r="G34" s="12">
        <v>249</v>
      </c>
      <c r="H34" s="12">
        <v>224</v>
      </c>
      <c r="I34" s="12">
        <v>281</v>
      </c>
      <c r="J34" s="12">
        <v>56</v>
      </c>
      <c r="K34" s="12">
        <v>328</v>
      </c>
      <c r="L34" s="12">
        <v>113</v>
      </c>
      <c r="M34" s="12">
        <v>73</v>
      </c>
      <c r="N34" s="12">
        <v>80</v>
      </c>
      <c r="O34" s="12">
        <v>109</v>
      </c>
      <c r="P34" s="12">
        <v>122</v>
      </c>
      <c r="Q34" s="12">
        <v>82</v>
      </c>
      <c r="R34" s="12">
        <v>43</v>
      </c>
      <c r="S34" s="12">
        <v>229</v>
      </c>
      <c r="T34" s="12">
        <v>230</v>
      </c>
      <c r="U34" s="12">
        <v>49</v>
      </c>
      <c r="V34" s="12">
        <v>204</v>
      </c>
      <c r="W34" s="12">
        <v>59</v>
      </c>
      <c r="X34" s="12">
        <v>97</v>
      </c>
      <c r="Y34" s="12">
        <v>163</v>
      </c>
      <c r="Z34" s="12">
        <v>79</v>
      </c>
      <c r="AA34" s="12">
        <v>187</v>
      </c>
      <c r="AB34" s="12">
        <v>134</v>
      </c>
      <c r="AC34" s="12">
        <v>229</v>
      </c>
      <c r="AD34" s="12">
        <v>236</v>
      </c>
      <c r="AE34" s="12">
        <v>199</v>
      </c>
      <c r="AF34" s="12">
        <v>179</v>
      </c>
    </row>
    <row r="35" spans="1:32">
      <c r="A35" s="19"/>
      <c r="B35" s="13" t="s">
        <v>589</v>
      </c>
      <c r="C35" s="14">
        <v>0.13</v>
      </c>
      <c r="D35" s="14">
        <v>0.13</v>
      </c>
      <c r="E35" s="14">
        <v>0.24</v>
      </c>
      <c r="F35" s="14">
        <v>0.23</v>
      </c>
      <c r="G35" s="14">
        <v>0.24</v>
      </c>
      <c r="H35" s="14">
        <v>0.19</v>
      </c>
      <c r="I35" s="14">
        <v>0.18</v>
      </c>
      <c r="J35" s="14">
        <v>0.19</v>
      </c>
      <c r="K35" s="14">
        <v>0.33</v>
      </c>
      <c r="L35" s="14">
        <v>0.12</v>
      </c>
      <c r="M35" s="14">
        <v>7.0000000000000007E-2</v>
      </c>
      <c r="N35" s="14">
        <v>0.08</v>
      </c>
      <c r="O35" s="14">
        <v>0.12</v>
      </c>
      <c r="P35" s="14">
        <v>0.12</v>
      </c>
      <c r="Q35" s="14">
        <v>0.08</v>
      </c>
      <c r="R35" s="14">
        <v>0.09</v>
      </c>
      <c r="S35" s="14">
        <v>0.23</v>
      </c>
      <c r="T35" s="14">
        <v>0.22</v>
      </c>
      <c r="U35" s="14">
        <v>0.1</v>
      </c>
      <c r="V35" s="14">
        <v>0.2</v>
      </c>
      <c r="W35" s="14">
        <v>0.12</v>
      </c>
      <c r="X35" s="14">
        <v>0.09</v>
      </c>
      <c r="Y35" s="14">
        <v>0.16</v>
      </c>
      <c r="Z35" s="14">
        <v>0.08</v>
      </c>
      <c r="AA35" s="14">
        <v>0.18</v>
      </c>
      <c r="AB35" s="14">
        <v>0.13</v>
      </c>
      <c r="AC35" s="14">
        <v>0.23</v>
      </c>
      <c r="AD35" s="14">
        <v>0.23</v>
      </c>
      <c r="AE35" s="14">
        <v>0.19</v>
      </c>
      <c r="AF35" s="14">
        <v>0.17</v>
      </c>
    </row>
    <row r="36" spans="1:32">
      <c r="A36" s="19"/>
      <c r="B36" s="11" t="s">
        <v>590</v>
      </c>
      <c r="C36" s="12">
        <v>5830</v>
      </c>
      <c r="D36" s="12">
        <v>249</v>
      </c>
      <c r="E36" s="12">
        <v>246</v>
      </c>
      <c r="F36" s="12">
        <v>354</v>
      </c>
      <c r="G36" s="12">
        <v>219</v>
      </c>
      <c r="H36" s="12">
        <v>365</v>
      </c>
      <c r="I36" s="12">
        <v>450</v>
      </c>
      <c r="J36" s="12">
        <v>84</v>
      </c>
      <c r="K36" s="12">
        <v>242</v>
      </c>
      <c r="L36" s="12">
        <v>144</v>
      </c>
      <c r="M36" s="12">
        <v>173</v>
      </c>
      <c r="N36" s="12">
        <v>164</v>
      </c>
      <c r="O36" s="12">
        <v>218</v>
      </c>
      <c r="P36" s="12">
        <v>236</v>
      </c>
      <c r="Q36" s="12">
        <v>145</v>
      </c>
      <c r="R36" s="12">
        <v>82</v>
      </c>
      <c r="S36" s="12">
        <v>233</v>
      </c>
      <c r="T36" s="12">
        <v>306</v>
      </c>
      <c r="U36" s="12">
        <v>89</v>
      </c>
      <c r="V36" s="12">
        <v>278</v>
      </c>
      <c r="W36" s="12">
        <v>87</v>
      </c>
      <c r="X36" s="12">
        <v>237</v>
      </c>
      <c r="Y36" s="12">
        <v>223</v>
      </c>
      <c r="Z36" s="12">
        <v>221</v>
      </c>
      <c r="AA36" s="12">
        <v>167</v>
      </c>
      <c r="AB36" s="12">
        <v>238</v>
      </c>
      <c r="AC36" s="12">
        <v>216</v>
      </c>
      <c r="AD36" s="12">
        <v>285</v>
      </c>
      <c r="AE36" s="12">
        <v>248</v>
      </c>
      <c r="AF36" s="12">
        <v>243</v>
      </c>
    </row>
    <row r="37" spans="1:32">
      <c r="A37" s="19"/>
      <c r="B37" s="13" t="s">
        <v>591</v>
      </c>
      <c r="C37" s="14">
        <v>0.22</v>
      </c>
      <c r="D37" s="14">
        <v>0.25</v>
      </c>
      <c r="E37" s="14">
        <v>0.23</v>
      </c>
      <c r="F37" s="14">
        <v>0.33</v>
      </c>
      <c r="G37" s="14">
        <v>0.21</v>
      </c>
      <c r="H37" s="14">
        <v>0.3</v>
      </c>
      <c r="I37" s="14">
        <v>0.28999999999999998</v>
      </c>
      <c r="J37" s="14">
        <v>0.28000000000000003</v>
      </c>
      <c r="K37" s="14">
        <v>0.24</v>
      </c>
      <c r="L37" s="14">
        <v>0.14000000000000001</v>
      </c>
      <c r="M37" s="14">
        <v>0.17</v>
      </c>
      <c r="N37" s="14">
        <v>0.17</v>
      </c>
      <c r="O37" s="14">
        <v>0.22</v>
      </c>
      <c r="P37" s="14">
        <v>0.23</v>
      </c>
      <c r="Q37" s="14">
        <v>0.14000000000000001</v>
      </c>
      <c r="R37" s="14">
        <v>0.16</v>
      </c>
      <c r="S37" s="14">
        <v>0.23</v>
      </c>
      <c r="T37" s="14">
        <v>0.3</v>
      </c>
      <c r="U37" s="14">
        <v>0.17</v>
      </c>
      <c r="V37" s="14">
        <v>0.27</v>
      </c>
      <c r="W37" s="14">
        <v>0.17</v>
      </c>
      <c r="X37" s="14">
        <v>0.23</v>
      </c>
      <c r="Y37" s="14">
        <v>0.22</v>
      </c>
      <c r="Z37" s="14">
        <v>0.22</v>
      </c>
      <c r="AA37" s="14">
        <v>0.16</v>
      </c>
      <c r="AB37" s="14">
        <v>0.23</v>
      </c>
      <c r="AC37" s="14">
        <v>0.21</v>
      </c>
      <c r="AD37" s="14">
        <v>0.28999999999999998</v>
      </c>
      <c r="AE37" s="14">
        <v>0.25</v>
      </c>
      <c r="AF37" s="14">
        <v>0.24</v>
      </c>
    </row>
    <row r="38" spans="1:32">
      <c r="A38" s="19"/>
      <c r="B38" s="11" t="s">
        <v>592</v>
      </c>
      <c r="C38" s="12">
        <v>16549</v>
      </c>
      <c r="D38" s="12">
        <v>638</v>
      </c>
      <c r="E38" s="12">
        <v>499</v>
      </c>
      <c r="F38" s="12">
        <v>452</v>
      </c>
      <c r="G38" s="12">
        <v>530</v>
      </c>
      <c r="H38" s="12">
        <v>610</v>
      </c>
      <c r="I38" s="12">
        <v>765</v>
      </c>
      <c r="J38" s="12">
        <v>155</v>
      </c>
      <c r="K38" s="12">
        <v>382</v>
      </c>
      <c r="L38" s="12">
        <v>738</v>
      </c>
      <c r="M38" s="12">
        <v>721</v>
      </c>
      <c r="N38" s="12">
        <v>733</v>
      </c>
      <c r="O38" s="12">
        <v>651</v>
      </c>
      <c r="P38" s="12">
        <v>632</v>
      </c>
      <c r="Q38" s="12">
        <v>790</v>
      </c>
      <c r="R38" s="12">
        <v>364</v>
      </c>
      <c r="S38" s="12">
        <v>493</v>
      </c>
      <c r="T38" s="12">
        <v>407</v>
      </c>
      <c r="U38" s="12">
        <v>366</v>
      </c>
      <c r="V38" s="12">
        <v>530</v>
      </c>
      <c r="W38" s="12">
        <v>345</v>
      </c>
      <c r="X38" s="12">
        <v>673</v>
      </c>
      <c r="Y38" s="12">
        <v>587</v>
      </c>
      <c r="Z38" s="12">
        <v>697</v>
      </c>
      <c r="AA38" s="12">
        <v>606</v>
      </c>
      <c r="AB38" s="12">
        <v>638</v>
      </c>
      <c r="AC38" s="12">
        <v>543</v>
      </c>
      <c r="AD38" s="12">
        <v>457</v>
      </c>
      <c r="AE38" s="12">
        <v>527</v>
      </c>
      <c r="AF38" s="12">
        <v>605</v>
      </c>
    </row>
    <row r="39" spans="1:32">
      <c r="A39" s="19"/>
      <c r="B39" s="13" t="s">
        <v>593</v>
      </c>
      <c r="C39" s="14">
        <v>0.63</v>
      </c>
      <c r="D39" s="14">
        <v>0.62</v>
      </c>
      <c r="E39" s="14">
        <v>0.48</v>
      </c>
      <c r="F39" s="14">
        <v>0.42</v>
      </c>
      <c r="G39" s="14">
        <v>0.53</v>
      </c>
      <c r="H39" s="14">
        <v>0.49</v>
      </c>
      <c r="I39" s="14">
        <v>0.51</v>
      </c>
      <c r="J39" s="14">
        <v>0.52</v>
      </c>
      <c r="K39" s="14">
        <v>0.38</v>
      </c>
      <c r="L39" s="14">
        <v>0.73</v>
      </c>
      <c r="M39" s="14">
        <v>0.72</v>
      </c>
      <c r="N39" s="14">
        <v>0.72</v>
      </c>
      <c r="O39" s="14">
        <v>0.64</v>
      </c>
      <c r="P39" s="14">
        <v>0.64</v>
      </c>
      <c r="Q39" s="14">
        <v>0.77</v>
      </c>
      <c r="R39" s="14">
        <v>0.72</v>
      </c>
      <c r="S39" s="14">
        <v>0.49</v>
      </c>
      <c r="T39" s="14">
        <v>0.4</v>
      </c>
      <c r="U39" s="14">
        <v>0.72</v>
      </c>
      <c r="V39" s="14">
        <v>0.52</v>
      </c>
      <c r="W39" s="14">
        <v>0.69000000000000006</v>
      </c>
      <c r="X39" s="14">
        <v>0.67</v>
      </c>
      <c r="Y39" s="14">
        <v>0.59</v>
      </c>
      <c r="Z39" s="14">
        <v>0.68</v>
      </c>
      <c r="AA39" s="14">
        <v>0.59</v>
      </c>
      <c r="AB39" s="14">
        <v>0.61</v>
      </c>
      <c r="AC39" s="14">
        <v>0.54</v>
      </c>
      <c r="AD39" s="14">
        <v>0.45</v>
      </c>
      <c r="AE39" s="14">
        <v>0.53</v>
      </c>
      <c r="AF39" s="14">
        <v>0.59</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654</v>
      </c>
      <c r="C3" s="17"/>
      <c r="D3" s="17"/>
      <c r="E3" s="17"/>
      <c r="F3" s="17"/>
      <c r="H3" s="17" t="s">
        <v>655</v>
      </c>
      <c r="I3" s="17"/>
      <c r="J3" s="17"/>
      <c r="K3" s="17"/>
      <c r="L3" s="17"/>
    </row>
    <row r="4" spans="1:32" ht="27" customHeight="1">
      <c r="B4" s="17" t="s">
        <v>656</v>
      </c>
      <c r="C4" s="17"/>
      <c r="D4" s="17"/>
      <c r="E4" s="17"/>
      <c r="F4" s="17"/>
      <c r="H4" s="17" t="s">
        <v>657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HYPERLINK("#Content!A45","&lt;&lt;Back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607</v>
      </c>
      <c r="D12" s="12">
        <v>18</v>
      </c>
      <c r="E12" s="12">
        <v>52</v>
      </c>
      <c r="F12" s="12">
        <v>58</v>
      </c>
      <c r="G12" s="12">
        <v>57</v>
      </c>
      <c r="H12" s="12">
        <v>37</v>
      </c>
      <c r="I12" s="12">
        <v>44</v>
      </c>
      <c r="J12" s="12">
        <v>7</v>
      </c>
      <c r="K12" s="12">
        <v>43</v>
      </c>
      <c r="L12" s="12">
        <v>32</v>
      </c>
      <c r="M12" s="12">
        <v>17</v>
      </c>
      <c r="N12" s="12">
        <v>17</v>
      </c>
      <c r="O12" s="12">
        <v>19</v>
      </c>
      <c r="P12" s="12">
        <v>31</v>
      </c>
      <c r="Q12" s="12">
        <v>23</v>
      </c>
      <c r="R12" s="12">
        <v>3</v>
      </c>
      <c r="S12" s="12">
        <v>44</v>
      </c>
      <c r="T12" s="12">
        <v>59</v>
      </c>
      <c r="U12" s="12">
        <v>8</v>
      </c>
      <c r="V12" s="12">
        <v>10</v>
      </c>
      <c r="W12" s="12">
        <v>8</v>
      </c>
      <c r="X12" s="12">
        <v>13</v>
      </c>
      <c r="Y12" s="12">
        <v>30</v>
      </c>
      <c r="Z12" s="12">
        <v>6</v>
      </c>
      <c r="AA12" s="12">
        <v>11</v>
      </c>
      <c r="AB12" s="12">
        <v>37</v>
      </c>
      <c r="AC12" s="12">
        <v>47</v>
      </c>
      <c r="AD12" s="12">
        <v>29</v>
      </c>
      <c r="AE12" s="12">
        <v>18</v>
      </c>
      <c r="AF12" s="12">
        <v>26</v>
      </c>
    </row>
    <row r="13" spans="1:32">
      <c r="A13" s="19"/>
      <c r="B13" s="13" t="s">
        <v>577</v>
      </c>
      <c r="C13" s="14">
        <v>0.02</v>
      </c>
      <c r="D13" s="14">
        <v>0.02</v>
      </c>
      <c r="E13" s="14">
        <v>0.05</v>
      </c>
      <c r="F13" s="14">
        <v>0.05</v>
      </c>
      <c r="G13" s="14">
        <v>0.06</v>
      </c>
      <c r="H13" s="14">
        <v>0.03</v>
      </c>
      <c r="I13" s="14">
        <v>0.03</v>
      </c>
      <c r="J13" s="14">
        <v>0.03</v>
      </c>
      <c r="K13" s="14">
        <v>0.04</v>
      </c>
      <c r="L13" s="14">
        <v>0.03</v>
      </c>
      <c r="M13" s="14">
        <v>0.02</v>
      </c>
      <c r="N13" s="14">
        <v>0.02</v>
      </c>
      <c r="O13" s="14">
        <v>0.02</v>
      </c>
      <c r="P13" s="14">
        <v>0.03</v>
      </c>
      <c r="Q13" s="14">
        <v>0.02</v>
      </c>
      <c r="R13" s="14">
        <v>0.01</v>
      </c>
      <c r="S13" s="14">
        <v>0.04</v>
      </c>
      <c r="T13" s="14">
        <v>0.06</v>
      </c>
      <c r="U13" s="14">
        <v>0.01</v>
      </c>
      <c r="V13" s="14">
        <v>0.01</v>
      </c>
      <c r="W13" s="14">
        <v>0.01</v>
      </c>
      <c r="X13" s="14">
        <v>0.01</v>
      </c>
      <c r="Y13" s="14">
        <v>0.03</v>
      </c>
      <c r="Z13" s="14">
        <v>0.01</v>
      </c>
      <c r="AA13" s="14">
        <v>0.01</v>
      </c>
      <c r="AB13" s="14">
        <v>0.03</v>
      </c>
      <c r="AC13" s="14">
        <v>0.05</v>
      </c>
      <c r="AD13" s="14">
        <v>0.03</v>
      </c>
      <c r="AE13" s="14">
        <v>0.02</v>
      </c>
      <c r="AF13" s="14">
        <v>0.02</v>
      </c>
    </row>
    <row r="14" spans="1:32">
      <c r="A14" s="19"/>
      <c r="B14" s="11" t="s">
        <v>578</v>
      </c>
      <c r="C14" s="12">
        <v>487</v>
      </c>
      <c r="D14" s="12">
        <v>8</v>
      </c>
      <c r="E14" s="12">
        <v>20</v>
      </c>
      <c r="F14" s="12">
        <v>32</v>
      </c>
      <c r="G14" s="12">
        <v>40</v>
      </c>
      <c r="H14" s="12">
        <v>63</v>
      </c>
      <c r="I14" s="12">
        <v>68</v>
      </c>
      <c r="J14" s="12">
        <v>5</v>
      </c>
      <c r="K14" s="12">
        <v>27</v>
      </c>
      <c r="L14" s="12">
        <v>10</v>
      </c>
      <c r="M14" s="12">
        <v>8</v>
      </c>
      <c r="N14" s="12">
        <v>7</v>
      </c>
      <c r="O14" s="12">
        <v>14</v>
      </c>
      <c r="P14" s="12">
        <v>14</v>
      </c>
      <c r="Q14" s="12">
        <v>5</v>
      </c>
      <c r="R14" s="12">
        <v>6</v>
      </c>
      <c r="S14" s="12">
        <v>26</v>
      </c>
      <c r="T14" s="12">
        <v>21</v>
      </c>
      <c r="U14" s="12">
        <v>6</v>
      </c>
      <c r="V14" s="12">
        <v>8</v>
      </c>
      <c r="W14" s="12">
        <v>4</v>
      </c>
      <c r="X14" s="12">
        <v>16</v>
      </c>
      <c r="Y14" s="12">
        <v>16</v>
      </c>
      <c r="Z14" s="12">
        <v>6</v>
      </c>
      <c r="AA14" s="12">
        <v>6</v>
      </c>
      <c r="AB14" s="12">
        <v>8</v>
      </c>
      <c r="AC14" s="12">
        <v>32</v>
      </c>
      <c r="AD14" s="12">
        <v>13</v>
      </c>
      <c r="AE14" s="12">
        <v>35</v>
      </c>
      <c r="AF14" s="12">
        <v>55</v>
      </c>
    </row>
    <row r="15" spans="1:32">
      <c r="A15" s="19"/>
      <c r="B15" s="13" t="s">
        <v>578</v>
      </c>
      <c r="C15" s="14">
        <v>0.02</v>
      </c>
      <c r="D15" s="14">
        <v>0.01</v>
      </c>
      <c r="E15" s="14">
        <v>0.02</v>
      </c>
      <c r="F15" s="14">
        <v>0.03</v>
      </c>
      <c r="G15" s="14">
        <v>0.04</v>
      </c>
      <c r="H15" s="14">
        <v>0.05</v>
      </c>
      <c r="I15" s="14">
        <v>0.04</v>
      </c>
      <c r="J15" s="14">
        <v>0.02</v>
      </c>
      <c r="K15" s="14">
        <v>0.03</v>
      </c>
      <c r="L15" s="14">
        <v>0.01</v>
      </c>
      <c r="M15" s="14">
        <v>0.01</v>
      </c>
      <c r="N15" s="14">
        <v>0.01</v>
      </c>
      <c r="O15" s="14">
        <v>0.01</v>
      </c>
      <c r="P15" s="14">
        <v>0.01</v>
      </c>
      <c r="Q15" s="15" t="s">
        <v>375</v>
      </c>
      <c r="R15" s="14">
        <v>0.01</v>
      </c>
      <c r="S15" s="14">
        <v>0.03</v>
      </c>
      <c r="T15" s="14">
        <v>0.02</v>
      </c>
      <c r="U15" s="14">
        <v>0.01</v>
      </c>
      <c r="V15" s="14">
        <v>0.01</v>
      </c>
      <c r="W15" s="14">
        <v>0.01</v>
      </c>
      <c r="X15" s="14">
        <v>0.02</v>
      </c>
      <c r="Y15" s="14">
        <v>0.01</v>
      </c>
      <c r="Z15" s="14">
        <v>0.01</v>
      </c>
      <c r="AA15" s="14">
        <v>0.01</v>
      </c>
      <c r="AB15" s="14">
        <v>0.01</v>
      </c>
      <c r="AC15" s="14">
        <v>0.03</v>
      </c>
      <c r="AD15" s="14">
        <v>0.01</v>
      </c>
      <c r="AE15" s="14">
        <v>0.04</v>
      </c>
      <c r="AF15" s="14">
        <v>0.05</v>
      </c>
    </row>
    <row r="16" spans="1:32">
      <c r="A16" s="19"/>
      <c r="B16" s="11" t="s">
        <v>579</v>
      </c>
      <c r="C16" s="12">
        <v>912</v>
      </c>
      <c r="D16" s="12">
        <v>24</v>
      </c>
      <c r="E16" s="12">
        <v>52</v>
      </c>
      <c r="F16" s="12">
        <v>58</v>
      </c>
      <c r="G16" s="12">
        <v>67</v>
      </c>
      <c r="H16" s="12">
        <v>87</v>
      </c>
      <c r="I16" s="12">
        <v>107</v>
      </c>
      <c r="J16" s="12">
        <v>19</v>
      </c>
      <c r="K16" s="12">
        <v>48</v>
      </c>
      <c r="L16" s="12">
        <v>21</v>
      </c>
      <c r="M16" s="12">
        <v>7</v>
      </c>
      <c r="N16" s="12">
        <v>14</v>
      </c>
      <c r="O16" s="12">
        <v>30</v>
      </c>
      <c r="P16" s="12">
        <v>30</v>
      </c>
      <c r="Q16" s="12">
        <v>20</v>
      </c>
      <c r="R16" s="12">
        <v>8</v>
      </c>
      <c r="S16" s="12">
        <v>37</v>
      </c>
      <c r="T16" s="12">
        <v>35</v>
      </c>
      <c r="U16" s="12">
        <v>9</v>
      </c>
      <c r="V16" s="12">
        <v>29</v>
      </c>
      <c r="W16" s="12">
        <v>3</v>
      </c>
      <c r="X16" s="12">
        <v>34</v>
      </c>
      <c r="Y16" s="12">
        <v>44</v>
      </c>
      <c r="Z16" s="12">
        <v>9</v>
      </c>
      <c r="AA16" s="12">
        <v>7</v>
      </c>
      <c r="AB16" s="12">
        <v>20</v>
      </c>
      <c r="AC16" s="12">
        <v>68</v>
      </c>
      <c r="AD16" s="12">
        <v>40</v>
      </c>
      <c r="AE16" s="12">
        <v>43</v>
      </c>
      <c r="AF16" s="12">
        <v>105</v>
      </c>
    </row>
    <row r="17" spans="1:32">
      <c r="A17" s="19"/>
      <c r="B17" s="13" t="s">
        <v>579</v>
      </c>
      <c r="C17" s="14">
        <v>0.03</v>
      </c>
      <c r="D17" s="14">
        <v>0.02</v>
      </c>
      <c r="E17" s="14">
        <v>0.05</v>
      </c>
      <c r="F17" s="14">
        <v>0.05</v>
      </c>
      <c r="G17" s="14">
        <v>7.0000000000000007E-2</v>
      </c>
      <c r="H17" s="14">
        <v>7.0000000000000007E-2</v>
      </c>
      <c r="I17" s="14">
        <v>7.0000000000000007E-2</v>
      </c>
      <c r="J17" s="14">
        <v>0.06</v>
      </c>
      <c r="K17" s="14">
        <v>0.05</v>
      </c>
      <c r="L17" s="14">
        <v>0.02</v>
      </c>
      <c r="M17" s="14">
        <v>0.01</v>
      </c>
      <c r="N17" s="14">
        <v>0.01</v>
      </c>
      <c r="O17" s="14">
        <v>0.03</v>
      </c>
      <c r="P17" s="14">
        <v>0.03</v>
      </c>
      <c r="Q17" s="14">
        <v>0.02</v>
      </c>
      <c r="R17" s="14">
        <v>0.01</v>
      </c>
      <c r="S17" s="14">
        <v>0.04</v>
      </c>
      <c r="T17" s="14">
        <v>0.04</v>
      </c>
      <c r="U17" s="14">
        <v>0.02</v>
      </c>
      <c r="V17" s="14">
        <v>0.03</v>
      </c>
      <c r="W17" s="15" t="s">
        <v>375</v>
      </c>
      <c r="X17" s="14">
        <v>0.03</v>
      </c>
      <c r="Y17" s="14">
        <v>0.04</v>
      </c>
      <c r="Z17" s="14">
        <v>0.01</v>
      </c>
      <c r="AA17" s="14">
        <v>0.01</v>
      </c>
      <c r="AB17" s="14">
        <v>0.02</v>
      </c>
      <c r="AC17" s="14">
        <v>7.0000000000000007E-2</v>
      </c>
      <c r="AD17" s="14">
        <v>0.04</v>
      </c>
      <c r="AE17" s="14">
        <v>0.04</v>
      </c>
      <c r="AF17" s="14">
        <v>0.1</v>
      </c>
    </row>
    <row r="18" spans="1:32">
      <c r="A18" s="19"/>
      <c r="B18" s="11" t="s">
        <v>580</v>
      </c>
      <c r="C18" s="12">
        <v>1086</v>
      </c>
      <c r="D18" s="12">
        <v>34</v>
      </c>
      <c r="E18" s="12">
        <v>56</v>
      </c>
      <c r="F18" s="12">
        <v>61</v>
      </c>
      <c r="G18" s="12">
        <v>67</v>
      </c>
      <c r="H18" s="12">
        <v>86</v>
      </c>
      <c r="I18" s="12">
        <v>96</v>
      </c>
      <c r="J18" s="12">
        <v>9</v>
      </c>
      <c r="K18" s="12">
        <v>82</v>
      </c>
      <c r="L18" s="12">
        <v>26</v>
      </c>
      <c r="M18" s="12">
        <v>18</v>
      </c>
      <c r="N18" s="12">
        <v>17</v>
      </c>
      <c r="O18" s="12">
        <v>38</v>
      </c>
      <c r="P18" s="12">
        <v>38</v>
      </c>
      <c r="Q18" s="12">
        <v>28</v>
      </c>
      <c r="R18" s="12">
        <v>13</v>
      </c>
      <c r="S18" s="12">
        <v>54</v>
      </c>
      <c r="T18" s="12">
        <v>45</v>
      </c>
      <c r="U18" s="12">
        <v>27</v>
      </c>
      <c r="V18" s="12">
        <v>65</v>
      </c>
      <c r="W18" s="12">
        <v>17</v>
      </c>
      <c r="X18" s="12">
        <v>59</v>
      </c>
      <c r="Y18" s="12">
        <v>47</v>
      </c>
      <c r="Z18" s="12">
        <v>26</v>
      </c>
      <c r="AA18" s="12">
        <v>17</v>
      </c>
      <c r="AB18" s="12">
        <v>38</v>
      </c>
      <c r="AC18" s="12">
        <v>47</v>
      </c>
      <c r="AD18" s="12">
        <v>52</v>
      </c>
      <c r="AE18" s="12">
        <v>79</v>
      </c>
      <c r="AF18" s="12">
        <v>88</v>
      </c>
    </row>
    <row r="19" spans="1:32">
      <c r="A19" s="19"/>
      <c r="B19" s="13" t="s">
        <v>580</v>
      </c>
      <c r="C19" s="14">
        <v>0.04</v>
      </c>
      <c r="D19" s="14">
        <v>0.03</v>
      </c>
      <c r="E19" s="14">
        <v>0.06</v>
      </c>
      <c r="F19" s="14">
        <v>0.06</v>
      </c>
      <c r="G19" s="14">
        <v>7.0000000000000007E-2</v>
      </c>
      <c r="H19" s="14">
        <v>7.0000000000000007E-2</v>
      </c>
      <c r="I19" s="14">
        <v>0.06</v>
      </c>
      <c r="J19" s="14">
        <v>0.03</v>
      </c>
      <c r="K19" s="14">
        <v>0.08</v>
      </c>
      <c r="L19" s="14">
        <v>0.03</v>
      </c>
      <c r="M19" s="14">
        <v>0.02</v>
      </c>
      <c r="N19" s="14">
        <v>0.02</v>
      </c>
      <c r="O19" s="14">
        <v>0.04</v>
      </c>
      <c r="P19" s="14">
        <v>0.04</v>
      </c>
      <c r="Q19" s="14">
        <v>0.03</v>
      </c>
      <c r="R19" s="14">
        <v>0.03</v>
      </c>
      <c r="S19" s="14">
        <v>0.05</v>
      </c>
      <c r="T19" s="14">
        <v>0.04</v>
      </c>
      <c r="U19" s="14">
        <v>0.05</v>
      </c>
      <c r="V19" s="14">
        <v>0.06</v>
      </c>
      <c r="W19" s="14">
        <v>0.03</v>
      </c>
      <c r="X19" s="14">
        <v>0.06</v>
      </c>
      <c r="Y19" s="14">
        <v>0.05</v>
      </c>
      <c r="Z19" s="14">
        <v>0.02</v>
      </c>
      <c r="AA19" s="14">
        <v>0.02</v>
      </c>
      <c r="AB19" s="14">
        <v>0.04</v>
      </c>
      <c r="AC19" s="14">
        <v>0.05</v>
      </c>
      <c r="AD19" s="14">
        <v>0.05</v>
      </c>
      <c r="AE19" s="14">
        <v>0.08</v>
      </c>
      <c r="AF19" s="14">
        <v>0.09</v>
      </c>
    </row>
    <row r="20" spans="1:32">
      <c r="A20" s="19"/>
      <c r="B20" s="11" t="s">
        <v>581</v>
      </c>
      <c r="C20" s="12">
        <v>2300</v>
      </c>
      <c r="D20" s="12">
        <v>94</v>
      </c>
      <c r="E20" s="12">
        <v>103</v>
      </c>
      <c r="F20" s="12">
        <v>178</v>
      </c>
      <c r="G20" s="12">
        <v>146</v>
      </c>
      <c r="H20" s="12">
        <v>156</v>
      </c>
      <c r="I20" s="12">
        <v>181</v>
      </c>
      <c r="J20" s="12">
        <v>26</v>
      </c>
      <c r="K20" s="12">
        <v>114</v>
      </c>
      <c r="L20" s="12">
        <v>73</v>
      </c>
      <c r="M20" s="12">
        <v>56</v>
      </c>
      <c r="N20" s="12">
        <v>28</v>
      </c>
      <c r="O20" s="12">
        <v>90</v>
      </c>
      <c r="P20" s="12">
        <v>93</v>
      </c>
      <c r="Q20" s="12">
        <v>42</v>
      </c>
      <c r="R20" s="12">
        <v>25</v>
      </c>
      <c r="S20" s="12">
        <v>115</v>
      </c>
      <c r="T20" s="12">
        <v>124</v>
      </c>
      <c r="U20" s="12">
        <v>28</v>
      </c>
      <c r="V20" s="12">
        <v>120</v>
      </c>
      <c r="W20" s="12">
        <v>29</v>
      </c>
      <c r="X20" s="12">
        <v>97</v>
      </c>
      <c r="Y20" s="12">
        <v>135</v>
      </c>
      <c r="Z20" s="12">
        <v>91</v>
      </c>
      <c r="AA20" s="12">
        <v>81</v>
      </c>
      <c r="AB20" s="12">
        <v>92</v>
      </c>
      <c r="AC20" s="12">
        <v>108</v>
      </c>
      <c r="AD20" s="12">
        <v>146</v>
      </c>
      <c r="AE20" s="12">
        <v>93</v>
      </c>
      <c r="AF20" s="12">
        <v>133</v>
      </c>
    </row>
    <row r="21" spans="1:32">
      <c r="A21" s="19"/>
      <c r="B21" s="13" t="s">
        <v>581</v>
      </c>
      <c r="C21" s="14">
        <v>0.09</v>
      </c>
      <c r="D21" s="14">
        <v>0.09</v>
      </c>
      <c r="E21" s="14">
        <v>0.1</v>
      </c>
      <c r="F21" s="14">
        <v>0.17</v>
      </c>
      <c r="G21" s="14">
        <v>0.14000000000000001</v>
      </c>
      <c r="H21" s="14">
        <v>0.13</v>
      </c>
      <c r="I21" s="14">
        <v>0.12</v>
      </c>
      <c r="J21" s="14">
        <v>0.09</v>
      </c>
      <c r="K21" s="14">
        <v>0.11</v>
      </c>
      <c r="L21" s="14">
        <v>7.0000000000000007E-2</v>
      </c>
      <c r="M21" s="14">
        <v>0.05</v>
      </c>
      <c r="N21" s="14">
        <v>0.03</v>
      </c>
      <c r="O21" s="14">
        <v>0.09</v>
      </c>
      <c r="P21" s="14">
        <v>0.09</v>
      </c>
      <c r="Q21" s="14">
        <v>0.04</v>
      </c>
      <c r="R21" s="14">
        <v>0.05</v>
      </c>
      <c r="S21" s="14">
        <v>0.11</v>
      </c>
      <c r="T21" s="14">
        <v>0.12</v>
      </c>
      <c r="U21" s="14">
        <v>0.06</v>
      </c>
      <c r="V21" s="14">
        <v>0.12</v>
      </c>
      <c r="W21" s="14">
        <v>0.06</v>
      </c>
      <c r="X21" s="14">
        <v>0.1</v>
      </c>
      <c r="Y21" s="14">
        <v>0.13</v>
      </c>
      <c r="Z21" s="14">
        <v>0.09</v>
      </c>
      <c r="AA21" s="14">
        <v>0.08</v>
      </c>
      <c r="AB21" s="14">
        <v>0.09</v>
      </c>
      <c r="AC21" s="14">
        <v>0.11</v>
      </c>
      <c r="AD21" s="14">
        <v>0.15</v>
      </c>
      <c r="AE21" s="14">
        <v>0.09</v>
      </c>
      <c r="AF21" s="14">
        <v>0.13</v>
      </c>
    </row>
    <row r="22" spans="1:32">
      <c r="A22" s="19"/>
      <c r="B22" s="11" t="s">
        <v>582</v>
      </c>
      <c r="C22" s="12">
        <v>2810</v>
      </c>
      <c r="D22" s="12">
        <v>129</v>
      </c>
      <c r="E22" s="12">
        <v>116</v>
      </c>
      <c r="F22" s="12">
        <v>170</v>
      </c>
      <c r="G22" s="12">
        <v>115</v>
      </c>
      <c r="H22" s="12">
        <v>156</v>
      </c>
      <c r="I22" s="12">
        <v>181</v>
      </c>
      <c r="J22" s="12">
        <v>25</v>
      </c>
      <c r="K22" s="12">
        <v>105</v>
      </c>
      <c r="L22" s="12">
        <v>95</v>
      </c>
      <c r="M22" s="12">
        <v>59</v>
      </c>
      <c r="N22" s="12">
        <v>71</v>
      </c>
      <c r="O22" s="12">
        <v>104</v>
      </c>
      <c r="P22" s="12">
        <v>106</v>
      </c>
      <c r="Q22" s="12">
        <v>87</v>
      </c>
      <c r="R22" s="12">
        <v>18</v>
      </c>
      <c r="S22" s="12">
        <v>76</v>
      </c>
      <c r="T22" s="12">
        <v>102</v>
      </c>
      <c r="U22" s="12">
        <v>58</v>
      </c>
      <c r="V22" s="12">
        <v>137</v>
      </c>
      <c r="W22" s="12">
        <v>54</v>
      </c>
      <c r="X22" s="12">
        <v>149</v>
      </c>
      <c r="Y22" s="12">
        <v>148</v>
      </c>
      <c r="Z22" s="12">
        <v>97</v>
      </c>
      <c r="AA22" s="12">
        <v>172</v>
      </c>
      <c r="AB22" s="12">
        <v>134</v>
      </c>
      <c r="AC22" s="12">
        <v>76</v>
      </c>
      <c r="AD22" s="12">
        <v>114</v>
      </c>
      <c r="AE22" s="12">
        <v>100</v>
      </c>
      <c r="AF22" s="12">
        <v>117</v>
      </c>
    </row>
    <row r="23" spans="1:32">
      <c r="A23" s="19"/>
      <c r="B23" s="13" t="s">
        <v>582</v>
      </c>
      <c r="C23" s="14">
        <v>0.11</v>
      </c>
      <c r="D23" s="14">
        <v>0.13</v>
      </c>
      <c r="E23" s="14">
        <v>0.11</v>
      </c>
      <c r="F23" s="14">
        <v>0.16</v>
      </c>
      <c r="G23" s="14">
        <v>0.11</v>
      </c>
      <c r="H23" s="14">
        <v>0.13</v>
      </c>
      <c r="I23" s="14">
        <v>0.12</v>
      </c>
      <c r="J23" s="14">
        <v>0.09</v>
      </c>
      <c r="K23" s="14">
        <v>0.11</v>
      </c>
      <c r="L23" s="14">
        <v>0.09</v>
      </c>
      <c r="M23" s="14">
        <v>0.06</v>
      </c>
      <c r="N23" s="14">
        <v>7.0000000000000007E-2</v>
      </c>
      <c r="O23" s="14">
        <v>0.1</v>
      </c>
      <c r="P23" s="14">
        <v>0.11</v>
      </c>
      <c r="Q23" s="14">
        <v>0.08</v>
      </c>
      <c r="R23" s="14">
        <v>0.04</v>
      </c>
      <c r="S23" s="14">
        <v>0.08</v>
      </c>
      <c r="T23" s="14">
        <v>0.1</v>
      </c>
      <c r="U23" s="14">
        <v>0.11</v>
      </c>
      <c r="V23" s="14">
        <v>0.13</v>
      </c>
      <c r="W23" s="14">
        <v>0.11</v>
      </c>
      <c r="X23" s="14">
        <v>0.15</v>
      </c>
      <c r="Y23" s="14">
        <v>0.15</v>
      </c>
      <c r="Z23" s="14">
        <v>0.1</v>
      </c>
      <c r="AA23" s="14">
        <v>0.17</v>
      </c>
      <c r="AB23" s="14">
        <v>0.13</v>
      </c>
      <c r="AC23" s="14">
        <v>7.0000000000000007E-2</v>
      </c>
      <c r="AD23" s="14">
        <v>0.11</v>
      </c>
      <c r="AE23" s="14">
        <v>0.1</v>
      </c>
      <c r="AF23" s="14">
        <v>0.11</v>
      </c>
    </row>
    <row r="24" spans="1:32">
      <c r="A24" s="19"/>
      <c r="B24" s="11" t="s">
        <v>583</v>
      </c>
      <c r="C24" s="12">
        <v>4252</v>
      </c>
      <c r="D24" s="12">
        <v>221</v>
      </c>
      <c r="E24" s="12">
        <v>146</v>
      </c>
      <c r="F24" s="12">
        <v>147</v>
      </c>
      <c r="G24" s="12">
        <v>156</v>
      </c>
      <c r="H24" s="12">
        <v>164</v>
      </c>
      <c r="I24" s="12">
        <v>215</v>
      </c>
      <c r="J24" s="12">
        <v>51</v>
      </c>
      <c r="K24" s="12">
        <v>147</v>
      </c>
      <c r="L24" s="12">
        <v>138</v>
      </c>
      <c r="M24" s="12">
        <v>168</v>
      </c>
      <c r="N24" s="12">
        <v>131</v>
      </c>
      <c r="O24" s="12">
        <v>186</v>
      </c>
      <c r="P24" s="12">
        <v>148</v>
      </c>
      <c r="Q24" s="12">
        <v>131</v>
      </c>
      <c r="R24" s="12">
        <v>96</v>
      </c>
      <c r="S24" s="12">
        <v>126</v>
      </c>
      <c r="T24" s="12">
        <v>155</v>
      </c>
      <c r="U24" s="12">
        <v>79</v>
      </c>
      <c r="V24" s="12">
        <v>204</v>
      </c>
      <c r="W24" s="12">
        <v>55</v>
      </c>
      <c r="X24" s="12">
        <v>231</v>
      </c>
      <c r="Y24" s="12">
        <v>148</v>
      </c>
      <c r="Z24" s="12">
        <v>219</v>
      </c>
      <c r="AA24" s="12">
        <v>138</v>
      </c>
      <c r="AB24" s="12">
        <v>192</v>
      </c>
      <c r="AC24" s="12">
        <v>125</v>
      </c>
      <c r="AD24" s="12">
        <v>196</v>
      </c>
      <c r="AE24" s="12">
        <v>165</v>
      </c>
      <c r="AF24" s="12">
        <v>151</v>
      </c>
    </row>
    <row r="25" spans="1:32">
      <c r="A25" s="19"/>
      <c r="B25" s="13" t="s">
        <v>583</v>
      </c>
      <c r="C25" s="14">
        <v>0.16</v>
      </c>
      <c r="D25" s="14">
        <v>0.22</v>
      </c>
      <c r="E25" s="14">
        <v>0.14000000000000001</v>
      </c>
      <c r="F25" s="14">
        <v>0.14000000000000001</v>
      </c>
      <c r="G25" s="14">
        <v>0.15</v>
      </c>
      <c r="H25" s="14">
        <v>0.13</v>
      </c>
      <c r="I25" s="14">
        <v>0.14000000000000001</v>
      </c>
      <c r="J25" s="14">
        <v>0.17</v>
      </c>
      <c r="K25" s="14">
        <v>0.15</v>
      </c>
      <c r="L25" s="14">
        <v>0.14000000000000001</v>
      </c>
      <c r="M25" s="14">
        <v>0.17</v>
      </c>
      <c r="N25" s="14">
        <v>0.13</v>
      </c>
      <c r="O25" s="14">
        <v>0.19</v>
      </c>
      <c r="P25" s="14">
        <v>0.15</v>
      </c>
      <c r="Q25" s="14">
        <v>0.13</v>
      </c>
      <c r="R25" s="14">
        <v>0.19</v>
      </c>
      <c r="S25" s="14">
        <v>0.12</v>
      </c>
      <c r="T25" s="14">
        <v>0.15</v>
      </c>
      <c r="U25" s="14">
        <v>0.16</v>
      </c>
      <c r="V25" s="14">
        <v>0.2</v>
      </c>
      <c r="W25" s="14">
        <v>0.11</v>
      </c>
      <c r="X25" s="14">
        <v>0.23</v>
      </c>
      <c r="Y25" s="14">
        <v>0.15</v>
      </c>
      <c r="Z25" s="14">
        <v>0.22</v>
      </c>
      <c r="AA25" s="14">
        <v>0.13</v>
      </c>
      <c r="AB25" s="14">
        <v>0.18</v>
      </c>
      <c r="AC25" s="14">
        <v>0.12</v>
      </c>
      <c r="AD25" s="14">
        <v>0.2</v>
      </c>
      <c r="AE25" s="14">
        <v>0.16</v>
      </c>
      <c r="AF25" s="14">
        <v>0.15</v>
      </c>
    </row>
    <row r="26" spans="1:32">
      <c r="A26" s="19"/>
      <c r="B26" s="11" t="s">
        <v>584</v>
      </c>
      <c r="C26" s="12">
        <v>5570</v>
      </c>
      <c r="D26" s="12">
        <v>234</v>
      </c>
      <c r="E26" s="12">
        <v>149</v>
      </c>
      <c r="F26" s="12">
        <v>123</v>
      </c>
      <c r="G26" s="12">
        <v>170</v>
      </c>
      <c r="H26" s="12">
        <v>180</v>
      </c>
      <c r="I26" s="12">
        <v>250</v>
      </c>
      <c r="J26" s="12">
        <v>70</v>
      </c>
      <c r="K26" s="12">
        <v>141</v>
      </c>
      <c r="L26" s="12">
        <v>246</v>
      </c>
      <c r="M26" s="12">
        <v>258</v>
      </c>
      <c r="N26" s="12">
        <v>212</v>
      </c>
      <c r="O26" s="12">
        <v>206</v>
      </c>
      <c r="P26" s="12">
        <v>199</v>
      </c>
      <c r="Q26" s="12">
        <v>306</v>
      </c>
      <c r="R26" s="12">
        <v>115</v>
      </c>
      <c r="S26" s="12">
        <v>170</v>
      </c>
      <c r="T26" s="12">
        <v>155</v>
      </c>
      <c r="U26" s="12">
        <v>85</v>
      </c>
      <c r="V26" s="12">
        <v>182</v>
      </c>
      <c r="W26" s="12">
        <v>95</v>
      </c>
      <c r="X26" s="12">
        <v>227</v>
      </c>
      <c r="Y26" s="12">
        <v>160</v>
      </c>
      <c r="Z26" s="12">
        <v>259</v>
      </c>
      <c r="AA26" s="12">
        <v>189</v>
      </c>
      <c r="AB26" s="12">
        <v>227</v>
      </c>
      <c r="AC26" s="12">
        <v>142</v>
      </c>
      <c r="AD26" s="12">
        <v>211</v>
      </c>
      <c r="AE26" s="12">
        <v>217</v>
      </c>
      <c r="AF26" s="12">
        <v>172</v>
      </c>
    </row>
    <row r="27" spans="1:32">
      <c r="A27" s="19"/>
      <c r="B27" s="13" t="s">
        <v>584</v>
      </c>
      <c r="C27" s="14">
        <v>0.21</v>
      </c>
      <c r="D27" s="14">
        <v>0.23</v>
      </c>
      <c r="E27" s="14">
        <v>0.14000000000000001</v>
      </c>
      <c r="F27" s="14">
        <v>0.12</v>
      </c>
      <c r="G27" s="14">
        <v>0.17</v>
      </c>
      <c r="H27" s="14">
        <v>0.15</v>
      </c>
      <c r="I27" s="14">
        <v>0.16</v>
      </c>
      <c r="J27" s="14">
        <v>0.23</v>
      </c>
      <c r="K27" s="14">
        <v>0.14000000000000001</v>
      </c>
      <c r="L27" s="14">
        <v>0.25</v>
      </c>
      <c r="M27" s="14">
        <v>0.25</v>
      </c>
      <c r="N27" s="14">
        <v>0.21</v>
      </c>
      <c r="O27" s="14">
        <v>0.21</v>
      </c>
      <c r="P27" s="14">
        <v>0.2</v>
      </c>
      <c r="Q27" s="14">
        <v>0.3</v>
      </c>
      <c r="R27" s="14">
        <v>0.23</v>
      </c>
      <c r="S27" s="14">
        <v>0.17</v>
      </c>
      <c r="T27" s="14">
        <v>0.15</v>
      </c>
      <c r="U27" s="14">
        <v>0.17</v>
      </c>
      <c r="V27" s="14">
        <v>0.18</v>
      </c>
      <c r="W27" s="14">
        <v>0.19</v>
      </c>
      <c r="X27" s="14">
        <v>0.22</v>
      </c>
      <c r="Y27" s="14">
        <v>0.16</v>
      </c>
      <c r="Z27" s="14">
        <v>0.25</v>
      </c>
      <c r="AA27" s="14">
        <v>0.18</v>
      </c>
      <c r="AB27" s="14">
        <v>0.22</v>
      </c>
      <c r="AC27" s="14">
        <v>0.14000000000000001</v>
      </c>
      <c r="AD27" s="14">
        <v>0.21</v>
      </c>
      <c r="AE27" s="14">
        <v>0.22</v>
      </c>
      <c r="AF27" s="14">
        <v>0.17</v>
      </c>
    </row>
    <row r="28" spans="1:32">
      <c r="A28" s="19"/>
      <c r="B28" s="11" t="s">
        <v>585</v>
      </c>
      <c r="C28" s="12">
        <v>3394</v>
      </c>
      <c r="D28" s="12">
        <v>135</v>
      </c>
      <c r="E28" s="12">
        <v>107</v>
      </c>
      <c r="F28" s="12">
        <v>103</v>
      </c>
      <c r="G28" s="12">
        <v>76</v>
      </c>
      <c r="H28" s="12">
        <v>99</v>
      </c>
      <c r="I28" s="12">
        <v>130</v>
      </c>
      <c r="J28" s="12">
        <v>31</v>
      </c>
      <c r="K28" s="12">
        <v>113</v>
      </c>
      <c r="L28" s="12">
        <v>123</v>
      </c>
      <c r="M28" s="12">
        <v>213</v>
      </c>
      <c r="N28" s="12">
        <v>188</v>
      </c>
      <c r="O28" s="12">
        <v>110</v>
      </c>
      <c r="P28" s="12">
        <v>126</v>
      </c>
      <c r="Q28" s="12">
        <v>181</v>
      </c>
      <c r="R28" s="12">
        <v>81</v>
      </c>
      <c r="S28" s="12">
        <v>117</v>
      </c>
      <c r="T28" s="12">
        <v>81</v>
      </c>
      <c r="U28" s="12">
        <v>65</v>
      </c>
      <c r="V28" s="12">
        <v>102</v>
      </c>
      <c r="W28" s="12">
        <v>99</v>
      </c>
      <c r="X28" s="12">
        <v>96</v>
      </c>
      <c r="Y28" s="12">
        <v>108</v>
      </c>
      <c r="Z28" s="12">
        <v>146</v>
      </c>
      <c r="AA28" s="12">
        <v>155</v>
      </c>
      <c r="AB28" s="12">
        <v>149</v>
      </c>
      <c r="AC28" s="12">
        <v>83</v>
      </c>
      <c r="AD28" s="12">
        <v>105</v>
      </c>
      <c r="AE28" s="12">
        <v>122</v>
      </c>
      <c r="AF28" s="12">
        <v>80</v>
      </c>
    </row>
    <row r="29" spans="1:32">
      <c r="A29" s="19"/>
      <c r="B29" s="13" t="s">
        <v>585</v>
      </c>
      <c r="C29" s="14">
        <v>0.13</v>
      </c>
      <c r="D29" s="14">
        <v>0.13</v>
      </c>
      <c r="E29" s="14">
        <v>0.1</v>
      </c>
      <c r="F29" s="14">
        <v>0.1</v>
      </c>
      <c r="G29" s="14">
        <v>7.0000000000000007E-2</v>
      </c>
      <c r="H29" s="14">
        <v>0.08</v>
      </c>
      <c r="I29" s="14">
        <v>0.09</v>
      </c>
      <c r="J29" s="14">
        <v>0.1</v>
      </c>
      <c r="K29" s="14">
        <v>0.11</v>
      </c>
      <c r="L29" s="14">
        <v>0.12</v>
      </c>
      <c r="M29" s="14">
        <v>0.21</v>
      </c>
      <c r="N29" s="14">
        <v>0.18</v>
      </c>
      <c r="O29" s="14">
        <v>0.11</v>
      </c>
      <c r="P29" s="14">
        <v>0.12</v>
      </c>
      <c r="Q29" s="14">
        <v>0.18</v>
      </c>
      <c r="R29" s="14">
        <v>0.16</v>
      </c>
      <c r="S29" s="14">
        <v>0.12</v>
      </c>
      <c r="T29" s="14">
        <v>0.08</v>
      </c>
      <c r="U29" s="14">
        <v>0.13</v>
      </c>
      <c r="V29" s="14">
        <v>0.1</v>
      </c>
      <c r="W29" s="14">
        <v>0.2</v>
      </c>
      <c r="X29" s="14">
        <v>0.1</v>
      </c>
      <c r="Y29" s="14">
        <v>0.11</v>
      </c>
      <c r="Z29" s="14">
        <v>0.14000000000000001</v>
      </c>
      <c r="AA29" s="14">
        <v>0.15</v>
      </c>
      <c r="AB29" s="14">
        <v>0.14000000000000001</v>
      </c>
      <c r="AC29" s="14">
        <v>0.08</v>
      </c>
      <c r="AD29" s="14">
        <v>0.1</v>
      </c>
      <c r="AE29" s="14">
        <v>0.12</v>
      </c>
      <c r="AF29" s="14">
        <v>0.08</v>
      </c>
    </row>
    <row r="30" spans="1:32">
      <c r="A30" s="19"/>
      <c r="B30" s="11" t="s">
        <v>586</v>
      </c>
      <c r="C30" s="12">
        <v>4667</v>
      </c>
      <c r="D30" s="12">
        <v>121</v>
      </c>
      <c r="E30" s="12">
        <v>223</v>
      </c>
      <c r="F30" s="12">
        <v>122</v>
      </c>
      <c r="G30" s="12">
        <v>108</v>
      </c>
      <c r="H30" s="12">
        <v>188</v>
      </c>
      <c r="I30" s="12">
        <v>238</v>
      </c>
      <c r="J30" s="12">
        <v>50</v>
      </c>
      <c r="K30" s="12">
        <v>173</v>
      </c>
      <c r="L30" s="12">
        <v>234</v>
      </c>
      <c r="M30" s="12">
        <v>166</v>
      </c>
      <c r="N30" s="12">
        <v>302</v>
      </c>
      <c r="O30" s="12">
        <v>195</v>
      </c>
      <c r="P30" s="12">
        <v>201</v>
      </c>
      <c r="Q30" s="12">
        <v>200</v>
      </c>
      <c r="R30" s="12">
        <v>123</v>
      </c>
      <c r="S30" s="12">
        <v>210</v>
      </c>
      <c r="T30" s="12">
        <v>194</v>
      </c>
      <c r="U30" s="12">
        <v>137</v>
      </c>
      <c r="V30" s="12">
        <v>160</v>
      </c>
      <c r="W30" s="12">
        <v>129</v>
      </c>
      <c r="X30" s="12">
        <v>84</v>
      </c>
      <c r="Y30" s="12">
        <v>152</v>
      </c>
      <c r="Z30" s="12">
        <v>145</v>
      </c>
      <c r="AA30" s="12">
        <v>214</v>
      </c>
      <c r="AB30" s="12">
        <v>116</v>
      </c>
      <c r="AC30" s="12">
        <v>271</v>
      </c>
      <c r="AD30" s="12">
        <v>86</v>
      </c>
      <c r="AE30" s="12">
        <v>120</v>
      </c>
      <c r="AF30" s="12">
        <v>100</v>
      </c>
    </row>
    <row r="31" spans="1:32">
      <c r="A31" s="19"/>
      <c r="B31" s="13" t="s">
        <v>587</v>
      </c>
      <c r="C31" s="14">
        <v>0.18</v>
      </c>
      <c r="D31" s="14">
        <v>0.12</v>
      </c>
      <c r="E31" s="14">
        <v>0.21</v>
      </c>
      <c r="F31" s="14">
        <v>0.11</v>
      </c>
      <c r="G31" s="14">
        <v>0.11</v>
      </c>
      <c r="H31" s="14">
        <v>0.15</v>
      </c>
      <c r="I31" s="14">
        <v>0.16</v>
      </c>
      <c r="J31" s="14">
        <v>0.17</v>
      </c>
      <c r="K31" s="14">
        <v>0.17</v>
      </c>
      <c r="L31" s="14">
        <v>0.23</v>
      </c>
      <c r="M31" s="14">
        <v>0.16</v>
      </c>
      <c r="N31" s="14">
        <v>0.3</v>
      </c>
      <c r="O31" s="14">
        <v>0.19</v>
      </c>
      <c r="P31" s="14">
        <v>0.2</v>
      </c>
      <c r="Q31" s="14">
        <v>0.19</v>
      </c>
      <c r="R31" s="14">
        <v>0.24</v>
      </c>
      <c r="S31" s="14">
        <v>0.21</v>
      </c>
      <c r="T31" s="14">
        <v>0.19</v>
      </c>
      <c r="U31" s="14">
        <v>0.27</v>
      </c>
      <c r="V31" s="14">
        <v>0.15</v>
      </c>
      <c r="W31" s="14">
        <v>0.26</v>
      </c>
      <c r="X31" s="14">
        <v>0.08</v>
      </c>
      <c r="Y31" s="14">
        <v>0.15</v>
      </c>
      <c r="Z31" s="14">
        <v>0.14000000000000001</v>
      </c>
      <c r="AA31" s="14">
        <v>0.2</v>
      </c>
      <c r="AB31" s="14">
        <v>0.11</v>
      </c>
      <c r="AC31" s="14">
        <v>0.27</v>
      </c>
      <c r="AD31" s="14">
        <v>0.09</v>
      </c>
      <c r="AE31" s="14">
        <v>0.12</v>
      </c>
      <c r="AF31" s="14">
        <v>0.1</v>
      </c>
    </row>
    <row r="32" spans="1:32">
      <c r="A32" s="19"/>
      <c r="B32" s="11" t="s">
        <v>386</v>
      </c>
      <c r="C32" s="12">
        <v>368</v>
      </c>
      <c r="D32" s="12">
        <v>3</v>
      </c>
      <c r="E32" s="12">
        <v>22</v>
      </c>
      <c r="F32" s="12">
        <v>13</v>
      </c>
      <c r="G32" s="12">
        <v>12</v>
      </c>
      <c r="H32" s="12">
        <v>13</v>
      </c>
      <c r="I32" s="12">
        <v>18</v>
      </c>
      <c r="J32" s="12">
        <v>4</v>
      </c>
      <c r="K32" s="12">
        <v>13</v>
      </c>
      <c r="L32" s="12">
        <v>8</v>
      </c>
      <c r="M32" s="12">
        <v>36</v>
      </c>
      <c r="N32" s="12">
        <v>22</v>
      </c>
      <c r="O32" s="12">
        <v>12</v>
      </c>
      <c r="P32" s="12">
        <v>18</v>
      </c>
      <c r="Q32" s="12">
        <v>8</v>
      </c>
      <c r="R32" s="12">
        <v>14</v>
      </c>
      <c r="S32" s="12">
        <v>29</v>
      </c>
      <c r="T32" s="12">
        <v>52</v>
      </c>
      <c r="U32" s="12">
        <v>6</v>
      </c>
      <c r="V32" s="12">
        <v>11</v>
      </c>
      <c r="W32" s="12">
        <v>10</v>
      </c>
      <c r="X32" s="12">
        <v>4</v>
      </c>
      <c r="Y32" s="12">
        <v>16</v>
      </c>
      <c r="Z32" s="12">
        <v>10</v>
      </c>
      <c r="AA32" s="12">
        <v>46</v>
      </c>
      <c r="AB32" s="12">
        <v>29</v>
      </c>
      <c r="AC32" s="12">
        <v>6</v>
      </c>
      <c r="AD32" s="12">
        <v>11</v>
      </c>
      <c r="AE32" s="12">
        <v>10</v>
      </c>
      <c r="AF32" s="12">
        <v>3</v>
      </c>
    </row>
    <row r="33" spans="1:32">
      <c r="A33" s="19"/>
      <c r="B33" s="13" t="s">
        <v>399</v>
      </c>
      <c r="C33" s="14">
        <v>0.01</v>
      </c>
      <c r="D33" s="15" t="s">
        <v>375</v>
      </c>
      <c r="E33" s="14">
        <v>0.02</v>
      </c>
      <c r="F33" s="14">
        <v>0.01</v>
      </c>
      <c r="G33" s="14">
        <v>0.01</v>
      </c>
      <c r="H33" s="14">
        <v>0.01</v>
      </c>
      <c r="I33" s="14">
        <v>0.01</v>
      </c>
      <c r="J33" s="14">
        <v>0.01</v>
      </c>
      <c r="K33" s="14">
        <v>0.01</v>
      </c>
      <c r="L33" s="14">
        <v>0.01</v>
      </c>
      <c r="M33" s="14">
        <v>0.04</v>
      </c>
      <c r="N33" s="14">
        <v>0.02</v>
      </c>
      <c r="O33" s="14">
        <v>0.01</v>
      </c>
      <c r="P33" s="14">
        <v>0.02</v>
      </c>
      <c r="Q33" s="14">
        <v>0.01</v>
      </c>
      <c r="R33" s="14">
        <v>0.03</v>
      </c>
      <c r="S33" s="14">
        <v>0.03</v>
      </c>
      <c r="T33" s="14">
        <v>0.05</v>
      </c>
      <c r="U33" s="14">
        <v>0.01</v>
      </c>
      <c r="V33" s="14">
        <v>0.01</v>
      </c>
      <c r="W33" s="14">
        <v>0.02</v>
      </c>
      <c r="X33" s="15" t="s">
        <v>375</v>
      </c>
      <c r="Y33" s="14">
        <v>0.02</v>
      </c>
      <c r="Z33" s="14">
        <v>0.01</v>
      </c>
      <c r="AA33" s="14">
        <v>0.04</v>
      </c>
      <c r="AB33" s="14">
        <v>0.03</v>
      </c>
      <c r="AC33" s="14">
        <v>0.01</v>
      </c>
      <c r="AD33" s="14">
        <v>0.01</v>
      </c>
      <c r="AE33" s="14">
        <v>0.01</v>
      </c>
      <c r="AF33" s="15" t="s">
        <v>375</v>
      </c>
    </row>
    <row r="34" spans="1:32">
      <c r="A34" s="19"/>
      <c r="B34" s="11" t="s">
        <v>588</v>
      </c>
      <c r="C34" s="12">
        <v>3092</v>
      </c>
      <c r="D34" s="12">
        <v>84</v>
      </c>
      <c r="E34" s="12">
        <v>180</v>
      </c>
      <c r="F34" s="12">
        <v>209</v>
      </c>
      <c r="G34" s="12">
        <v>231</v>
      </c>
      <c r="H34" s="12">
        <v>273</v>
      </c>
      <c r="I34" s="12">
        <v>315</v>
      </c>
      <c r="J34" s="12">
        <v>40</v>
      </c>
      <c r="K34" s="12">
        <v>200</v>
      </c>
      <c r="L34" s="12">
        <v>89</v>
      </c>
      <c r="M34" s="12">
        <v>50</v>
      </c>
      <c r="N34" s="12">
        <v>55</v>
      </c>
      <c r="O34" s="12">
        <v>101</v>
      </c>
      <c r="P34" s="12">
        <v>113</v>
      </c>
      <c r="Q34" s="12">
        <v>76</v>
      </c>
      <c r="R34" s="12">
        <v>30</v>
      </c>
      <c r="S34" s="12">
        <v>161</v>
      </c>
      <c r="T34" s="12">
        <v>160</v>
      </c>
      <c r="U34" s="12">
        <v>50</v>
      </c>
      <c r="V34" s="12">
        <v>112</v>
      </c>
      <c r="W34" s="12">
        <v>32</v>
      </c>
      <c r="X34" s="12">
        <v>122</v>
      </c>
      <c r="Y34" s="12">
        <v>137</v>
      </c>
      <c r="Z34" s="12">
        <v>47</v>
      </c>
      <c r="AA34" s="12">
        <v>41</v>
      </c>
      <c r="AB34" s="12">
        <v>103</v>
      </c>
      <c r="AC34" s="12">
        <v>194</v>
      </c>
      <c r="AD34" s="12">
        <v>134</v>
      </c>
      <c r="AE34" s="12">
        <v>175</v>
      </c>
      <c r="AF34" s="12">
        <v>274</v>
      </c>
    </row>
    <row r="35" spans="1:32">
      <c r="A35" s="19"/>
      <c r="B35" s="13" t="s">
        <v>589</v>
      </c>
      <c r="C35" s="14">
        <v>0.11</v>
      </c>
      <c r="D35" s="14">
        <v>0.08</v>
      </c>
      <c r="E35" s="14">
        <v>0.18</v>
      </c>
      <c r="F35" s="14">
        <v>0.19</v>
      </c>
      <c r="G35" s="14">
        <v>0.24</v>
      </c>
      <c r="H35" s="14">
        <v>0.22</v>
      </c>
      <c r="I35" s="14">
        <v>0.2</v>
      </c>
      <c r="J35" s="14">
        <v>0.14000000000000001</v>
      </c>
      <c r="K35" s="14">
        <v>0.2</v>
      </c>
      <c r="L35" s="14">
        <v>0.09</v>
      </c>
      <c r="M35" s="14">
        <v>0.06</v>
      </c>
      <c r="N35" s="14">
        <v>0.06</v>
      </c>
      <c r="O35" s="14">
        <v>0.1</v>
      </c>
      <c r="P35" s="14">
        <v>0.11</v>
      </c>
      <c r="Q35" s="14">
        <v>7.0000000000000007E-2</v>
      </c>
      <c r="R35" s="14">
        <v>0.06</v>
      </c>
      <c r="S35" s="14">
        <v>0.16</v>
      </c>
      <c r="T35" s="14">
        <v>0.16</v>
      </c>
      <c r="U35" s="14">
        <v>0.09</v>
      </c>
      <c r="V35" s="14">
        <v>0.11</v>
      </c>
      <c r="W35" s="14">
        <v>0.05</v>
      </c>
      <c r="X35" s="14">
        <v>0.12</v>
      </c>
      <c r="Y35" s="14">
        <v>0.13</v>
      </c>
      <c r="Z35" s="14">
        <v>0.05</v>
      </c>
      <c r="AA35" s="14">
        <v>0.05</v>
      </c>
      <c r="AB35" s="14">
        <v>0.1</v>
      </c>
      <c r="AC35" s="14">
        <v>0.2</v>
      </c>
      <c r="AD35" s="14">
        <v>0.13</v>
      </c>
      <c r="AE35" s="14">
        <v>0.18</v>
      </c>
      <c r="AF35" s="14">
        <v>0.26</v>
      </c>
    </row>
    <row r="36" spans="1:32">
      <c r="A36" s="19"/>
      <c r="B36" s="11" t="s">
        <v>590</v>
      </c>
      <c r="C36" s="12">
        <v>5110</v>
      </c>
      <c r="D36" s="12">
        <v>223</v>
      </c>
      <c r="E36" s="12">
        <v>219</v>
      </c>
      <c r="F36" s="12">
        <v>348</v>
      </c>
      <c r="G36" s="12">
        <v>261</v>
      </c>
      <c r="H36" s="12">
        <v>312</v>
      </c>
      <c r="I36" s="12">
        <v>362</v>
      </c>
      <c r="J36" s="12">
        <v>51</v>
      </c>
      <c r="K36" s="12">
        <v>219</v>
      </c>
      <c r="L36" s="12">
        <v>168</v>
      </c>
      <c r="M36" s="12">
        <v>115</v>
      </c>
      <c r="N36" s="12">
        <v>99</v>
      </c>
      <c r="O36" s="12">
        <v>194</v>
      </c>
      <c r="P36" s="12">
        <v>199</v>
      </c>
      <c r="Q36" s="12">
        <v>129</v>
      </c>
      <c r="R36" s="12">
        <v>43</v>
      </c>
      <c r="S36" s="12">
        <v>191</v>
      </c>
      <c r="T36" s="12">
        <v>226</v>
      </c>
      <c r="U36" s="12">
        <v>86</v>
      </c>
      <c r="V36" s="12">
        <v>257</v>
      </c>
      <c r="W36" s="12">
        <v>83</v>
      </c>
      <c r="X36" s="12">
        <v>246</v>
      </c>
      <c r="Y36" s="12">
        <v>283</v>
      </c>
      <c r="Z36" s="12">
        <v>188</v>
      </c>
      <c r="AA36" s="12">
        <v>253</v>
      </c>
      <c r="AB36" s="12">
        <v>226</v>
      </c>
      <c r="AC36" s="12">
        <v>184</v>
      </c>
      <c r="AD36" s="12">
        <v>260</v>
      </c>
      <c r="AE36" s="12">
        <v>193</v>
      </c>
      <c r="AF36" s="12">
        <v>250</v>
      </c>
    </row>
    <row r="37" spans="1:32">
      <c r="A37" s="19"/>
      <c r="B37" s="13" t="s">
        <v>591</v>
      </c>
      <c r="C37" s="14">
        <v>0.2</v>
      </c>
      <c r="D37" s="14">
        <v>0.22</v>
      </c>
      <c r="E37" s="14">
        <v>0.21</v>
      </c>
      <c r="F37" s="14">
        <v>0.33</v>
      </c>
      <c r="G37" s="14">
        <v>0.25</v>
      </c>
      <c r="H37" s="14">
        <v>0.26</v>
      </c>
      <c r="I37" s="14">
        <v>0.24</v>
      </c>
      <c r="J37" s="14">
        <v>0.18</v>
      </c>
      <c r="K37" s="14">
        <v>0.22</v>
      </c>
      <c r="L37" s="14">
        <v>0.16</v>
      </c>
      <c r="M37" s="14">
        <v>0.11</v>
      </c>
      <c r="N37" s="14">
        <v>0.1</v>
      </c>
      <c r="O37" s="14">
        <v>0.19</v>
      </c>
      <c r="P37" s="14">
        <v>0.2</v>
      </c>
      <c r="Q37" s="14">
        <v>0.12</v>
      </c>
      <c r="R37" s="14">
        <v>0.09</v>
      </c>
      <c r="S37" s="14">
        <v>0.19</v>
      </c>
      <c r="T37" s="14">
        <v>0.22</v>
      </c>
      <c r="U37" s="14">
        <v>0.17</v>
      </c>
      <c r="V37" s="14">
        <v>0.25</v>
      </c>
      <c r="W37" s="14">
        <v>0.17</v>
      </c>
      <c r="X37" s="14">
        <v>0.25</v>
      </c>
      <c r="Y37" s="14">
        <v>0.28000000000000003</v>
      </c>
      <c r="Z37" s="14">
        <v>0.19</v>
      </c>
      <c r="AA37" s="14">
        <v>0.25</v>
      </c>
      <c r="AB37" s="14">
        <v>0.22</v>
      </c>
      <c r="AC37" s="14">
        <v>0.18</v>
      </c>
      <c r="AD37" s="14">
        <v>0.26</v>
      </c>
      <c r="AE37" s="14">
        <v>0.19</v>
      </c>
      <c r="AF37" s="14">
        <v>0.24</v>
      </c>
    </row>
    <row r="38" spans="1:32">
      <c r="A38" s="19"/>
      <c r="B38" s="11" t="s">
        <v>592</v>
      </c>
      <c r="C38" s="12">
        <v>17883</v>
      </c>
      <c r="D38" s="12">
        <v>711</v>
      </c>
      <c r="E38" s="12">
        <v>625</v>
      </c>
      <c r="F38" s="12">
        <v>495</v>
      </c>
      <c r="G38" s="12">
        <v>510</v>
      </c>
      <c r="H38" s="12">
        <v>631</v>
      </c>
      <c r="I38" s="12">
        <v>833</v>
      </c>
      <c r="J38" s="12">
        <v>202</v>
      </c>
      <c r="K38" s="12">
        <v>574</v>
      </c>
      <c r="L38" s="12">
        <v>741</v>
      </c>
      <c r="M38" s="12">
        <v>805</v>
      </c>
      <c r="N38" s="12">
        <v>833</v>
      </c>
      <c r="O38" s="12">
        <v>697</v>
      </c>
      <c r="P38" s="12">
        <v>674</v>
      </c>
      <c r="Q38" s="12">
        <v>818</v>
      </c>
      <c r="R38" s="12">
        <v>415</v>
      </c>
      <c r="S38" s="12">
        <v>623</v>
      </c>
      <c r="T38" s="12">
        <v>585</v>
      </c>
      <c r="U38" s="12">
        <v>366</v>
      </c>
      <c r="V38" s="12">
        <v>648</v>
      </c>
      <c r="W38" s="12">
        <v>378</v>
      </c>
      <c r="X38" s="12">
        <v>638</v>
      </c>
      <c r="Y38" s="12">
        <v>568</v>
      </c>
      <c r="Z38" s="12">
        <v>769</v>
      </c>
      <c r="AA38" s="12">
        <v>696</v>
      </c>
      <c r="AB38" s="12">
        <v>684</v>
      </c>
      <c r="AC38" s="12">
        <v>621</v>
      </c>
      <c r="AD38" s="12">
        <v>598</v>
      </c>
      <c r="AE38" s="12">
        <v>624</v>
      </c>
      <c r="AF38" s="12">
        <v>503</v>
      </c>
    </row>
    <row r="39" spans="1:32">
      <c r="A39" s="19"/>
      <c r="B39" s="13" t="s">
        <v>593</v>
      </c>
      <c r="C39" s="14">
        <v>0.68</v>
      </c>
      <c r="D39" s="14">
        <v>0.70000000000000007</v>
      </c>
      <c r="E39" s="14">
        <v>0.59</v>
      </c>
      <c r="F39" s="14">
        <v>0.47</v>
      </c>
      <c r="G39" s="14">
        <v>0.5</v>
      </c>
      <c r="H39" s="14">
        <v>0.51</v>
      </c>
      <c r="I39" s="14">
        <v>0.55000000000000004</v>
      </c>
      <c r="J39" s="14">
        <v>0.67</v>
      </c>
      <c r="K39" s="14">
        <v>0.57000000000000006</v>
      </c>
      <c r="L39" s="14">
        <v>0.74</v>
      </c>
      <c r="M39" s="14">
        <v>0.79</v>
      </c>
      <c r="N39" s="14">
        <v>0.82000000000000006</v>
      </c>
      <c r="O39" s="14">
        <v>0.70000000000000007</v>
      </c>
      <c r="P39" s="14">
        <v>0.67</v>
      </c>
      <c r="Q39" s="14">
        <v>0.8</v>
      </c>
      <c r="R39" s="14">
        <v>0.82000000000000006</v>
      </c>
      <c r="S39" s="14">
        <v>0.62</v>
      </c>
      <c r="T39" s="14">
        <v>0.57000000000000006</v>
      </c>
      <c r="U39" s="14">
        <v>0.73</v>
      </c>
      <c r="V39" s="14">
        <v>0.63</v>
      </c>
      <c r="W39" s="14">
        <v>0.76</v>
      </c>
      <c r="X39" s="14">
        <v>0.63</v>
      </c>
      <c r="Y39" s="14">
        <v>0.57000000000000006</v>
      </c>
      <c r="Z39" s="14">
        <v>0.75</v>
      </c>
      <c r="AA39" s="14">
        <v>0.66</v>
      </c>
      <c r="AB39" s="14">
        <v>0.65</v>
      </c>
      <c r="AC39" s="14">
        <v>0.61</v>
      </c>
      <c r="AD39" s="14">
        <v>0.6</v>
      </c>
      <c r="AE39" s="14">
        <v>0.62</v>
      </c>
      <c r="AF39" s="14">
        <v>0.5</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3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658</v>
      </c>
      <c r="C3" s="17"/>
      <c r="D3" s="17"/>
      <c r="E3" s="17"/>
      <c r="F3" s="17"/>
      <c r="H3" s="17" t="s">
        <v>659</v>
      </c>
      <c r="I3" s="17"/>
      <c r="J3" s="17"/>
      <c r="K3" s="17"/>
      <c r="L3" s="17"/>
    </row>
    <row r="4" spans="1:32" ht="27" customHeight="1">
      <c r="B4" s="17" t="s">
        <v>660</v>
      </c>
      <c r="C4" s="17"/>
      <c r="D4" s="17"/>
      <c r="E4" s="17"/>
      <c r="F4" s="17"/>
      <c r="H4" s="17" t="s">
        <v>661</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HYPERLINK("#Content!A46","&lt;&lt;Back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576</v>
      </c>
      <c r="C12" s="12">
        <v>469</v>
      </c>
      <c r="D12" s="12">
        <v>19</v>
      </c>
      <c r="E12" s="12">
        <v>45</v>
      </c>
      <c r="F12" s="12">
        <v>53</v>
      </c>
      <c r="G12" s="12">
        <v>73</v>
      </c>
      <c r="H12" s="12">
        <v>19</v>
      </c>
      <c r="I12" s="12">
        <v>28</v>
      </c>
      <c r="J12" s="12">
        <v>9</v>
      </c>
      <c r="K12" s="12">
        <v>77</v>
      </c>
      <c r="L12" s="12">
        <v>52</v>
      </c>
      <c r="M12" s="12">
        <v>9</v>
      </c>
      <c r="N12" s="12">
        <v>5</v>
      </c>
      <c r="O12" s="12">
        <v>15</v>
      </c>
      <c r="P12" s="12">
        <v>11</v>
      </c>
      <c r="Q12" s="12">
        <v>11</v>
      </c>
      <c r="R12" s="12">
        <v>7</v>
      </c>
      <c r="S12" s="12">
        <v>57</v>
      </c>
      <c r="T12" s="12">
        <v>65</v>
      </c>
      <c r="U12" s="12">
        <v>12</v>
      </c>
      <c r="V12" s="12">
        <v>20</v>
      </c>
      <c r="W12" s="12">
        <v>11</v>
      </c>
      <c r="X12" s="12">
        <v>8</v>
      </c>
      <c r="Y12" s="12">
        <v>50</v>
      </c>
      <c r="Z12" s="12">
        <v>3</v>
      </c>
      <c r="AA12" s="12">
        <v>2</v>
      </c>
      <c r="AB12" s="12">
        <v>39</v>
      </c>
      <c r="AC12" s="12">
        <v>52</v>
      </c>
      <c r="AD12" s="12">
        <v>29</v>
      </c>
      <c r="AE12" s="12">
        <v>27</v>
      </c>
      <c r="AF12" s="12">
        <v>27</v>
      </c>
    </row>
    <row r="13" spans="1:32">
      <c r="A13" s="19"/>
      <c r="B13" s="13" t="s">
        <v>577</v>
      </c>
      <c r="C13" s="14">
        <v>0.02</v>
      </c>
      <c r="D13" s="14">
        <v>0.02</v>
      </c>
      <c r="E13" s="14">
        <v>0.04</v>
      </c>
      <c r="F13" s="14">
        <v>0.05</v>
      </c>
      <c r="G13" s="14">
        <v>7.0000000000000007E-2</v>
      </c>
      <c r="H13" s="14">
        <v>0.02</v>
      </c>
      <c r="I13" s="14">
        <v>0.02</v>
      </c>
      <c r="J13" s="14">
        <v>0.03</v>
      </c>
      <c r="K13" s="14">
        <v>0.08</v>
      </c>
      <c r="L13" s="14">
        <v>0.05</v>
      </c>
      <c r="M13" s="14">
        <v>0.01</v>
      </c>
      <c r="N13" s="15" t="s">
        <v>375</v>
      </c>
      <c r="O13" s="14">
        <v>0.01</v>
      </c>
      <c r="P13" s="14">
        <v>0.01</v>
      </c>
      <c r="Q13" s="14">
        <v>0.01</v>
      </c>
      <c r="R13" s="14">
        <v>0.01</v>
      </c>
      <c r="S13" s="14">
        <v>0.06</v>
      </c>
      <c r="T13" s="14">
        <v>0.06</v>
      </c>
      <c r="U13" s="14">
        <v>0.02</v>
      </c>
      <c r="V13" s="14">
        <v>0.02</v>
      </c>
      <c r="W13" s="14">
        <v>0.02</v>
      </c>
      <c r="X13" s="14">
        <v>0.01</v>
      </c>
      <c r="Y13" s="14">
        <v>0.05</v>
      </c>
      <c r="Z13" s="15" t="s">
        <v>375</v>
      </c>
      <c r="AA13" s="15" t="s">
        <v>375</v>
      </c>
      <c r="AB13" s="14">
        <v>0.04</v>
      </c>
      <c r="AC13" s="14">
        <v>0.05</v>
      </c>
      <c r="AD13" s="14">
        <v>0.03</v>
      </c>
      <c r="AE13" s="14">
        <v>0.03</v>
      </c>
      <c r="AF13" s="14">
        <v>0.02</v>
      </c>
    </row>
    <row r="14" spans="1:32">
      <c r="A14" s="19"/>
      <c r="B14" s="11" t="s">
        <v>578</v>
      </c>
      <c r="C14" s="12">
        <v>521</v>
      </c>
      <c r="D14" s="12">
        <v>20</v>
      </c>
      <c r="E14" s="12">
        <v>37</v>
      </c>
      <c r="F14" s="12">
        <v>23</v>
      </c>
      <c r="G14" s="12">
        <v>71</v>
      </c>
      <c r="H14" s="12">
        <v>51</v>
      </c>
      <c r="I14" s="12">
        <v>61</v>
      </c>
      <c r="J14" s="12">
        <v>10</v>
      </c>
      <c r="K14" s="12">
        <v>48</v>
      </c>
      <c r="L14" s="12">
        <v>10</v>
      </c>
      <c r="M14" s="12">
        <v>13</v>
      </c>
      <c r="N14" s="12">
        <v>5</v>
      </c>
      <c r="O14" s="12">
        <v>14</v>
      </c>
      <c r="P14" s="12">
        <v>21</v>
      </c>
      <c r="Q14" s="12">
        <v>4</v>
      </c>
      <c r="R14" s="12">
        <v>5</v>
      </c>
      <c r="S14" s="12">
        <v>42</v>
      </c>
      <c r="T14" s="12">
        <v>47</v>
      </c>
      <c r="U14" s="12">
        <v>8</v>
      </c>
      <c r="V14" s="12">
        <v>13</v>
      </c>
      <c r="W14" s="12">
        <v>8</v>
      </c>
      <c r="X14" s="12">
        <v>29</v>
      </c>
      <c r="Y14" s="12">
        <v>39</v>
      </c>
      <c r="Z14" s="12">
        <v>8</v>
      </c>
      <c r="AA14" s="12">
        <v>2</v>
      </c>
      <c r="AB14" s="12">
        <v>12</v>
      </c>
      <c r="AC14" s="12">
        <v>38</v>
      </c>
      <c r="AD14" s="12">
        <v>23</v>
      </c>
      <c r="AE14" s="12">
        <v>52</v>
      </c>
      <c r="AF14" s="12">
        <v>38</v>
      </c>
    </row>
    <row r="15" spans="1:32">
      <c r="A15" s="19"/>
      <c r="B15" s="13" t="s">
        <v>578</v>
      </c>
      <c r="C15" s="14">
        <v>0.02</v>
      </c>
      <c r="D15" s="14">
        <v>0.02</v>
      </c>
      <c r="E15" s="14">
        <v>0.04</v>
      </c>
      <c r="F15" s="14">
        <v>0.02</v>
      </c>
      <c r="G15" s="14">
        <v>7.0000000000000007E-2</v>
      </c>
      <c r="H15" s="14">
        <v>0.04</v>
      </c>
      <c r="I15" s="14">
        <v>0.04</v>
      </c>
      <c r="J15" s="14">
        <v>0.04</v>
      </c>
      <c r="K15" s="14">
        <v>0.05</v>
      </c>
      <c r="L15" s="14">
        <v>0.01</v>
      </c>
      <c r="M15" s="14">
        <v>0.01</v>
      </c>
      <c r="N15" s="14">
        <v>0.01</v>
      </c>
      <c r="O15" s="14">
        <v>0.01</v>
      </c>
      <c r="P15" s="14">
        <v>0.02</v>
      </c>
      <c r="Q15" s="15" t="s">
        <v>375</v>
      </c>
      <c r="R15" s="14">
        <v>0.01</v>
      </c>
      <c r="S15" s="14">
        <v>0.04</v>
      </c>
      <c r="T15" s="14">
        <v>0.04</v>
      </c>
      <c r="U15" s="14">
        <v>0.02</v>
      </c>
      <c r="V15" s="14">
        <v>0.01</v>
      </c>
      <c r="W15" s="14">
        <v>0.01</v>
      </c>
      <c r="X15" s="14">
        <v>0.03</v>
      </c>
      <c r="Y15" s="14">
        <v>0.04</v>
      </c>
      <c r="Z15" s="14">
        <v>0.01</v>
      </c>
      <c r="AA15" s="15" t="s">
        <v>375</v>
      </c>
      <c r="AB15" s="14">
        <v>0.01</v>
      </c>
      <c r="AC15" s="14">
        <v>0.04</v>
      </c>
      <c r="AD15" s="14">
        <v>0.02</v>
      </c>
      <c r="AE15" s="14">
        <v>0.05</v>
      </c>
      <c r="AF15" s="14">
        <v>0.04</v>
      </c>
    </row>
    <row r="16" spans="1:32">
      <c r="A16" s="19"/>
      <c r="B16" s="11" t="s">
        <v>579</v>
      </c>
      <c r="C16" s="12">
        <v>918</v>
      </c>
      <c r="D16" s="12">
        <v>27</v>
      </c>
      <c r="E16" s="12">
        <v>78</v>
      </c>
      <c r="F16" s="12">
        <v>55</v>
      </c>
      <c r="G16" s="12">
        <v>118</v>
      </c>
      <c r="H16" s="12">
        <v>68</v>
      </c>
      <c r="I16" s="12">
        <v>89</v>
      </c>
      <c r="J16" s="12">
        <v>21</v>
      </c>
      <c r="K16" s="12">
        <v>78</v>
      </c>
      <c r="L16" s="12">
        <v>42</v>
      </c>
      <c r="M16" s="12">
        <v>29</v>
      </c>
      <c r="N16" s="12">
        <v>5</v>
      </c>
      <c r="O16" s="12">
        <v>27</v>
      </c>
      <c r="P16" s="12">
        <v>31</v>
      </c>
      <c r="Q16" s="12">
        <v>9</v>
      </c>
      <c r="R16" s="12">
        <v>12</v>
      </c>
      <c r="S16" s="12">
        <v>47</v>
      </c>
      <c r="T16" s="12">
        <v>57</v>
      </c>
      <c r="U16" s="12">
        <v>16</v>
      </c>
      <c r="V16" s="12">
        <v>58</v>
      </c>
      <c r="W16" s="12">
        <v>18</v>
      </c>
      <c r="X16" s="12">
        <v>53</v>
      </c>
      <c r="Y16" s="12">
        <v>49</v>
      </c>
      <c r="Z16" s="12">
        <v>23</v>
      </c>
      <c r="AA16" s="12">
        <v>4</v>
      </c>
      <c r="AB16" s="12">
        <v>18</v>
      </c>
      <c r="AC16" s="12">
        <v>95</v>
      </c>
      <c r="AD16" s="12">
        <v>64</v>
      </c>
      <c r="AE16" s="12">
        <v>67</v>
      </c>
      <c r="AF16" s="12">
        <v>99</v>
      </c>
    </row>
    <row r="17" spans="1:32">
      <c r="A17" s="19"/>
      <c r="B17" s="13" t="s">
        <v>579</v>
      </c>
      <c r="C17" s="14">
        <v>0.03</v>
      </c>
      <c r="D17" s="14">
        <v>0.03</v>
      </c>
      <c r="E17" s="14">
        <v>0.08</v>
      </c>
      <c r="F17" s="14">
        <v>0.05</v>
      </c>
      <c r="G17" s="14">
        <v>0.12</v>
      </c>
      <c r="H17" s="14">
        <v>0.06</v>
      </c>
      <c r="I17" s="14">
        <v>0.06</v>
      </c>
      <c r="J17" s="14">
        <v>7.0000000000000007E-2</v>
      </c>
      <c r="K17" s="14">
        <v>0.08</v>
      </c>
      <c r="L17" s="14">
        <v>0.04</v>
      </c>
      <c r="M17" s="14">
        <v>0.03</v>
      </c>
      <c r="N17" s="14">
        <v>0.01</v>
      </c>
      <c r="O17" s="14">
        <v>0.03</v>
      </c>
      <c r="P17" s="14">
        <v>0.03</v>
      </c>
      <c r="Q17" s="14">
        <v>0.01</v>
      </c>
      <c r="R17" s="14">
        <v>0.03</v>
      </c>
      <c r="S17" s="14">
        <v>0.05</v>
      </c>
      <c r="T17" s="14">
        <v>0.06</v>
      </c>
      <c r="U17" s="14">
        <v>0.03</v>
      </c>
      <c r="V17" s="14">
        <v>0.06</v>
      </c>
      <c r="W17" s="14">
        <v>0.04</v>
      </c>
      <c r="X17" s="14">
        <v>0.05</v>
      </c>
      <c r="Y17" s="14">
        <v>0.05</v>
      </c>
      <c r="Z17" s="14">
        <v>0.02</v>
      </c>
      <c r="AA17" s="14">
        <v>0.01</v>
      </c>
      <c r="AB17" s="14">
        <v>0.02</v>
      </c>
      <c r="AC17" s="14">
        <v>0.09</v>
      </c>
      <c r="AD17" s="14">
        <v>0.06</v>
      </c>
      <c r="AE17" s="14">
        <v>7.0000000000000007E-2</v>
      </c>
      <c r="AF17" s="14">
        <v>0.09</v>
      </c>
    </row>
    <row r="18" spans="1:32">
      <c r="A18" s="19"/>
      <c r="B18" s="11" t="s">
        <v>580</v>
      </c>
      <c r="C18" s="12">
        <v>1243</v>
      </c>
      <c r="D18" s="12">
        <v>49</v>
      </c>
      <c r="E18" s="12">
        <v>77</v>
      </c>
      <c r="F18" s="12">
        <v>86</v>
      </c>
      <c r="G18" s="12">
        <v>120</v>
      </c>
      <c r="H18" s="12">
        <v>107</v>
      </c>
      <c r="I18" s="12">
        <v>120</v>
      </c>
      <c r="J18" s="12">
        <v>13</v>
      </c>
      <c r="K18" s="12">
        <v>79</v>
      </c>
      <c r="L18" s="12">
        <v>55</v>
      </c>
      <c r="M18" s="12">
        <v>43</v>
      </c>
      <c r="N18" s="12">
        <v>14</v>
      </c>
      <c r="O18" s="12">
        <v>29</v>
      </c>
      <c r="P18" s="12">
        <v>56</v>
      </c>
      <c r="Q18" s="12">
        <v>23</v>
      </c>
      <c r="R18" s="12">
        <v>20</v>
      </c>
      <c r="S18" s="12">
        <v>55</v>
      </c>
      <c r="T18" s="12">
        <v>71</v>
      </c>
      <c r="U18" s="12">
        <v>26</v>
      </c>
      <c r="V18" s="12">
        <v>63</v>
      </c>
      <c r="W18" s="12">
        <v>18</v>
      </c>
      <c r="X18" s="12">
        <v>67</v>
      </c>
      <c r="Y18" s="12">
        <v>68</v>
      </c>
      <c r="Z18" s="12">
        <v>38</v>
      </c>
      <c r="AA18" s="12">
        <v>13</v>
      </c>
      <c r="AB18" s="12">
        <v>40</v>
      </c>
      <c r="AC18" s="12">
        <v>56</v>
      </c>
      <c r="AD18" s="12">
        <v>47</v>
      </c>
      <c r="AE18" s="12">
        <v>97</v>
      </c>
      <c r="AF18" s="12">
        <v>99</v>
      </c>
    </row>
    <row r="19" spans="1:32">
      <c r="A19" s="19"/>
      <c r="B19" s="13" t="s">
        <v>580</v>
      </c>
      <c r="C19" s="14">
        <v>0.05</v>
      </c>
      <c r="D19" s="14">
        <v>0.05</v>
      </c>
      <c r="E19" s="14">
        <v>7.0000000000000007E-2</v>
      </c>
      <c r="F19" s="14">
        <v>0.08</v>
      </c>
      <c r="G19" s="14">
        <v>0.12</v>
      </c>
      <c r="H19" s="14">
        <v>0.09</v>
      </c>
      <c r="I19" s="14">
        <v>0.08</v>
      </c>
      <c r="J19" s="14">
        <v>0.05</v>
      </c>
      <c r="K19" s="14">
        <v>0.08</v>
      </c>
      <c r="L19" s="14">
        <v>0.05</v>
      </c>
      <c r="M19" s="14">
        <v>0.04</v>
      </c>
      <c r="N19" s="14">
        <v>0.01</v>
      </c>
      <c r="O19" s="14">
        <v>0.03</v>
      </c>
      <c r="P19" s="14">
        <v>0.06</v>
      </c>
      <c r="Q19" s="14">
        <v>0.02</v>
      </c>
      <c r="R19" s="14">
        <v>0.04</v>
      </c>
      <c r="S19" s="14">
        <v>0.05</v>
      </c>
      <c r="T19" s="14">
        <v>7.0000000000000007E-2</v>
      </c>
      <c r="U19" s="14">
        <v>0.05</v>
      </c>
      <c r="V19" s="14">
        <v>0.06</v>
      </c>
      <c r="W19" s="14">
        <v>0.04</v>
      </c>
      <c r="X19" s="14">
        <v>7.0000000000000007E-2</v>
      </c>
      <c r="Y19" s="14">
        <v>7.0000000000000007E-2</v>
      </c>
      <c r="Z19" s="14">
        <v>0.04</v>
      </c>
      <c r="AA19" s="14">
        <v>0.01</v>
      </c>
      <c r="AB19" s="14">
        <v>0.04</v>
      </c>
      <c r="AC19" s="14">
        <v>0.06</v>
      </c>
      <c r="AD19" s="14">
        <v>0.05</v>
      </c>
      <c r="AE19" s="14">
        <v>0.1</v>
      </c>
      <c r="AF19" s="14">
        <v>0.1</v>
      </c>
    </row>
    <row r="20" spans="1:32">
      <c r="A20" s="19"/>
      <c r="B20" s="11" t="s">
        <v>581</v>
      </c>
      <c r="C20" s="12">
        <v>2477</v>
      </c>
      <c r="D20" s="12">
        <v>107</v>
      </c>
      <c r="E20" s="12">
        <v>129</v>
      </c>
      <c r="F20" s="12">
        <v>136</v>
      </c>
      <c r="G20" s="12">
        <v>113</v>
      </c>
      <c r="H20" s="12">
        <v>183</v>
      </c>
      <c r="I20" s="12">
        <v>211</v>
      </c>
      <c r="J20" s="12">
        <v>28</v>
      </c>
      <c r="K20" s="12">
        <v>135</v>
      </c>
      <c r="L20" s="12">
        <v>80</v>
      </c>
      <c r="M20" s="12">
        <v>76</v>
      </c>
      <c r="N20" s="12">
        <v>30</v>
      </c>
      <c r="O20" s="12">
        <v>107</v>
      </c>
      <c r="P20" s="12">
        <v>85</v>
      </c>
      <c r="Q20" s="12">
        <v>54</v>
      </c>
      <c r="R20" s="12">
        <v>47</v>
      </c>
      <c r="S20" s="12">
        <v>148</v>
      </c>
      <c r="T20" s="12">
        <v>162</v>
      </c>
      <c r="U20" s="12">
        <v>46</v>
      </c>
      <c r="V20" s="12">
        <v>120</v>
      </c>
      <c r="W20" s="12">
        <v>40</v>
      </c>
      <c r="X20" s="12">
        <v>106</v>
      </c>
      <c r="Y20" s="12">
        <v>99</v>
      </c>
      <c r="Z20" s="12">
        <v>80</v>
      </c>
      <c r="AA20" s="12">
        <v>100</v>
      </c>
      <c r="AB20" s="12">
        <v>79</v>
      </c>
      <c r="AC20" s="12">
        <v>122</v>
      </c>
      <c r="AD20" s="12">
        <v>126</v>
      </c>
      <c r="AE20" s="12">
        <v>118</v>
      </c>
      <c r="AF20" s="12">
        <v>120</v>
      </c>
    </row>
    <row r="21" spans="1:32">
      <c r="A21" s="19"/>
      <c r="B21" s="13" t="s">
        <v>581</v>
      </c>
      <c r="C21" s="14">
        <v>0.09</v>
      </c>
      <c r="D21" s="14">
        <v>0.1</v>
      </c>
      <c r="E21" s="14">
        <v>0.12</v>
      </c>
      <c r="F21" s="14">
        <v>0.13</v>
      </c>
      <c r="G21" s="14">
        <v>0.11</v>
      </c>
      <c r="H21" s="14">
        <v>0.15</v>
      </c>
      <c r="I21" s="14">
        <v>0.14000000000000001</v>
      </c>
      <c r="J21" s="14">
        <v>0.09</v>
      </c>
      <c r="K21" s="14">
        <v>0.13</v>
      </c>
      <c r="L21" s="14">
        <v>0.08</v>
      </c>
      <c r="M21" s="14">
        <v>0.08</v>
      </c>
      <c r="N21" s="14">
        <v>0.03</v>
      </c>
      <c r="O21" s="14">
        <v>0.11</v>
      </c>
      <c r="P21" s="14">
        <v>0.09</v>
      </c>
      <c r="Q21" s="14">
        <v>0.05</v>
      </c>
      <c r="R21" s="14">
        <v>0.1</v>
      </c>
      <c r="S21" s="14">
        <v>0.15</v>
      </c>
      <c r="T21" s="14">
        <v>0.16</v>
      </c>
      <c r="U21" s="14">
        <v>0.09</v>
      </c>
      <c r="V21" s="14">
        <v>0.12</v>
      </c>
      <c r="W21" s="14">
        <v>0.08</v>
      </c>
      <c r="X21" s="14">
        <v>0.11</v>
      </c>
      <c r="Y21" s="14">
        <v>0.1</v>
      </c>
      <c r="Z21" s="14">
        <v>0.08</v>
      </c>
      <c r="AA21" s="14">
        <v>0.1</v>
      </c>
      <c r="AB21" s="14">
        <v>0.08</v>
      </c>
      <c r="AC21" s="14">
        <v>0.12</v>
      </c>
      <c r="AD21" s="14">
        <v>0.13</v>
      </c>
      <c r="AE21" s="14">
        <v>0.12</v>
      </c>
      <c r="AF21" s="14">
        <v>0.12</v>
      </c>
    </row>
    <row r="22" spans="1:32">
      <c r="A22" s="19"/>
      <c r="B22" s="11" t="s">
        <v>582</v>
      </c>
      <c r="C22" s="12">
        <v>2920</v>
      </c>
      <c r="D22" s="12">
        <v>142</v>
      </c>
      <c r="E22" s="12">
        <v>117</v>
      </c>
      <c r="F22" s="12">
        <v>154</v>
      </c>
      <c r="G22" s="12">
        <v>96</v>
      </c>
      <c r="H22" s="12">
        <v>164</v>
      </c>
      <c r="I22" s="12">
        <v>195</v>
      </c>
      <c r="J22" s="12">
        <v>32</v>
      </c>
      <c r="K22" s="12">
        <v>121</v>
      </c>
      <c r="L22" s="12">
        <v>81</v>
      </c>
      <c r="M22" s="12">
        <v>87</v>
      </c>
      <c r="N22" s="12">
        <v>79</v>
      </c>
      <c r="O22" s="12">
        <v>108</v>
      </c>
      <c r="P22" s="12">
        <v>113</v>
      </c>
      <c r="Q22" s="12">
        <v>66</v>
      </c>
      <c r="R22" s="12">
        <v>36</v>
      </c>
      <c r="S22" s="12">
        <v>99</v>
      </c>
      <c r="T22" s="12">
        <v>148</v>
      </c>
      <c r="U22" s="12">
        <v>70</v>
      </c>
      <c r="V22" s="12">
        <v>153</v>
      </c>
      <c r="W22" s="12">
        <v>35</v>
      </c>
      <c r="X22" s="12">
        <v>162</v>
      </c>
      <c r="Y22" s="12">
        <v>113</v>
      </c>
      <c r="Z22" s="12">
        <v>117</v>
      </c>
      <c r="AA22" s="12">
        <v>164</v>
      </c>
      <c r="AB22" s="12">
        <v>143</v>
      </c>
      <c r="AC22" s="12">
        <v>100</v>
      </c>
      <c r="AD22" s="12">
        <v>154</v>
      </c>
      <c r="AE22" s="12">
        <v>149</v>
      </c>
      <c r="AF22" s="12">
        <v>111</v>
      </c>
    </row>
    <row r="23" spans="1:32">
      <c r="A23" s="19"/>
      <c r="B23" s="13" t="s">
        <v>582</v>
      </c>
      <c r="C23" s="14">
        <v>0.11</v>
      </c>
      <c r="D23" s="14">
        <v>0.14000000000000001</v>
      </c>
      <c r="E23" s="14">
        <v>0.11</v>
      </c>
      <c r="F23" s="14">
        <v>0.15</v>
      </c>
      <c r="G23" s="14">
        <v>0.09</v>
      </c>
      <c r="H23" s="14">
        <v>0.13</v>
      </c>
      <c r="I23" s="14">
        <v>0.13</v>
      </c>
      <c r="J23" s="14">
        <v>0.11</v>
      </c>
      <c r="K23" s="14">
        <v>0.12</v>
      </c>
      <c r="L23" s="14">
        <v>0.08</v>
      </c>
      <c r="M23" s="14">
        <v>0.09</v>
      </c>
      <c r="N23" s="14">
        <v>0.08</v>
      </c>
      <c r="O23" s="14">
        <v>0.11</v>
      </c>
      <c r="P23" s="14">
        <v>0.11</v>
      </c>
      <c r="Q23" s="14">
        <v>7.0000000000000007E-2</v>
      </c>
      <c r="R23" s="14">
        <v>7.0000000000000007E-2</v>
      </c>
      <c r="S23" s="14">
        <v>0.1</v>
      </c>
      <c r="T23" s="14">
        <v>0.14000000000000001</v>
      </c>
      <c r="U23" s="14">
        <v>0.14000000000000001</v>
      </c>
      <c r="V23" s="14">
        <v>0.15</v>
      </c>
      <c r="W23" s="14">
        <v>7.0000000000000007E-2</v>
      </c>
      <c r="X23" s="14">
        <v>0.16</v>
      </c>
      <c r="Y23" s="14">
        <v>0.11</v>
      </c>
      <c r="Z23" s="14">
        <v>0.12</v>
      </c>
      <c r="AA23" s="14">
        <v>0.16</v>
      </c>
      <c r="AB23" s="14">
        <v>0.14000000000000001</v>
      </c>
      <c r="AC23" s="14">
        <v>0.1</v>
      </c>
      <c r="AD23" s="14">
        <v>0.15</v>
      </c>
      <c r="AE23" s="14">
        <v>0.15</v>
      </c>
      <c r="AF23" s="14">
        <v>0.11</v>
      </c>
    </row>
    <row r="24" spans="1:32">
      <c r="A24" s="19"/>
      <c r="B24" s="11" t="s">
        <v>583</v>
      </c>
      <c r="C24" s="12">
        <v>4312</v>
      </c>
      <c r="D24" s="12">
        <v>200</v>
      </c>
      <c r="E24" s="12">
        <v>146</v>
      </c>
      <c r="F24" s="12">
        <v>167</v>
      </c>
      <c r="G24" s="12">
        <v>139</v>
      </c>
      <c r="H24" s="12">
        <v>166</v>
      </c>
      <c r="I24" s="12">
        <v>210</v>
      </c>
      <c r="J24" s="12">
        <v>44</v>
      </c>
      <c r="K24" s="12">
        <v>130</v>
      </c>
      <c r="L24" s="12">
        <v>151</v>
      </c>
      <c r="M24" s="12">
        <v>147</v>
      </c>
      <c r="N24" s="12">
        <v>142</v>
      </c>
      <c r="O24" s="12">
        <v>187</v>
      </c>
      <c r="P24" s="12">
        <v>171</v>
      </c>
      <c r="Q24" s="12">
        <v>155</v>
      </c>
      <c r="R24" s="12">
        <v>76</v>
      </c>
      <c r="S24" s="12">
        <v>141</v>
      </c>
      <c r="T24" s="12">
        <v>176</v>
      </c>
      <c r="U24" s="12">
        <v>106</v>
      </c>
      <c r="V24" s="12">
        <v>175</v>
      </c>
      <c r="W24" s="12">
        <v>60</v>
      </c>
      <c r="X24" s="12">
        <v>226</v>
      </c>
      <c r="Y24" s="12">
        <v>153</v>
      </c>
      <c r="Z24" s="12">
        <v>207</v>
      </c>
      <c r="AA24" s="12">
        <v>165</v>
      </c>
      <c r="AB24" s="12">
        <v>182</v>
      </c>
      <c r="AC24" s="12">
        <v>150</v>
      </c>
      <c r="AD24" s="12">
        <v>209</v>
      </c>
      <c r="AE24" s="12">
        <v>144</v>
      </c>
      <c r="AF24" s="12">
        <v>165</v>
      </c>
    </row>
    <row r="25" spans="1:32">
      <c r="A25" s="19"/>
      <c r="B25" s="13" t="s">
        <v>583</v>
      </c>
      <c r="C25" s="14">
        <v>0.16</v>
      </c>
      <c r="D25" s="14">
        <v>0.19</v>
      </c>
      <c r="E25" s="14">
        <v>0.14000000000000001</v>
      </c>
      <c r="F25" s="14">
        <v>0.16</v>
      </c>
      <c r="G25" s="14">
        <v>0.14000000000000001</v>
      </c>
      <c r="H25" s="14">
        <v>0.13</v>
      </c>
      <c r="I25" s="14">
        <v>0.14000000000000001</v>
      </c>
      <c r="J25" s="14">
        <v>0.15</v>
      </c>
      <c r="K25" s="14">
        <v>0.13</v>
      </c>
      <c r="L25" s="14">
        <v>0.15</v>
      </c>
      <c r="M25" s="14">
        <v>0.15</v>
      </c>
      <c r="N25" s="14">
        <v>0.14000000000000001</v>
      </c>
      <c r="O25" s="14">
        <v>0.19</v>
      </c>
      <c r="P25" s="14">
        <v>0.17</v>
      </c>
      <c r="Q25" s="14">
        <v>0.15</v>
      </c>
      <c r="R25" s="14">
        <v>0.15</v>
      </c>
      <c r="S25" s="14">
        <v>0.14000000000000001</v>
      </c>
      <c r="T25" s="14">
        <v>0.17</v>
      </c>
      <c r="U25" s="14">
        <v>0.21</v>
      </c>
      <c r="V25" s="14">
        <v>0.17</v>
      </c>
      <c r="W25" s="14">
        <v>0.12</v>
      </c>
      <c r="X25" s="14">
        <v>0.22</v>
      </c>
      <c r="Y25" s="14">
        <v>0.15</v>
      </c>
      <c r="Z25" s="14">
        <v>0.2</v>
      </c>
      <c r="AA25" s="14">
        <v>0.16</v>
      </c>
      <c r="AB25" s="14">
        <v>0.17</v>
      </c>
      <c r="AC25" s="14">
        <v>0.15</v>
      </c>
      <c r="AD25" s="14">
        <v>0.21</v>
      </c>
      <c r="AE25" s="14">
        <v>0.14000000000000001</v>
      </c>
      <c r="AF25" s="14">
        <v>0.16</v>
      </c>
    </row>
    <row r="26" spans="1:32">
      <c r="A26" s="19"/>
      <c r="B26" s="11" t="s">
        <v>584</v>
      </c>
      <c r="C26" s="12">
        <v>5683</v>
      </c>
      <c r="D26" s="12">
        <v>242</v>
      </c>
      <c r="E26" s="12">
        <v>157</v>
      </c>
      <c r="F26" s="12">
        <v>174</v>
      </c>
      <c r="G26" s="12">
        <v>136</v>
      </c>
      <c r="H26" s="12">
        <v>188</v>
      </c>
      <c r="I26" s="12">
        <v>252</v>
      </c>
      <c r="J26" s="12">
        <v>63</v>
      </c>
      <c r="K26" s="12">
        <v>115</v>
      </c>
      <c r="L26" s="12">
        <v>227</v>
      </c>
      <c r="M26" s="12">
        <v>266</v>
      </c>
      <c r="N26" s="12">
        <v>236</v>
      </c>
      <c r="O26" s="12">
        <v>232</v>
      </c>
      <c r="P26" s="12">
        <v>195</v>
      </c>
      <c r="Q26" s="12">
        <v>282</v>
      </c>
      <c r="R26" s="12">
        <v>116</v>
      </c>
      <c r="S26" s="12">
        <v>150</v>
      </c>
      <c r="T26" s="12">
        <v>135</v>
      </c>
      <c r="U26" s="12">
        <v>86</v>
      </c>
      <c r="V26" s="12">
        <v>204</v>
      </c>
      <c r="W26" s="12">
        <v>82</v>
      </c>
      <c r="X26" s="12">
        <v>214</v>
      </c>
      <c r="Y26" s="12">
        <v>131</v>
      </c>
      <c r="Z26" s="12">
        <v>266</v>
      </c>
      <c r="AA26" s="12">
        <v>231</v>
      </c>
      <c r="AB26" s="12">
        <v>243</v>
      </c>
      <c r="AC26" s="12">
        <v>122</v>
      </c>
      <c r="AD26" s="12">
        <v>176</v>
      </c>
      <c r="AE26" s="12">
        <v>166</v>
      </c>
      <c r="AF26" s="12">
        <v>161</v>
      </c>
    </row>
    <row r="27" spans="1:32">
      <c r="A27" s="19"/>
      <c r="B27" s="13" t="s">
        <v>584</v>
      </c>
      <c r="C27" s="14">
        <v>0.22</v>
      </c>
      <c r="D27" s="14">
        <v>0.24</v>
      </c>
      <c r="E27" s="14">
        <v>0.15</v>
      </c>
      <c r="F27" s="14">
        <v>0.16</v>
      </c>
      <c r="G27" s="14">
        <v>0.13</v>
      </c>
      <c r="H27" s="14">
        <v>0.15</v>
      </c>
      <c r="I27" s="14">
        <v>0.16</v>
      </c>
      <c r="J27" s="14">
        <v>0.21</v>
      </c>
      <c r="K27" s="14">
        <v>0.11</v>
      </c>
      <c r="L27" s="14">
        <v>0.23</v>
      </c>
      <c r="M27" s="14">
        <v>0.26</v>
      </c>
      <c r="N27" s="14">
        <v>0.23</v>
      </c>
      <c r="O27" s="14">
        <v>0.23</v>
      </c>
      <c r="P27" s="14">
        <v>0.19</v>
      </c>
      <c r="Q27" s="14">
        <v>0.28000000000000003</v>
      </c>
      <c r="R27" s="14">
        <v>0.23</v>
      </c>
      <c r="S27" s="14">
        <v>0.15</v>
      </c>
      <c r="T27" s="14">
        <v>0.13</v>
      </c>
      <c r="U27" s="14">
        <v>0.17</v>
      </c>
      <c r="V27" s="14">
        <v>0.2</v>
      </c>
      <c r="W27" s="14">
        <v>0.16</v>
      </c>
      <c r="X27" s="14">
        <v>0.21</v>
      </c>
      <c r="Y27" s="14">
        <v>0.13</v>
      </c>
      <c r="Z27" s="14">
        <v>0.26</v>
      </c>
      <c r="AA27" s="14">
        <v>0.22</v>
      </c>
      <c r="AB27" s="14">
        <v>0.23</v>
      </c>
      <c r="AC27" s="14">
        <v>0.12</v>
      </c>
      <c r="AD27" s="14">
        <v>0.17</v>
      </c>
      <c r="AE27" s="14">
        <v>0.17</v>
      </c>
      <c r="AF27" s="14">
        <v>0.16</v>
      </c>
    </row>
    <row r="28" spans="1:32">
      <c r="A28" s="19"/>
      <c r="B28" s="11" t="s">
        <v>585</v>
      </c>
      <c r="C28" s="12">
        <v>3362</v>
      </c>
      <c r="D28" s="12">
        <v>113</v>
      </c>
      <c r="E28" s="12">
        <v>86</v>
      </c>
      <c r="F28" s="12">
        <v>76</v>
      </c>
      <c r="G28" s="12">
        <v>58</v>
      </c>
      <c r="H28" s="12">
        <v>98</v>
      </c>
      <c r="I28" s="12">
        <v>129</v>
      </c>
      <c r="J28" s="12">
        <v>31</v>
      </c>
      <c r="K28" s="12">
        <v>86</v>
      </c>
      <c r="L28" s="12">
        <v>89</v>
      </c>
      <c r="M28" s="12">
        <v>197</v>
      </c>
      <c r="N28" s="12">
        <v>202</v>
      </c>
      <c r="O28" s="12">
        <v>109</v>
      </c>
      <c r="P28" s="12">
        <v>127</v>
      </c>
      <c r="Q28" s="12">
        <v>198</v>
      </c>
      <c r="R28" s="12">
        <v>67</v>
      </c>
      <c r="S28" s="12">
        <v>78</v>
      </c>
      <c r="T28" s="12">
        <v>58</v>
      </c>
      <c r="U28" s="12">
        <v>50</v>
      </c>
      <c r="V28" s="12">
        <v>100</v>
      </c>
      <c r="W28" s="12">
        <v>107</v>
      </c>
      <c r="X28" s="12">
        <v>76</v>
      </c>
      <c r="Y28" s="12">
        <v>129</v>
      </c>
      <c r="Z28" s="12">
        <v>132</v>
      </c>
      <c r="AA28" s="12">
        <v>159</v>
      </c>
      <c r="AB28" s="12">
        <v>144</v>
      </c>
      <c r="AC28" s="12">
        <v>65</v>
      </c>
      <c r="AD28" s="12">
        <v>106</v>
      </c>
      <c r="AE28" s="12">
        <v>95</v>
      </c>
      <c r="AF28" s="12">
        <v>82</v>
      </c>
    </row>
    <row r="29" spans="1:32">
      <c r="A29" s="19"/>
      <c r="B29" s="13" t="s">
        <v>585</v>
      </c>
      <c r="C29" s="14">
        <v>0.13</v>
      </c>
      <c r="D29" s="14">
        <v>0.11</v>
      </c>
      <c r="E29" s="14">
        <v>0.08</v>
      </c>
      <c r="F29" s="14">
        <v>7.0000000000000007E-2</v>
      </c>
      <c r="G29" s="14">
        <v>0.06</v>
      </c>
      <c r="H29" s="14">
        <v>0.08</v>
      </c>
      <c r="I29" s="14">
        <v>0.08</v>
      </c>
      <c r="J29" s="14">
        <v>0.1</v>
      </c>
      <c r="K29" s="14">
        <v>0.08</v>
      </c>
      <c r="L29" s="14">
        <v>0.09</v>
      </c>
      <c r="M29" s="14">
        <v>0.2</v>
      </c>
      <c r="N29" s="14">
        <v>0.2</v>
      </c>
      <c r="O29" s="14">
        <v>0.11</v>
      </c>
      <c r="P29" s="14">
        <v>0.13</v>
      </c>
      <c r="Q29" s="14">
        <v>0.19</v>
      </c>
      <c r="R29" s="14">
        <v>0.13</v>
      </c>
      <c r="S29" s="14">
        <v>0.08</v>
      </c>
      <c r="T29" s="14">
        <v>0.06</v>
      </c>
      <c r="U29" s="14">
        <v>0.1</v>
      </c>
      <c r="V29" s="14">
        <v>0.1</v>
      </c>
      <c r="W29" s="14">
        <v>0.21</v>
      </c>
      <c r="X29" s="14">
        <v>7.0000000000000007E-2</v>
      </c>
      <c r="Y29" s="14">
        <v>0.13</v>
      </c>
      <c r="Z29" s="14">
        <v>0.13</v>
      </c>
      <c r="AA29" s="14">
        <v>0.15</v>
      </c>
      <c r="AB29" s="14">
        <v>0.14000000000000001</v>
      </c>
      <c r="AC29" s="14">
        <v>7.0000000000000007E-2</v>
      </c>
      <c r="AD29" s="14">
        <v>0.11</v>
      </c>
      <c r="AE29" s="14">
        <v>0.09</v>
      </c>
      <c r="AF29" s="14">
        <v>0.08</v>
      </c>
    </row>
    <row r="30" spans="1:32">
      <c r="A30" s="19"/>
      <c r="B30" s="11" t="s">
        <v>586</v>
      </c>
      <c r="C30" s="12">
        <v>4306</v>
      </c>
      <c r="D30" s="12">
        <v>101</v>
      </c>
      <c r="E30" s="12">
        <v>165</v>
      </c>
      <c r="F30" s="12">
        <v>128</v>
      </c>
      <c r="G30" s="12">
        <v>79</v>
      </c>
      <c r="H30" s="12">
        <v>178</v>
      </c>
      <c r="I30" s="12">
        <v>220</v>
      </c>
      <c r="J30" s="12">
        <v>42</v>
      </c>
      <c r="K30" s="12">
        <v>127</v>
      </c>
      <c r="L30" s="12">
        <v>217</v>
      </c>
      <c r="M30" s="12">
        <v>125</v>
      </c>
      <c r="N30" s="12">
        <v>279</v>
      </c>
      <c r="O30" s="12">
        <v>164</v>
      </c>
      <c r="P30" s="12">
        <v>181</v>
      </c>
      <c r="Q30" s="12">
        <v>225</v>
      </c>
      <c r="R30" s="12">
        <v>111</v>
      </c>
      <c r="S30" s="12">
        <v>173</v>
      </c>
      <c r="T30" s="12">
        <v>88</v>
      </c>
      <c r="U30" s="12">
        <v>84</v>
      </c>
      <c r="V30" s="12">
        <v>117</v>
      </c>
      <c r="W30" s="12">
        <v>119</v>
      </c>
      <c r="X30" s="12">
        <v>67</v>
      </c>
      <c r="Y30" s="12">
        <v>161</v>
      </c>
      <c r="Z30" s="12">
        <v>134</v>
      </c>
      <c r="AA30" s="12">
        <v>175</v>
      </c>
      <c r="AB30" s="12">
        <v>119</v>
      </c>
      <c r="AC30" s="12">
        <v>203</v>
      </c>
      <c r="AD30" s="12">
        <v>65</v>
      </c>
      <c r="AE30" s="12">
        <v>84</v>
      </c>
      <c r="AF30" s="12">
        <v>127</v>
      </c>
    </row>
    <row r="31" spans="1:32">
      <c r="A31" s="19"/>
      <c r="B31" s="13" t="s">
        <v>587</v>
      </c>
      <c r="C31" s="14">
        <v>0.16</v>
      </c>
      <c r="D31" s="14">
        <v>0.1</v>
      </c>
      <c r="E31" s="14">
        <v>0.16</v>
      </c>
      <c r="F31" s="14">
        <v>0.12</v>
      </c>
      <c r="G31" s="14">
        <v>0.08</v>
      </c>
      <c r="H31" s="14">
        <v>0.14000000000000001</v>
      </c>
      <c r="I31" s="14">
        <v>0.14000000000000001</v>
      </c>
      <c r="J31" s="14">
        <v>0.14000000000000001</v>
      </c>
      <c r="K31" s="14">
        <v>0.13</v>
      </c>
      <c r="L31" s="14">
        <v>0.22</v>
      </c>
      <c r="M31" s="14">
        <v>0.12</v>
      </c>
      <c r="N31" s="14">
        <v>0.28000000000000003</v>
      </c>
      <c r="O31" s="14">
        <v>0.16</v>
      </c>
      <c r="P31" s="14">
        <v>0.18</v>
      </c>
      <c r="Q31" s="14">
        <v>0.22</v>
      </c>
      <c r="R31" s="14">
        <v>0.22</v>
      </c>
      <c r="S31" s="14">
        <v>0.17</v>
      </c>
      <c r="T31" s="14">
        <v>0.09</v>
      </c>
      <c r="U31" s="14">
        <v>0.16</v>
      </c>
      <c r="V31" s="14">
        <v>0.11</v>
      </c>
      <c r="W31" s="14">
        <v>0.24</v>
      </c>
      <c r="X31" s="14">
        <v>7.0000000000000007E-2</v>
      </c>
      <c r="Y31" s="14">
        <v>0.16</v>
      </c>
      <c r="Z31" s="14">
        <v>0.13</v>
      </c>
      <c r="AA31" s="14">
        <v>0.17</v>
      </c>
      <c r="AB31" s="14">
        <v>0.11</v>
      </c>
      <c r="AC31" s="14">
        <v>0.2</v>
      </c>
      <c r="AD31" s="14">
        <v>7.0000000000000007E-2</v>
      </c>
      <c r="AE31" s="14">
        <v>0.08</v>
      </c>
      <c r="AF31" s="14">
        <v>0.12</v>
      </c>
    </row>
    <row r="32" spans="1:32">
      <c r="A32" s="19"/>
      <c r="B32" s="11" t="s">
        <v>386</v>
      </c>
      <c r="C32" s="12">
        <v>241</v>
      </c>
      <c r="D32" s="12">
        <v>1</v>
      </c>
      <c r="E32" s="12">
        <v>9</v>
      </c>
      <c r="F32" s="12">
        <v>11</v>
      </c>
      <c r="G32" s="12">
        <v>13</v>
      </c>
      <c r="H32" s="12">
        <v>8</v>
      </c>
      <c r="I32" s="12">
        <v>12</v>
      </c>
      <c r="J32" s="12">
        <v>4</v>
      </c>
      <c r="K32" s="12">
        <v>11</v>
      </c>
      <c r="L32" s="12">
        <v>2</v>
      </c>
      <c r="M32" s="12">
        <v>14</v>
      </c>
      <c r="N32" s="12">
        <v>15</v>
      </c>
      <c r="O32" s="12">
        <v>12</v>
      </c>
      <c r="P32" s="12">
        <v>12</v>
      </c>
      <c r="Q32" s="12">
        <v>4</v>
      </c>
      <c r="R32" s="12">
        <v>4</v>
      </c>
      <c r="S32" s="12">
        <v>15</v>
      </c>
      <c r="T32" s="12">
        <v>16</v>
      </c>
      <c r="U32" s="12">
        <v>4</v>
      </c>
      <c r="V32" s="12">
        <v>3</v>
      </c>
      <c r="W32" s="12">
        <v>5</v>
      </c>
      <c r="X32" s="12">
        <v>2</v>
      </c>
      <c r="Y32" s="12">
        <v>12</v>
      </c>
      <c r="Z32" s="12">
        <v>8</v>
      </c>
      <c r="AA32" s="12">
        <v>22</v>
      </c>
      <c r="AB32" s="12">
        <v>22</v>
      </c>
      <c r="AC32" s="12">
        <v>2</v>
      </c>
      <c r="AD32" s="12">
        <v>3</v>
      </c>
      <c r="AE32" s="12">
        <v>2</v>
      </c>
      <c r="AF32" s="12">
        <v>1</v>
      </c>
    </row>
    <row r="33" spans="1:32">
      <c r="A33" s="19"/>
      <c r="B33" s="13" t="s">
        <v>399</v>
      </c>
      <c r="C33" s="14">
        <v>0.01</v>
      </c>
      <c r="D33" s="15" t="s">
        <v>375</v>
      </c>
      <c r="E33" s="14">
        <v>0.01</v>
      </c>
      <c r="F33" s="14">
        <v>0.01</v>
      </c>
      <c r="G33" s="14">
        <v>0.01</v>
      </c>
      <c r="H33" s="14">
        <v>0.01</v>
      </c>
      <c r="I33" s="14">
        <v>0.01</v>
      </c>
      <c r="J33" s="14">
        <v>0.01</v>
      </c>
      <c r="K33" s="14">
        <v>0.01</v>
      </c>
      <c r="L33" s="15" t="s">
        <v>375</v>
      </c>
      <c r="M33" s="14">
        <v>0.01</v>
      </c>
      <c r="N33" s="14">
        <v>0.01</v>
      </c>
      <c r="O33" s="14">
        <v>0.01</v>
      </c>
      <c r="P33" s="14">
        <v>0.01</v>
      </c>
      <c r="Q33" s="15" t="s">
        <v>375</v>
      </c>
      <c r="R33" s="14">
        <v>0.01</v>
      </c>
      <c r="S33" s="14">
        <v>0.01</v>
      </c>
      <c r="T33" s="14">
        <v>0.02</v>
      </c>
      <c r="U33" s="14">
        <v>0.01</v>
      </c>
      <c r="V33" s="15" t="s">
        <v>375</v>
      </c>
      <c r="W33" s="14">
        <v>0.01</v>
      </c>
      <c r="X33" s="15" t="s">
        <v>375</v>
      </c>
      <c r="Y33" s="14">
        <v>0.01</v>
      </c>
      <c r="Z33" s="14">
        <v>0.01</v>
      </c>
      <c r="AA33" s="14">
        <v>0.02</v>
      </c>
      <c r="AB33" s="14">
        <v>0.02</v>
      </c>
      <c r="AC33" s="15" t="s">
        <v>375</v>
      </c>
      <c r="AD33" s="15" t="s">
        <v>375</v>
      </c>
      <c r="AE33" s="15" t="s">
        <v>375</v>
      </c>
      <c r="AF33" s="15" t="s">
        <v>375</v>
      </c>
    </row>
    <row r="34" spans="1:32">
      <c r="A34" s="19"/>
      <c r="B34" s="11" t="s">
        <v>588</v>
      </c>
      <c r="C34" s="12">
        <v>3151</v>
      </c>
      <c r="D34" s="12">
        <v>115</v>
      </c>
      <c r="E34" s="12">
        <v>237</v>
      </c>
      <c r="F34" s="12">
        <v>217</v>
      </c>
      <c r="G34" s="12">
        <v>382</v>
      </c>
      <c r="H34" s="12">
        <v>245</v>
      </c>
      <c r="I34" s="12">
        <v>298</v>
      </c>
      <c r="J34" s="12">
        <v>53</v>
      </c>
      <c r="K34" s="12">
        <v>282</v>
      </c>
      <c r="L34" s="12">
        <v>159</v>
      </c>
      <c r="M34" s="12">
        <v>94</v>
      </c>
      <c r="N34" s="12">
        <v>29</v>
      </c>
      <c r="O34" s="12">
        <v>85</v>
      </c>
      <c r="P34" s="12">
        <v>119</v>
      </c>
      <c r="Q34" s="12">
        <v>47</v>
      </c>
      <c r="R34" s="12">
        <v>44</v>
      </c>
      <c r="S34" s="12">
        <v>201</v>
      </c>
      <c r="T34" s="12">
        <v>240</v>
      </c>
      <c r="U34" s="12">
        <v>62</v>
      </c>
      <c r="V34" s="12">
        <v>154</v>
      </c>
      <c r="W34" s="12">
        <v>55</v>
      </c>
      <c r="X34" s="12">
        <v>157</v>
      </c>
      <c r="Y34" s="12">
        <v>206</v>
      </c>
      <c r="Z34" s="12">
        <v>72</v>
      </c>
      <c r="AA34" s="12">
        <v>21</v>
      </c>
      <c r="AB34" s="12">
        <v>109</v>
      </c>
      <c r="AC34" s="12">
        <v>241</v>
      </c>
      <c r="AD34" s="12">
        <v>163</v>
      </c>
      <c r="AE34" s="12">
        <v>243</v>
      </c>
      <c r="AF34" s="12">
        <v>263</v>
      </c>
    </row>
    <row r="35" spans="1:32">
      <c r="A35" s="19"/>
      <c r="B35" s="13" t="s">
        <v>589</v>
      </c>
      <c r="C35" s="14">
        <v>0.12</v>
      </c>
      <c r="D35" s="14">
        <v>0.12</v>
      </c>
      <c r="E35" s="14">
        <v>0.23</v>
      </c>
      <c r="F35" s="14">
        <v>0.2</v>
      </c>
      <c r="G35" s="14">
        <v>0.38</v>
      </c>
      <c r="H35" s="14">
        <v>0.21</v>
      </c>
      <c r="I35" s="14">
        <v>0.2</v>
      </c>
      <c r="J35" s="14">
        <v>0.19</v>
      </c>
      <c r="K35" s="14">
        <v>0.28999999999999998</v>
      </c>
      <c r="L35" s="14">
        <v>0.15</v>
      </c>
      <c r="M35" s="14">
        <v>0.09</v>
      </c>
      <c r="N35" s="14">
        <v>0.03</v>
      </c>
      <c r="O35" s="14">
        <v>0.08</v>
      </c>
      <c r="P35" s="14">
        <v>0.12</v>
      </c>
      <c r="Q35" s="14">
        <v>0.04</v>
      </c>
      <c r="R35" s="14">
        <v>0.09</v>
      </c>
      <c r="S35" s="14">
        <v>0.2</v>
      </c>
      <c r="T35" s="14">
        <v>0.23</v>
      </c>
      <c r="U35" s="14">
        <v>0.12</v>
      </c>
      <c r="V35" s="14">
        <v>0.15</v>
      </c>
      <c r="W35" s="14">
        <v>0.11</v>
      </c>
      <c r="X35" s="14">
        <v>0.16</v>
      </c>
      <c r="Y35" s="14">
        <v>0.21</v>
      </c>
      <c r="Z35" s="14">
        <v>7.0000000000000007E-2</v>
      </c>
      <c r="AA35" s="14">
        <v>0.02</v>
      </c>
      <c r="AB35" s="14">
        <v>0.11</v>
      </c>
      <c r="AC35" s="14">
        <v>0.24</v>
      </c>
      <c r="AD35" s="14">
        <v>0.16</v>
      </c>
      <c r="AE35" s="14">
        <v>0.25</v>
      </c>
      <c r="AF35" s="14">
        <v>0.25</v>
      </c>
    </row>
    <row r="36" spans="1:32">
      <c r="A36" s="19"/>
      <c r="B36" s="11" t="s">
        <v>590</v>
      </c>
      <c r="C36" s="12">
        <v>5397</v>
      </c>
      <c r="D36" s="12">
        <v>249</v>
      </c>
      <c r="E36" s="12">
        <v>246</v>
      </c>
      <c r="F36" s="12">
        <v>290</v>
      </c>
      <c r="G36" s="12">
        <v>209</v>
      </c>
      <c r="H36" s="12">
        <v>347</v>
      </c>
      <c r="I36" s="12">
        <v>406</v>
      </c>
      <c r="J36" s="12">
        <v>60</v>
      </c>
      <c r="K36" s="12">
        <v>256</v>
      </c>
      <c r="L36" s="12">
        <v>161</v>
      </c>
      <c r="M36" s="12">
        <v>163</v>
      </c>
      <c r="N36" s="12">
        <v>109</v>
      </c>
      <c r="O36" s="12">
        <v>215</v>
      </c>
      <c r="P36" s="12">
        <v>198</v>
      </c>
      <c r="Q36" s="12">
        <v>120</v>
      </c>
      <c r="R36" s="12">
        <v>83</v>
      </c>
      <c r="S36" s="12">
        <v>247</v>
      </c>
      <c r="T36" s="12">
        <v>310</v>
      </c>
      <c r="U36" s="12">
        <v>116</v>
      </c>
      <c r="V36" s="12">
        <v>273</v>
      </c>
      <c r="W36" s="12">
        <v>75</v>
      </c>
      <c r="X36" s="12">
        <v>268</v>
      </c>
      <c r="Y36" s="12">
        <v>212</v>
      </c>
      <c r="Z36" s="12">
        <v>197</v>
      </c>
      <c r="AA36" s="12">
        <v>264</v>
      </c>
      <c r="AB36" s="12">
        <v>222</v>
      </c>
      <c r="AC36" s="12">
        <v>222</v>
      </c>
      <c r="AD36" s="12">
        <v>280</v>
      </c>
      <c r="AE36" s="12">
        <v>267</v>
      </c>
      <c r="AF36" s="12">
        <v>231</v>
      </c>
    </row>
    <row r="37" spans="1:32">
      <c r="A37" s="19"/>
      <c r="B37" s="13" t="s">
        <v>591</v>
      </c>
      <c r="C37" s="14">
        <v>0.2</v>
      </c>
      <c r="D37" s="14">
        <v>0.24</v>
      </c>
      <c r="E37" s="14">
        <v>0.23</v>
      </c>
      <c r="F37" s="14">
        <v>0.28000000000000003</v>
      </c>
      <c r="G37" s="14">
        <v>0.2</v>
      </c>
      <c r="H37" s="14">
        <v>0.28000000000000003</v>
      </c>
      <c r="I37" s="14">
        <v>0.27</v>
      </c>
      <c r="J37" s="14">
        <v>0.2</v>
      </c>
      <c r="K37" s="14">
        <v>0.25</v>
      </c>
      <c r="L37" s="14">
        <v>0.16</v>
      </c>
      <c r="M37" s="14">
        <v>0.17</v>
      </c>
      <c r="N37" s="14">
        <v>0.11</v>
      </c>
      <c r="O37" s="14">
        <v>0.22</v>
      </c>
      <c r="P37" s="14">
        <v>0.2</v>
      </c>
      <c r="Q37" s="14">
        <v>0.12</v>
      </c>
      <c r="R37" s="14">
        <v>0.17</v>
      </c>
      <c r="S37" s="14">
        <v>0.25</v>
      </c>
      <c r="T37" s="14">
        <v>0.3</v>
      </c>
      <c r="U37" s="14">
        <v>0.23</v>
      </c>
      <c r="V37" s="14">
        <v>0.27</v>
      </c>
      <c r="W37" s="14">
        <v>0.15</v>
      </c>
      <c r="X37" s="14">
        <v>0.27</v>
      </c>
      <c r="Y37" s="14">
        <v>0.21</v>
      </c>
      <c r="Z37" s="14">
        <v>0.2</v>
      </c>
      <c r="AA37" s="14">
        <v>0.26</v>
      </c>
      <c r="AB37" s="14">
        <v>0.22</v>
      </c>
      <c r="AC37" s="14">
        <v>0.22</v>
      </c>
      <c r="AD37" s="14">
        <v>0.28000000000000003</v>
      </c>
      <c r="AE37" s="14">
        <v>0.27</v>
      </c>
      <c r="AF37" s="14">
        <v>0.23</v>
      </c>
    </row>
    <row r="38" spans="1:32">
      <c r="A38" s="19"/>
      <c r="B38" s="11" t="s">
        <v>592</v>
      </c>
      <c r="C38" s="12">
        <v>17663</v>
      </c>
      <c r="D38" s="12">
        <v>656</v>
      </c>
      <c r="E38" s="12">
        <v>554</v>
      </c>
      <c r="F38" s="12">
        <v>545</v>
      </c>
      <c r="G38" s="12">
        <v>412</v>
      </c>
      <c r="H38" s="12">
        <v>630</v>
      </c>
      <c r="I38" s="12">
        <v>811</v>
      </c>
      <c r="J38" s="12">
        <v>180</v>
      </c>
      <c r="K38" s="12">
        <v>458</v>
      </c>
      <c r="L38" s="12">
        <v>684</v>
      </c>
      <c r="M38" s="12">
        <v>735</v>
      </c>
      <c r="N38" s="12">
        <v>859</v>
      </c>
      <c r="O38" s="12">
        <v>692</v>
      </c>
      <c r="P38" s="12">
        <v>674</v>
      </c>
      <c r="Q38" s="12">
        <v>860</v>
      </c>
      <c r="R38" s="12">
        <v>370</v>
      </c>
      <c r="S38" s="12">
        <v>542</v>
      </c>
      <c r="T38" s="12">
        <v>457</v>
      </c>
      <c r="U38" s="12">
        <v>326</v>
      </c>
      <c r="V38" s="12">
        <v>596</v>
      </c>
      <c r="W38" s="12">
        <v>368</v>
      </c>
      <c r="X38" s="12">
        <v>583</v>
      </c>
      <c r="Y38" s="12">
        <v>574</v>
      </c>
      <c r="Z38" s="12">
        <v>739</v>
      </c>
      <c r="AA38" s="12">
        <v>730</v>
      </c>
      <c r="AB38" s="12">
        <v>688</v>
      </c>
      <c r="AC38" s="12">
        <v>540</v>
      </c>
      <c r="AD38" s="12">
        <v>556</v>
      </c>
      <c r="AE38" s="12">
        <v>489</v>
      </c>
      <c r="AF38" s="12">
        <v>535</v>
      </c>
    </row>
    <row r="39" spans="1:32">
      <c r="A39" s="19"/>
      <c r="B39" s="13" t="s">
        <v>593</v>
      </c>
      <c r="C39" s="14">
        <v>0.67</v>
      </c>
      <c r="D39" s="14">
        <v>0.64</v>
      </c>
      <c r="E39" s="14">
        <v>0.53</v>
      </c>
      <c r="F39" s="14">
        <v>0.51</v>
      </c>
      <c r="G39" s="14">
        <v>0.41</v>
      </c>
      <c r="H39" s="14">
        <v>0.5</v>
      </c>
      <c r="I39" s="14">
        <v>0.52</v>
      </c>
      <c r="J39" s="14">
        <v>0.6</v>
      </c>
      <c r="K39" s="14">
        <v>0.45</v>
      </c>
      <c r="L39" s="14">
        <v>0.69000000000000006</v>
      </c>
      <c r="M39" s="14">
        <v>0.73</v>
      </c>
      <c r="N39" s="14">
        <v>0.85</v>
      </c>
      <c r="O39" s="14">
        <v>0.69000000000000006</v>
      </c>
      <c r="P39" s="14">
        <v>0.67</v>
      </c>
      <c r="Q39" s="14">
        <v>0.84</v>
      </c>
      <c r="R39" s="14">
        <v>0.73</v>
      </c>
      <c r="S39" s="14">
        <v>0.54</v>
      </c>
      <c r="T39" s="14">
        <v>0.45</v>
      </c>
      <c r="U39" s="14">
        <v>0.64</v>
      </c>
      <c r="V39" s="14">
        <v>0.57999999999999996</v>
      </c>
      <c r="W39" s="14">
        <v>0.73</v>
      </c>
      <c r="X39" s="14">
        <v>0.57000000000000006</v>
      </c>
      <c r="Y39" s="14">
        <v>0.57000000000000006</v>
      </c>
      <c r="Z39" s="14">
        <v>0.72</v>
      </c>
      <c r="AA39" s="14">
        <v>0.70000000000000007</v>
      </c>
      <c r="AB39" s="14">
        <v>0.65</v>
      </c>
      <c r="AC39" s="14">
        <v>0.54</v>
      </c>
      <c r="AD39" s="14">
        <v>0.56000000000000005</v>
      </c>
      <c r="AE39" s="14">
        <v>0.48</v>
      </c>
      <c r="AF39" s="14">
        <v>0.52</v>
      </c>
    </row>
  </sheetData>
  <mergeCells count="10">
    <mergeCell ref="H3:L3"/>
    <mergeCell ref="C8:AF8"/>
    <mergeCell ref="A10:A33"/>
    <mergeCell ref="B3:F3"/>
    <mergeCell ref="B5:F5"/>
    <mergeCell ref="A34:A39"/>
    <mergeCell ref="H5:L5"/>
    <mergeCell ref="B10:B11"/>
    <mergeCell ref="H4:L4"/>
    <mergeCell ref="B4:F4"/>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91</v>
      </c>
      <c r="C3" s="17"/>
      <c r="D3" s="17"/>
      <c r="E3" s="17"/>
      <c r="F3" s="17"/>
      <c r="H3" s="17" t="s">
        <v>92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HYPERLINK("#Content!A47","&lt;&lt;Back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662</v>
      </c>
      <c r="C12" s="12">
        <v>7524</v>
      </c>
      <c r="D12" s="12">
        <v>411</v>
      </c>
      <c r="E12" s="12">
        <v>358</v>
      </c>
      <c r="F12" s="12">
        <v>283</v>
      </c>
      <c r="G12" s="12">
        <v>143</v>
      </c>
      <c r="H12" s="12">
        <v>451</v>
      </c>
      <c r="I12" s="12">
        <v>561</v>
      </c>
      <c r="J12" s="12">
        <v>110</v>
      </c>
      <c r="K12" s="12">
        <v>286</v>
      </c>
      <c r="L12" s="12">
        <v>269</v>
      </c>
      <c r="M12" s="12">
        <v>387</v>
      </c>
      <c r="N12" s="12">
        <v>279</v>
      </c>
      <c r="O12" s="12">
        <v>455</v>
      </c>
      <c r="P12" s="12">
        <v>222</v>
      </c>
      <c r="Q12" s="12">
        <v>131</v>
      </c>
      <c r="R12" s="12">
        <v>165</v>
      </c>
      <c r="S12" s="12">
        <v>164</v>
      </c>
      <c r="T12" s="12">
        <v>207</v>
      </c>
      <c r="U12" s="12">
        <v>174</v>
      </c>
      <c r="V12" s="12">
        <v>126</v>
      </c>
      <c r="W12" s="12">
        <v>128</v>
      </c>
      <c r="X12" s="12">
        <v>196</v>
      </c>
      <c r="Y12" s="12">
        <v>375</v>
      </c>
      <c r="Z12" s="12">
        <v>121</v>
      </c>
      <c r="AA12" s="12">
        <v>320</v>
      </c>
      <c r="AB12" s="12">
        <v>304</v>
      </c>
      <c r="AC12" s="12">
        <v>314</v>
      </c>
      <c r="AD12" s="12">
        <v>399</v>
      </c>
      <c r="AE12" s="12">
        <v>151</v>
      </c>
      <c r="AF12" s="12">
        <v>167</v>
      </c>
    </row>
    <row r="13" spans="1:32">
      <c r="A13" s="19"/>
      <c r="B13" s="13" t="s">
        <v>663</v>
      </c>
      <c r="C13" s="14">
        <v>0.28000000000000003</v>
      </c>
      <c r="D13" s="14">
        <v>0.4</v>
      </c>
      <c r="E13" s="14">
        <v>0.34</v>
      </c>
      <c r="F13" s="14">
        <v>0.27</v>
      </c>
      <c r="G13" s="14">
        <v>0.14000000000000001</v>
      </c>
      <c r="H13" s="14">
        <v>0.37</v>
      </c>
      <c r="I13" s="14">
        <v>0.37</v>
      </c>
      <c r="J13" s="14">
        <v>0.37</v>
      </c>
      <c r="K13" s="14">
        <v>0.28000000000000003</v>
      </c>
      <c r="L13" s="14">
        <v>0.27</v>
      </c>
      <c r="M13" s="14">
        <v>0.39</v>
      </c>
      <c r="N13" s="14">
        <v>0.27</v>
      </c>
      <c r="O13" s="14">
        <v>0.45</v>
      </c>
      <c r="P13" s="14">
        <v>0.22</v>
      </c>
      <c r="Q13" s="14">
        <v>0.13</v>
      </c>
      <c r="R13" s="14">
        <v>0.33</v>
      </c>
      <c r="S13" s="14">
        <v>0.16</v>
      </c>
      <c r="T13" s="14">
        <v>0.2</v>
      </c>
      <c r="U13" s="14">
        <v>0.34</v>
      </c>
      <c r="V13" s="14">
        <v>0.12</v>
      </c>
      <c r="W13" s="14">
        <v>0.26</v>
      </c>
      <c r="X13" s="14">
        <v>0.19</v>
      </c>
      <c r="Y13" s="14">
        <v>0.37</v>
      </c>
      <c r="Z13" s="14">
        <v>0.12</v>
      </c>
      <c r="AA13" s="14">
        <v>0.31</v>
      </c>
      <c r="AB13" s="14">
        <v>0.28999999999999998</v>
      </c>
      <c r="AC13" s="14">
        <v>0.31</v>
      </c>
      <c r="AD13" s="14">
        <v>0.4</v>
      </c>
      <c r="AE13" s="14">
        <v>0.15</v>
      </c>
      <c r="AF13" s="14">
        <v>0.16</v>
      </c>
    </row>
    <row r="14" spans="1:32">
      <c r="A14" s="19"/>
      <c r="B14" s="11" t="s">
        <v>664</v>
      </c>
      <c r="C14" s="12">
        <v>14167</v>
      </c>
      <c r="D14" s="12">
        <v>455</v>
      </c>
      <c r="E14" s="12">
        <v>427</v>
      </c>
      <c r="F14" s="12">
        <v>605</v>
      </c>
      <c r="G14" s="12">
        <v>638</v>
      </c>
      <c r="H14" s="12">
        <v>608</v>
      </c>
      <c r="I14" s="12">
        <v>752</v>
      </c>
      <c r="J14" s="12">
        <v>144</v>
      </c>
      <c r="K14" s="12">
        <v>442</v>
      </c>
      <c r="L14" s="12">
        <v>502</v>
      </c>
      <c r="M14" s="12">
        <v>496</v>
      </c>
      <c r="N14" s="12">
        <v>462</v>
      </c>
      <c r="O14" s="12">
        <v>389</v>
      </c>
      <c r="P14" s="12">
        <v>558</v>
      </c>
      <c r="Q14" s="12">
        <v>757</v>
      </c>
      <c r="R14" s="12">
        <v>214</v>
      </c>
      <c r="S14" s="12">
        <v>524</v>
      </c>
      <c r="T14" s="12">
        <v>581</v>
      </c>
      <c r="U14" s="12">
        <v>238</v>
      </c>
      <c r="V14" s="12">
        <v>735</v>
      </c>
      <c r="W14" s="12">
        <v>232</v>
      </c>
      <c r="X14" s="12">
        <v>592</v>
      </c>
      <c r="Y14" s="12">
        <v>458</v>
      </c>
      <c r="Z14" s="12">
        <v>726</v>
      </c>
      <c r="AA14" s="12">
        <v>531</v>
      </c>
      <c r="AB14" s="12">
        <v>496</v>
      </c>
      <c r="AC14" s="12">
        <v>515</v>
      </c>
      <c r="AD14" s="12">
        <v>473</v>
      </c>
      <c r="AE14" s="12">
        <v>533</v>
      </c>
      <c r="AF14" s="12">
        <v>593</v>
      </c>
    </row>
    <row r="15" spans="1:32">
      <c r="A15" s="19"/>
      <c r="B15" s="13" t="s">
        <v>665</v>
      </c>
      <c r="C15" s="14">
        <v>0.54</v>
      </c>
      <c r="D15" s="14">
        <v>0.45</v>
      </c>
      <c r="E15" s="14">
        <v>0.41</v>
      </c>
      <c r="F15" s="14">
        <v>0.57000000000000006</v>
      </c>
      <c r="G15" s="14">
        <v>0.63</v>
      </c>
      <c r="H15" s="14">
        <v>0.49</v>
      </c>
      <c r="I15" s="14">
        <v>0.49</v>
      </c>
      <c r="J15" s="14">
        <v>0.49</v>
      </c>
      <c r="K15" s="14">
        <v>0.44</v>
      </c>
      <c r="L15" s="14">
        <v>0.5</v>
      </c>
      <c r="M15" s="14">
        <v>0.49</v>
      </c>
      <c r="N15" s="14">
        <v>0.46</v>
      </c>
      <c r="O15" s="14">
        <v>0.39</v>
      </c>
      <c r="P15" s="14">
        <v>0.56000000000000005</v>
      </c>
      <c r="Q15" s="14">
        <v>0.73</v>
      </c>
      <c r="R15" s="14">
        <v>0.43</v>
      </c>
      <c r="S15" s="14">
        <v>0.52</v>
      </c>
      <c r="T15" s="14">
        <v>0.57000000000000006</v>
      </c>
      <c r="U15" s="14">
        <v>0.47</v>
      </c>
      <c r="V15" s="14">
        <v>0.72</v>
      </c>
      <c r="W15" s="14">
        <v>0.46</v>
      </c>
      <c r="X15" s="14">
        <v>0.59</v>
      </c>
      <c r="Y15" s="14">
        <v>0.46</v>
      </c>
      <c r="Z15" s="14">
        <v>0.72</v>
      </c>
      <c r="AA15" s="14">
        <v>0.51</v>
      </c>
      <c r="AB15" s="14">
        <v>0.48</v>
      </c>
      <c r="AC15" s="14">
        <v>0.51</v>
      </c>
      <c r="AD15" s="14">
        <v>0.47</v>
      </c>
      <c r="AE15" s="14">
        <v>0.53</v>
      </c>
      <c r="AF15" s="14">
        <v>0.57999999999999996</v>
      </c>
    </row>
    <row r="16" spans="1:32">
      <c r="A16" s="19"/>
      <c r="B16" s="11" t="s">
        <v>666</v>
      </c>
      <c r="C16" s="12">
        <v>4123</v>
      </c>
      <c r="D16" s="12">
        <v>145</v>
      </c>
      <c r="E16" s="12">
        <v>159</v>
      </c>
      <c r="F16" s="12">
        <v>161</v>
      </c>
      <c r="G16" s="12">
        <v>229</v>
      </c>
      <c r="H16" s="12">
        <v>160</v>
      </c>
      <c r="I16" s="12">
        <v>199</v>
      </c>
      <c r="J16" s="12">
        <v>39</v>
      </c>
      <c r="K16" s="12">
        <v>209</v>
      </c>
      <c r="L16" s="12">
        <v>196</v>
      </c>
      <c r="M16" s="12">
        <v>109</v>
      </c>
      <c r="N16" s="12">
        <v>250</v>
      </c>
      <c r="O16" s="12">
        <v>120</v>
      </c>
      <c r="P16" s="12">
        <v>207</v>
      </c>
      <c r="Q16" s="12">
        <v>119</v>
      </c>
      <c r="R16" s="12">
        <v>92</v>
      </c>
      <c r="S16" s="12">
        <v>290</v>
      </c>
      <c r="T16" s="12">
        <v>202</v>
      </c>
      <c r="U16" s="12">
        <v>86</v>
      </c>
      <c r="V16" s="12">
        <v>109</v>
      </c>
      <c r="W16" s="12">
        <v>130</v>
      </c>
      <c r="X16" s="12">
        <v>218</v>
      </c>
      <c r="Y16" s="12">
        <v>133</v>
      </c>
      <c r="Z16" s="12">
        <v>143</v>
      </c>
      <c r="AA16" s="12">
        <v>100</v>
      </c>
      <c r="AB16" s="12">
        <v>211</v>
      </c>
      <c r="AC16" s="12">
        <v>166</v>
      </c>
      <c r="AD16" s="12">
        <v>123</v>
      </c>
      <c r="AE16" s="12">
        <v>308</v>
      </c>
      <c r="AF16" s="12">
        <v>272</v>
      </c>
    </row>
    <row r="17" spans="1:32">
      <c r="A17" s="19"/>
      <c r="B17" s="13" t="s">
        <v>667</v>
      </c>
      <c r="C17" s="14">
        <v>0.16</v>
      </c>
      <c r="D17" s="14">
        <v>0.14000000000000001</v>
      </c>
      <c r="E17" s="14">
        <v>0.15</v>
      </c>
      <c r="F17" s="14">
        <v>0.15</v>
      </c>
      <c r="G17" s="14">
        <v>0.22</v>
      </c>
      <c r="H17" s="14">
        <v>0.13</v>
      </c>
      <c r="I17" s="14">
        <v>0.13</v>
      </c>
      <c r="J17" s="14">
        <v>0.13</v>
      </c>
      <c r="K17" s="14">
        <v>0.21</v>
      </c>
      <c r="L17" s="14">
        <v>0.19</v>
      </c>
      <c r="M17" s="14">
        <v>0.11</v>
      </c>
      <c r="N17" s="14">
        <v>0.25</v>
      </c>
      <c r="O17" s="14">
        <v>0.12</v>
      </c>
      <c r="P17" s="14">
        <v>0.21</v>
      </c>
      <c r="Q17" s="14">
        <v>0.12</v>
      </c>
      <c r="R17" s="14">
        <v>0.18</v>
      </c>
      <c r="S17" s="14">
        <v>0.28999999999999998</v>
      </c>
      <c r="T17" s="14">
        <v>0.2</v>
      </c>
      <c r="U17" s="14">
        <v>0.17</v>
      </c>
      <c r="V17" s="14">
        <v>0.11</v>
      </c>
      <c r="W17" s="14">
        <v>0.26</v>
      </c>
      <c r="X17" s="14">
        <v>0.22</v>
      </c>
      <c r="Y17" s="14">
        <v>0.13</v>
      </c>
      <c r="Z17" s="14">
        <v>0.14000000000000001</v>
      </c>
      <c r="AA17" s="14">
        <v>0.1</v>
      </c>
      <c r="AB17" s="14">
        <v>0.2</v>
      </c>
      <c r="AC17" s="14">
        <v>0.17</v>
      </c>
      <c r="AD17" s="14">
        <v>0.12</v>
      </c>
      <c r="AE17" s="14">
        <v>0.31</v>
      </c>
      <c r="AF17" s="14">
        <v>0.26</v>
      </c>
    </row>
    <row r="18" spans="1:32">
      <c r="A18" s="19"/>
      <c r="B18" s="11" t="s">
        <v>668</v>
      </c>
      <c r="C18" s="12">
        <v>638</v>
      </c>
      <c r="D18" s="12">
        <v>9</v>
      </c>
      <c r="E18" s="12">
        <v>102</v>
      </c>
      <c r="F18" s="12">
        <v>15</v>
      </c>
      <c r="G18" s="12">
        <v>6</v>
      </c>
      <c r="H18" s="12">
        <v>11</v>
      </c>
      <c r="I18" s="12">
        <v>14</v>
      </c>
      <c r="J18" s="12">
        <v>3</v>
      </c>
      <c r="K18" s="12">
        <v>69</v>
      </c>
      <c r="L18" s="12">
        <v>39</v>
      </c>
      <c r="M18" s="12">
        <v>14</v>
      </c>
      <c r="N18" s="12">
        <v>20</v>
      </c>
      <c r="O18" s="12">
        <v>40</v>
      </c>
      <c r="P18" s="12">
        <v>16</v>
      </c>
      <c r="Q18" s="12">
        <v>24</v>
      </c>
      <c r="R18" s="12">
        <v>31</v>
      </c>
      <c r="S18" s="12">
        <v>26</v>
      </c>
      <c r="T18" s="12">
        <v>32</v>
      </c>
      <c r="U18" s="12">
        <v>10</v>
      </c>
      <c r="V18" s="12">
        <v>56</v>
      </c>
      <c r="W18" s="12">
        <v>12</v>
      </c>
      <c r="X18" s="12">
        <v>4</v>
      </c>
      <c r="Y18" s="12">
        <v>37</v>
      </c>
      <c r="Z18" s="12">
        <v>25</v>
      </c>
      <c r="AA18" s="12">
        <v>87</v>
      </c>
      <c r="AB18" s="12">
        <v>29</v>
      </c>
      <c r="AC18" s="12">
        <v>10</v>
      </c>
      <c r="AD18" s="12">
        <v>8</v>
      </c>
      <c r="AE18" s="12">
        <v>9</v>
      </c>
      <c r="AF18" s="12">
        <v>0</v>
      </c>
    </row>
    <row r="19" spans="1:32">
      <c r="A19" s="19"/>
      <c r="B19" s="13" t="s">
        <v>669</v>
      </c>
      <c r="C19" s="14">
        <v>0.02</v>
      </c>
      <c r="D19" s="14">
        <v>0.01</v>
      </c>
      <c r="E19" s="14">
        <v>0.1</v>
      </c>
      <c r="F19" s="14">
        <v>0.01</v>
      </c>
      <c r="G19" s="14">
        <v>0.01</v>
      </c>
      <c r="H19" s="14">
        <v>0.01</v>
      </c>
      <c r="I19" s="14">
        <v>0.01</v>
      </c>
      <c r="J19" s="14">
        <v>0.01</v>
      </c>
      <c r="K19" s="14">
        <v>7.0000000000000007E-2</v>
      </c>
      <c r="L19" s="14">
        <v>0.04</v>
      </c>
      <c r="M19" s="14">
        <v>0.01</v>
      </c>
      <c r="N19" s="14">
        <v>0.02</v>
      </c>
      <c r="O19" s="14">
        <v>0.04</v>
      </c>
      <c r="P19" s="14">
        <v>0.01</v>
      </c>
      <c r="Q19" s="14">
        <v>0.02</v>
      </c>
      <c r="R19" s="14">
        <v>0.06</v>
      </c>
      <c r="S19" s="14">
        <v>0.03</v>
      </c>
      <c r="T19" s="14">
        <v>0.03</v>
      </c>
      <c r="U19" s="14">
        <v>0.02</v>
      </c>
      <c r="V19" s="14">
        <v>0.05</v>
      </c>
      <c r="W19" s="14">
        <v>0.02</v>
      </c>
      <c r="X19" s="15" t="s">
        <v>375</v>
      </c>
      <c r="Y19" s="14">
        <v>0.04</v>
      </c>
      <c r="Z19" s="14">
        <v>0.02</v>
      </c>
      <c r="AA19" s="14">
        <v>0.08</v>
      </c>
      <c r="AB19" s="14">
        <v>0.03</v>
      </c>
      <c r="AC19" s="14">
        <v>0.01</v>
      </c>
      <c r="AD19" s="14">
        <v>0.01</v>
      </c>
      <c r="AE19" s="14">
        <v>0.01</v>
      </c>
      <c r="AF19" s="15" t="s">
        <v>375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93</v>
      </c>
      <c r="C3" s="17"/>
      <c r="D3" s="17"/>
      <c r="E3" s="17"/>
      <c r="F3" s="17"/>
      <c r="H3" s="17" t="s">
        <v>94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HYPERLINK("#Content!A48","&lt;&lt;Back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670</v>
      </c>
      <c r="C12" s="12">
        <v>10903</v>
      </c>
      <c r="D12" s="12">
        <v>352</v>
      </c>
      <c r="E12" s="12">
        <v>496</v>
      </c>
      <c r="F12" s="12">
        <v>429</v>
      </c>
      <c r="G12" s="12">
        <v>497</v>
      </c>
      <c r="H12" s="12">
        <v>701</v>
      </c>
      <c r="I12" s="12">
        <v>888</v>
      </c>
      <c r="J12" s="12">
        <v>188</v>
      </c>
      <c r="K12" s="12">
        <v>391</v>
      </c>
      <c r="L12" s="12">
        <v>242</v>
      </c>
      <c r="M12" s="12">
        <v>201</v>
      </c>
      <c r="N12" s="12">
        <v>334</v>
      </c>
      <c r="O12" s="12">
        <v>458</v>
      </c>
      <c r="P12" s="12">
        <v>378</v>
      </c>
      <c r="Q12" s="12">
        <v>246</v>
      </c>
      <c r="R12" s="12">
        <v>101</v>
      </c>
      <c r="S12" s="12">
        <v>550</v>
      </c>
      <c r="T12" s="12">
        <v>485</v>
      </c>
      <c r="U12" s="12">
        <v>186</v>
      </c>
      <c r="V12" s="12">
        <v>487</v>
      </c>
      <c r="W12" s="12">
        <v>209</v>
      </c>
      <c r="X12" s="12">
        <v>392</v>
      </c>
      <c r="Y12" s="12">
        <v>452</v>
      </c>
      <c r="Z12" s="12">
        <v>450</v>
      </c>
      <c r="AA12" s="12">
        <v>162</v>
      </c>
      <c r="AB12" s="12">
        <v>482</v>
      </c>
      <c r="AC12" s="12">
        <v>609</v>
      </c>
      <c r="AD12" s="12">
        <v>514</v>
      </c>
      <c r="AE12" s="12">
        <v>518</v>
      </c>
      <c r="AF12" s="12">
        <v>336</v>
      </c>
    </row>
    <row r="13" spans="1:32">
      <c r="A13" s="19"/>
      <c r="B13" s="13" t="s">
        <v>671</v>
      </c>
      <c r="C13" s="14">
        <v>0.41</v>
      </c>
      <c r="D13" s="14">
        <v>0.35</v>
      </c>
      <c r="E13" s="14">
        <v>0.48</v>
      </c>
      <c r="F13" s="14">
        <v>0.4</v>
      </c>
      <c r="G13" s="14">
        <v>0.49</v>
      </c>
      <c r="H13" s="14">
        <v>0.57000000000000006</v>
      </c>
      <c r="I13" s="14">
        <v>0.57999999999999996</v>
      </c>
      <c r="J13" s="14">
        <v>0.63</v>
      </c>
      <c r="K13" s="14">
        <v>0.39</v>
      </c>
      <c r="L13" s="14">
        <v>0.24</v>
      </c>
      <c r="M13" s="14">
        <v>0.2</v>
      </c>
      <c r="N13" s="14">
        <v>0.33</v>
      </c>
      <c r="O13" s="14">
        <v>0.46</v>
      </c>
      <c r="P13" s="14">
        <v>0.38</v>
      </c>
      <c r="Q13" s="14">
        <v>0.24</v>
      </c>
      <c r="R13" s="14">
        <v>0.2</v>
      </c>
      <c r="S13" s="14">
        <v>0.55000000000000004</v>
      </c>
      <c r="T13" s="14">
        <v>0.47</v>
      </c>
      <c r="U13" s="14">
        <v>0.37</v>
      </c>
      <c r="V13" s="14">
        <v>0.47</v>
      </c>
      <c r="W13" s="14">
        <v>0.42</v>
      </c>
      <c r="X13" s="14">
        <v>0.39</v>
      </c>
      <c r="Y13" s="14">
        <v>0.45</v>
      </c>
      <c r="Z13" s="14">
        <v>0.44</v>
      </c>
      <c r="AA13" s="14">
        <v>0.16</v>
      </c>
      <c r="AB13" s="14">
        <v>0.46</v>
      </c>
      <c r="AC13" s="14">
        <v>0.61</v>
      </c>
      <c r="AD13" s="14">
        <v>0.51</v>
      </c>
      <c r="AE13" s="14">
        <v>0.52</v>
      </c>
      <c r="AF13" s="14">
        <v>0.33</v>
      </c>
    </row>
    <row r="14" spans="1:32">
      <c r="A14" s="19"/>
      <c r="B14" s="11" t="s">
        <v>672</v>
      </c>
      <c r="C14" s="12">
        <v>1265</v>
      </c>
      <c r="D14" s="12">
        <v>44</v>
      </c>
      <c r="E14" s="12">
        <v>43</v>
      </c>
      <c r="F14" s="12">
        <v>97</v>
      </c>
      <c r="G14" s="12">
        <v>25</v>
      </c>
      <c r="H14" s="12">
        <v>40</v>
      </c>
      <c r="I14" s="12">
        <v>45</v>
      </c>
      <c r="J14" s="12">
        <v>5</v>
      </c>
      <c r="K14" s="12">
        <v>32</v>
      </c>
      <c r="L14" s="12">
        <v>46</v>
      </c>
      <c r="M14" s="12">
        <v>14</v>
      </c>
      <c r="N14" s="12">
        <v>32</v>
      </c>
      <c r="O14" s="12">
        <v>41</v>
      </c>
      <c r="P14" s="12">
        <v>77</v>
      </c>
      <c r="Q14" s="12">
        <v>75</v>
      </c>
      <c r="R14" s="12">
        <v>8</v>
      </c>
      <c r="S14" s="12">
        <v>35</v>
      </c>
      <c r="T14" s="12">
        <v>39</v>
      </c>
      <c r="U14" s="12">
        <v>14</v>
      </c>
      <c r="V14" s="12">
        <v>90</v>
      </c>
      <c r="W14" s="12">
        <v>32</v>
      </c>
      <c r="X14" s="12">
        <v>55</v>
      </c>
      <c r="Y14" s="12">
        <v>56</v>
      </c>
      <c r="Z14" s="12">
        <v>87</v>
      </c>
      <c r="AA14" s="12">
        <v>55</v>
      </c>
      <c r="AB14" s="12">
        <v>39</v>
      </c>
      <c r="AC14" s="12">
        <v>43</v>
      </c>
      <c r="AD14" s="12">
        <v>64</v>
      </c>
      <c r="AE14" s="12">
        <v>41</v>
      </c>
      <c r="AF14" s="12">
        <v>9</v>
      </c>
    </row>
    <row r="15" spans="1:32">
      <c r="A15" s="19"/>
      <c r="B15" s="13" t="s">
        <v>673</v>
      </c>
      <c r="C15" s="14">
        <v>0.05</v>
      </c>
      <c r="D15" s="14">
        <v>0.04</v>
      </c>
      <c r="E15" s="14">
        <v>0.04</v>
      </c>
      <c r="F15" s="14">
        <v>0.09</v>
      </c>
      <c r="G15" s="14">
        <v>0.03</v>
      </c>
      <c r="H15" s="14">
        <v>0.03</v>
      </c>
      <c r="I15" s="14">
        <v>0.03</v>
      </c>
      <c r="J15" s="14">
        <v>0.02</v>
      </c>
      <c r="K15" s="14">
        <v>0.03</v>
      </c>
      <c r="L15" s="14">
        <v>0.05</v>
      </c>
      <c r="M15" s="14">
        <v>0.01</v>
      </c>
      <c r="N15" s="14">
        <v>0.03</v>
      </c>
      <c r="O15" s="14">
        <v>0.04</v>
      </c>
      <c r="P15" s="14">
        <v>7.0000000000000007E-2</v>
      </c>
      <c r="Q15" s="14">
        <v>7.0000000000000007E-2</v>
      </c>
      <c r="R15" s="14">
        <v>0.02</v>
      </c>
      <c r="S15" s="14">
        <v>0.03</v>
      </c>
      <c r="T15" s="14">
        <v>0.04</v>
      </c>
      <c r="U15" s="14">
        <v>0.03</v>
      </c>
      <c r="V15" s="14">
        <v>0.09</v>
      </c>
      <c r="W15" s="14">
        <v>0.06</v>
      </c>
      <c r="X15" s="14">
        <v>0.06</v>
      </c>
      <c r="Y15" s="14">
        <v>0.06</v>
      </c>
      <c r="Z15" s="14">
        <v>0.09</v>
      </c>
      <c r="AA15" s="14">
        <v>0.05</v>
      </c>
      <c r="AB15" s="14">
        <v>0.04</v>
      </c>
      <c r="AC15" s="14">
        <v>0.04</v>
      </c>
      <c r="AD15" s="14">
        <v>0.06</v>
      </c>
      <c r="AE15" s="14">
        <v>0.04</v>
      </c>
      <c r="AF15" s="14">
        <v>0.01</v>
      </c>
    </row>
    <row r="16" spans="1:32">
      <c r="A16" s="19"/>
      <c r="B16" s="11" t="s">
        <v>674</v>
      </c>
      <c r="C16" s="12">
        <v>482</v>
      </c>
      <c r="D16" s="12">
        <v>21</v>
      </c>
      <c r="E16" s="12">
        <v>23</v>
      </c>
      <c r="F16" s="12">
        <v>31</v>
      </c>
      <c r="G16" s="12">
        <v>9</v>
      </c>
      <c r="H16" s="12">
        <v>17</v>
      </c>
      <c r="I16" s="12">
        <v>24</v>
      </c>
      <c r="J16" s="12">
        <v>7</v>
      </c>
      <c r="K16" s="12">
        <v>15</v>
      </c>
      <c r="L16" s="12">
        <v>22</v>
      </c>
      <c r="M16" s="12">
        <v>1</v>
      </c>
      <c r="N16" s="12">
        <v>3</v>
      </c>
      <c r="O16" s="12">
        <v>17</v>
      </c>
      <c r="P16" s="12">
        <v>38</v>
      </c>
      <c r="Q16" s="12">
        <v>28</v>
      </c>
      <c r="R16" s="12">
        <v>6</v>
      </c>
      <c r="S16" s="12">
        <v>7</v>
      </c>
      <c r="T16" s="12">
        <v>24</v>
      </c>
      <c r="U16" s="12">
        <v>7</v>
      </c>
      <c r="V16" s="12">
        <v>20</v>
      </c>
      <c r="W16" s="12">
        <v>18</v>
      </c>
      <c r="X16" s="12">
        <v>21</v>
      </c>
      <c r="Y16" s="12">
        <v>29</v>
      </c>
      <c r="Z16" s="12">
        <v>18</v>
      </c>
      <c r="AA16" s="12">
        <v>12</v>
      </c>
      <c r="AB16" s="12">
        <v>44</v>
      </c>
      <c r="AC16" s="12">
        <v>32</v>
      </c>
      <c r="AD16" s="12">
        <v>27</v>
      </c>
      <c r="AE16" s="12">
        <v>19</v>
      </c>
      <c r="AF16" s="12">
        <v>9</v>
      </c>
    </row>
    <row r="17" spans="1:32">
      <c r="A17" s="19"/>
      <c r="B17" s="13" t="s">
        <v>675</v>
      </c>
      <c r="C17" s="14">
        <v>0.02</v>
      </c>
      <c r="D17" s="14">
        <v>0.02</v>
      </c>
      <c r="E17" s="14">
        <v>0.02</v>
      </c>
      <c r="F17" s="14">
        <v>0.03</v>
      </c>
      <c r="G17" s="14">
        <v>0.01</v>
      </c>
      <c r="H17" s="14">
        <v>0.02</v>
      </c>
      <c r="I17" s="14">
        <v>0.02</v>
      </c>
      <c r="J17" s="14">
        <v>0.02</v>
      </c>
      <c r="K17" s="14">
        <v>0.02</v>
      </c>
      <c r="L17" s="14">
        <v>0.02</v>
      </c>
      <c r="M17" s="15" t="s">
        <v>375</v>
      </c>
      <c r="N17" s="15" t="s">
        <v>375</v>
      </c>
      <c r="O17" s="14">
        <v>0.02</v>
      </c>
      <c r="P17" s="14">
        <v>0.04</v>
      </c>
      <c r="Q17" s="14">
        <v>0.03</v>
      </c>
      <c r="R17" s="14">
        <v>0.01</v>
      </c>
      <c r="S17" s="14">
        <v>0.01</v>
      </c>
      <c r="T17" s="14">
        <v>0.02</v>
      </c>
      <c r="U17" s="14">
        <v>0.01</v>
      </c>
      <c r="V17" s="14">
        <v>0.02</v>
      </c>
      <c r="W17" s="14">
        <v>0.04</v>
      </c>
      <c r="X17" s="14">
        <v>0.02</v>
      </c>
      <c r="Y17" s="14">
        <v>0.03</v>
      </c>
      <c r="Z17" s="14">
        <v>0.02</v>
      </c>
      <c r="AA17" s="14">
        <v>0.01</v>
      </c>
      <c r="AB17" s="14">
        <v>0.04</v>
      </c>
      <c r="AC17" s="14">
        <v>0.03</v>
      </c>
      <c r="AD17" s="14">
        <v>0.03</v>
      </c>
      <c r="AE17" s="14">
        <v>0.02</v>
      </c>
      <c r="AF17" s="14">
        <v>0.01</v>
      </c>
    </row>
    <row r="18" spans="1:32">
      <c r="A18" s="19"/>
      <c r="B18" s="11" t="s">
        <v>676</v>
      </c>
      <c r="C18" s="12">
        <v>13752</v>
      </c>
      <c r="D18" s="12">
        <v>603</v>
      </c>
      <c r="E18" s="12">
        <v>479</v>
      </c>
      <c r="F18" s="12">
        <v>501</v>
      </c>
      <c r="G18" s="12">
        <v>482</v>
      </c>
      <c r="H18" s="12">
        <v>471</v>
      </c>
      <c r="I18" s="12">
        <v>568</v>
      </c>
      <c r="J18" s="12">
        <v>97</v>
      </c>
      <c r="K18" s="12">
        <v>566</v>
      </c>
      <c r="L18" s="12">
        <v>693</v>
      </c>
      <c r="M18" s="12">
        <v>790</v>
      </c>
      <c r="N18" s="12">
        <v>641</v>
      </c>
      <c r="O18" s="12">
        <v>487</v>
      </c>
      <c r="P18" s="12">
        <v>502</v>
      </c>
      <c r="Q18" s="12">
        <v>679</v>
      </c>
      <c r="R18" s="12">
        <v>383</v>
      </c>
      <c r="S18" s="12">
        <v>412</v>
      </c>
      <c r="T18" s="12">
        <v>476</v>
      </c>
      <c r="U18" s="12">
        <v>300</v>
      </c>
      <c r="V18" s="12">
        <v>428</v>
      </c>
      <c r="W18" s="12">
        <v>243</v>
      </c>
      <c r="X18" s="12">
        <v>539</v>
      </c>
      <c r="Y18" s="12">
        <v>465</v>
      </c>
      <c r="Z18" s="12">
        <v>461</v>
      </c>
      <c r="AA18" s="12">
        <v>793</v>
      </c>
      <c r="AB18" s="12">
        <v>474</v>
      </c>
      <c r="AC18" s="12">
        <v>321</v>
      </c>
      <c r="AD18" s="12">
        <v>396</v>
      </c>
      <c r="AE18" s="12">
        <v>421</v>
      </c>
      <c r="AF18" s="12">
        <v>673</v>
      </c>
    </row>
    <row r="19" spans="1:32">
      <c r="A19" s="19"/>
      <c r="B19" s="13" t="s">
        <v>677</v>
      </c>
      <c r="C19" s="14">
        <v>0.52</v>
      </c>
      <c r="D19" s="14">
        <v>0.59</v>
      </c>
      <c r="E19" s="14">
        <v>0.46</v>
      </c>
      <c r="F19" s="14">
        <v>0.47</v>
      </c>
      <c r="G19" s="14">
        <v>0.47</v>
      </c>
      <c r="H19" s="14">
        <v>0.38</v>
      </c>
      <c r="I19" s="14">
        <v>0.37</v>
      </c>
      <c r="J19" s="14">
        <v>0.33</v>
      </c>
      <c r="K19" s="14">
        <v>0.56000000000000005</v>
      </c>
      <c r="L19" s="14">
        <v>0.69000000000000006</v>
      </c>
      <c r="M19" s="14">
        <v>0.79</v>
      </c>
      <c r="N19" s="14">
        <v>0.64</v>
      </c>
      <c r="O19" s="14">
        <v>0.48</v>
      </c>
      <c r="P19" s="14">
        <v>0.5</v>
      </c>
      <c r="Q19" s="14">
        <v>0.66</v>
      </c>
      <c r="R19" s="14">
        <v>0.76</v>
      </c>
      <c r="S19" s="14">
        <v>0.41</v>
      </c>
      <c r="T19" s="14">
        <v>0.47</v>
      </c>
      <c r="U19" s="14">
        <v>0.59</v>
      </c>
      <c r="V19" s="14">
        <v>0.42</v>
      </c>
      <c r="W19" s="14">
        <v>0.48</v>
      </c>
      <c r="X19" s="14">
        <v>0.53</v>
      </c>
      <c r="Y19" s="14">
        <v>0.46</v>
      </c>
      <c r="Z19" s="14">
        <v>0.45</v>
      </c>
      <c r="AA19" s="14">
        <v>0.77</v>
      </c>
      <c r="AB19" s="14">
        <v>0.46</v>
      </c>
      <c r="AC19" s="14">
        <v>0.32</v>
      </c>
      <c r="AD19" s="14">
        <v>0.4</v>
      </c>
      <c r="AE19" s="14">
        <v>0.42</v>
      </c>
      <c r="AF19" s="14">
        <v>0.65</v>
      </c>
    </row>
    <row r="20" spans="1:32">
      <c r="A20" s="19"/>
      <c r="B20" s="11" t="s">
        <v>386</v>
      </c>
      <c r="C20" s="12">
        <v>51</v>
      </c>
      <c r="D20" s="12">
        <v>0</v>
      </c>
      <c r="E20" s="12">
        <v>4</v>
      </c>
      <c r="F20" s="12">
        <v>6</v>
      </c>
      <c r="G20" s="12">
        <v>2</v>
      </c>
      <c r="H20" s="12">
        <v>1</v>
      </c>
      <c r="I20" s="12">
        <v>2</v>
      </c>
      <c r="J20" s="12">
        <v>1</v>
      </c>
      <c r="K20" s="12">
        <v>2</v>
      </c>
      <c r="L20" s="12">
        <v>3</v>
      </c>
      <c r="M20" s="12">
        <v>1</v>
      </c>
      <c r="N20" s="12">
        <v>1</v>
      </c>
      <c r="O20" s="12">
        <v>1</v>
      </c>
      <c r="P20" s="12">
        <v>7</v>
      </c>
      <c r="Q20" s="12">
        <v>3</v>
      </c>
      <c r="R20" s="12">
        <v>3</v>
      </c>
      <c r="S20" s="12">
        <v>0</v>
      </c>
      <c r="T20" s="12">
        <v>0</v>
      </c>
      <c r="U20" s="12">
        <v>1</v>
      </c>
      <c r="V20" s="12">
        <v>0</v>
      </c>
      <c r="W20" s="12">
        <v>0</v>
      </c>
      <c r="X20" s="12">
        <v>4</v>
      </c>
      <c r="Y20" s="12">
        <v>1</v>
      </c>
      <c r="Z20" s="12">
        <v>0</v>
      </c>
      <c r="AA20" s="12">
        <v>15</v>
      </c>
      <c r="AB20" s="12">
        <v>2</v>
      </c>
      <c r="AC20" s="12">
        <v>0</v>
      </c>
      <c r="AD20" s="12">
        <v>1</v>
      </c>
      <c r="AE20" s="12">
        <v>1</v>
      </c>
      <c r="AF20" s="12">
        <v>4</v>
      </c>
    </row>
    <row r="21" spans="1:32">
      <c r="A21" s="19"/>
      <c r="B21" s="13" t="s">
        <v>399</v>
      </c>
      <c r="C21" s="15" t="s">
        <v>375</v>
      </c>
      <c r="D21" s="15" t="s">
        <v>375</v>
      </c>
      <c r="E21" s="15" t="s">
        <v>375</v>
      </c>
      <c r="F21" s="14">
        <v>0.01</v>
      </c>
      <c r="G21" s="15" t="s">
        <v>375</v>
      </c>
      <c r="H21" s="15" t="s">
        <v>375</v>
      </c>
      <c r="I21" s="15" t="s">
        <v>375</v>
      </c>
      <c r="J21" s="15" t="s">
        <v>375</v>
      </c>
      <c r="K21" s="15" t="s">
        <v>375</v>
      </c>
      <c r="L21" s="15" t="s">
        <v>375</v>
      </c>
      <c r="M21" s="15" t="s">
        <v>375</v>
      </c>
      <c r="N21" s="15" t="s">
        <v>375</v>
      </c>
      <c r="O21" s="15" t="s">
        <v>375</v>
      </c>
      <c r="P21" s="14">
        <v>0.01</v>
      </c>
      <c r="Q21" s="15" t="s">
        <v>375</v>
      </c>
      <c r="R21" s="14">
        <v>0.01</v>
      </c>
      <c r="S21" s="15" t="s">
        <v>375</v>
      </c>
      <c r="T21" s="15" t="s">
        <v>375</v>
      </c>
      <c r="U21" s="15" t="s">
        <v>375</v>
      </c>
      <c r="V21" s="15" t="s">
        <v>375</v>
      </c>
      <c r="W21" s="15" t="s">
        <v>375</v>
      </c>
      <c r="X21" s="15" t="s">
        <v>375</v>
      </c>
      <c r="Y21" s="15" t="s">
        <v>375</v>
      </c>
      <c r="Z21" s="15" t="s">
        <v>375</v>
      </c>
      <c r="AA21" s="14">
        <v>0.01</v>
      </c>
      <c r="AB21" s="15" t="s">
        <v>375</v>
      </c>
      <c r="AC21" s="15" t="s">
        <v>375</v>
      </c>
      <c r="AD21" s="15" t="s">
        <v>375</v>
      </c>
      <c r="AE21" s="15" t="s">
        <v>375</v>
      </c>
      <c r="AF21" s="15" t="s">
        <v>375</v>
      </c>
    </row>
    <row r="22" spans="1:32">
      <c r="A22" s="19"/>
      <c r="B22" s="11" t="s">
        <v>678</v>
      </c>
      <c r="C22" s="12">
        <v>12650</v>
      </c>
      <c r="D22" s="12">
        <v>417</v>
      </c>
      <c r="E22" s="12">
        <v>562</v>
      </c>
      <c r="F22" s="12">
        <v>557</v>
      </c>
      <c r="G22" s="12">
        <v>531</v>
      </c>
      <c r="H22" s="12">
        <v>758</v>
      </c>
      <c r="I22" s="12">
        <v>957</v>
      </c>
      <c r="J22" s="12">
        <v>200</v>
      </c>
      <c r="K22" s="12">
        <v>438</v>
      </c>
      <c r="L22" s="12">
        <v>310</v>
      </c>
      <c r="M22" s="12">
        <v>216</v>
      </c>
      <c r="N22" s="12">
        <v>369</v>
      </c>
      <c r="O22" s="12">
        <v>516</v>
      </c>
      <c r="P22" s="12">
        <v>493</v>
      </c>
      <c r="Q22" s="12">
        <v>349</v>
      </c>
      <c r="R22" s="12">
        <v>115</v>
      </c>
      <c r="S22" s="12">
        <v>592</v>
      </c>
      <c r="T22" s="12">
        <v>548</v>
      </c>
      <c r="U22" s="12">
        <v>207</v>
      </c>
      <c r="V22" s="12">
        <v>597</v>
      </c>
      <c r="W22" s="12">
        <v>259</v>
      </c>
      <c r="X22" s="12">
        <v>468</v>
      </c>
      <c r="Y22" s="12">
        <v>537</v>
      </c>
      <c r="Z22" s="12">
        <v>555</v>
      </c>
      <c r="AA22" s="12">
        <v>229</v>
      </c>
      <c r="AB22" s="12">
        <v>565</v>
      </c>
      <c r="AC22" s="12">
        <v>684</v>
      </c>
      <c r="AD22" s="12">
        <v>605</v>
      </c>
      <c r="AE22" s="12">
        <v>578</v>
      </c>
      <c r="AF22" s="12">
        <v>354</v>
      </c>
    </row>
    <row r="23" spans="1:32">
      <c r="A23" s="19"/>
      <c r="B23" s="13" t="s">
        <v>679</v>
      </c>
      <c r="C23" s="14">
        <v>0.48</v>
      </c>
      <c r="D23" s="14">
        <v>0.41</v>
      </c>
      <c r="E23" s="14">
        <v>0.54</v>
      </c>
      <c r="F23" s="14">
        <v>0.52</v>
      </c>
      <c r="G23" s="14">
        <v>0.53</v>
      </c>
      <c r="H23" s="14">
        <v>0.62</v>
      </c>
      <c r="I23" s="14">
        <v>0.63</v>
      </c>
      <c r="J23" s="14">
        <v>0.67</v>
      </c>
      <c r="K23" s="14">
        <v>0.44</v>
      </c>
      <c r="L23" s="14">
        <v>0.31</v>
      </c>
      <c r="M23" s="14">
        <v>0.21</v>
      </c>
      <c r="N23" s="14">
        <v>0.36</v>
      </c>
      <c r="O23" s="14">
        <v>0.52</v>
      </c>
      <c r="P23" s="14">
        <v>0.49</v>
      </c>
      <c r="Q23" s="14">
        <v>0.34</v>
      </c>
      <c r="R23" s="14">
        <v>0.23</v>
      </c>
      <c r="S23" s="14">
        <v>0.59</v>
      </c>
      <c r="T23" s="14">
        <v>0.53</v>
      </c>
      <c r="U23" s="14">
        <v>0.41</v>
      </c>
      <c r="V23" s="14">
        <v>0.57999999999999996</v>
      </c>
      <c r="W23" s="14">
        <v>0.52</v>
      </c>
      <c r="X23" s="14">
        <v>0.47</v>
      </c>
      <c r="Y23" s="14">
        <v>0.54</v>
      </c>
      <c r="Z23" s="14">
        <v>0.55000000000000004</v>
      </c>
      <c r="AA23" s="14">
        <v>0.22</v>
      </c>
      <c r="AB23" s="14">
        <v>0.54</v>
      </c>
      <c r="AC23" s="14">
        <v>0.68</v>
      </c>
      <c r="AD23" s="14">
        <v>0.6</v>
      </c>
      <c r="AE23" s="14">
        <v>0.57999999999999996</v>
      </c>
      <c r="AF23" s="14">
        <v>0.35</v>
      </c>
    </row>
  </sheetData>
  <mergeCells count="10">
    <mergeCell ref="B4:F4"/>
    <mergeCell ref="H3:L3"/>
    <mergeCell ref="A10:A21"/>
    <mergeCell ref="C8:AF8"/>
    <mergeCell ref="A22:A23"/>
    <mergeCell ref="B3:F3"/>
    <mergeCell ref="B5:F5"/>
    <mergeCell ref="H5:L5"/>
    <mergeCell ref="B10:B11"/>
    <mergeCell ref="H4:L4"/>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95</v>
      </c>
      <c r="C3" s="17"/>
      <c r="D3" s="17"/>
      <c r="E3" s="17"/>
      <c r="F3" s="17"/>
      <c r="H3" s="17" t="s">
        <v>96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HYPERLINK("#Content!A49","&lt;&lt;Back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680</v>
      </c>
      <c r="C12" s="12">
        <v>10292</v>
      </c>
      <c r="D12" s="12">
        <v>609</v>
      </c>
      <c r="E12" s="12">
        <v>212</v>
      </c>
      <c r="F12" s="12">
        <v>341</v>
      </c>
      <c r="G12" s="12">
        <v>235</v>
      </c>
      <c r="H12" s="12">
        <v>486</v>
      </c>
      <c r="I12" s="12">
        <v>599</v>
      </c>
      <c r="J12" s="12">
        <v>113</v>
      </c>
      <c r="K12" s="12">
        <v>404</v>
      </c>
      <c r="L12" s="12">
        <v>489</v>
      </c>
      <c r="M12" s="12">
        <v>448</v>
      </c>
      <c r="N12" s="12">
        <v>351</v>
      </c>
      <c r="O12" s="12">
        <v>356</v>
      </c>
      <c r="P12" s="12">
        <v>357</v>
      </c>
      <c r="Q12" s="12">
        <v>576</v>
      </c>
      <c r="R12" s="12">
        <v>148</v>
      </c>
      <c r="S12" s="12">
        <v>272</v>
      </c>
      <c r="T12" s="12">
        <v>436</v>
      </c>
      <c r="U12" s="12">
        <v>253</v>
      </c>
      <c r="V12" s="12">
        <v>276</v>
      </c>
      <c r="W12" s="12">
        <v>242</v>
      </c>
      <c r="X12" s="12">
        <v>259</v>
      </c>
      <c r="Y12" s="12">
        <v>289</v>
      </c>
      <c r="Z12" s="12">
        <v>281</v>
      </c>
      <c r="AA12" s="12">
        <v>494</v>
      </c>
      <c r="AB12" s="12">
        <v>464</v>
      </c>
      <c r="AC12" s="12">
        <v>217</v>
      </c>
      <c r="AD12" s="12">
        <v>284</v>
      </c>
      <c r="AE12" s="12">
        <v>414</v>
      </c>
      <c r="AF12" s="12">
        <v>477</v>
      </c>
    </row>
    <row r="13" spans="1:32">
      <c r="A13" s="19"/>
      <c r="B13" s="13" t="s">
        <v>681</v>
      </c>
      <c r="C13" s="14">
        <v>0.39</v>
      </c>
      <c r="D13" s="14">
        <v>0.6</v>
      </c>
      <c r="E13" s="14">
        <v>0.2</v>
      </c>
      <c r="F13" s="14">
        <v>0.32</v>
      </c>
      <c r="G13" s="14">
        <v>0.23</v>
      </c>
      <c r="H13" s="14">
        <v>0.39</v>
      </c>
      <c r="I13" s="14">
        <v>0.39</v>
      </c>
      <c r="J13" s="14">
        <v>0.38</v>
      </c>
      <c r="K13" s="14">
        <v>0.4</v>
      </c>
      <c r="L13" s="14">
        <v>0.49</v>
      </c>
      <c r="M13" s="14">
        <v>0.44</v>
      </c>
      <c r="N13" s="14">
        <v>0.35</v>
      </c>
      <c r="O13" s="14">
        <v>0.35</v>
      </c>
      <c r="P13" s="14">
        <v>0.36</v>
      </c>
      <c r="Q13" s="14">
        <v>0.56000000000000005</v>
      </c>
      <c r="R13" s="14">
        <v>0.3</v>
      </c>
      <c r="S13" s="14">
        <v>0.27</v>
      </c>
      <c r="T13" s="14">
        <v>0.43</v>
      </c>
      <c r="U13" s="14">
        <v>0.5</v>
      </c>
      <c r="V13" s="14">
        <v>0.27</v>
      </c>
      <c r="W13" s="14">
        <v>0.48</v>
      </c>
      <c r="X13" s="14">
        <v>0.26</v>
      </c>
      <c r="Y13" s="14">
        <v>0.28999999999999998</v>
      </c>
      <c r="Z13" s="14">
        <v>0.28000000000000003</v>
      </c>
      <c r="AA13" s="14">
        <v>0.48</v>
      </c>
      <c r="AB13" s="14">
        <v>0.44</v>
      </c>
      <c r="AC13" s="14">
        <v>0.21</v>
      </c>
      <c r="AD13" s="14">
        <v>0.28000000000000003</v>
      </c>
      <c r="AE13" s="14">
        <v>0.41</v>
      </c>
      <c r="AF13" s="14">
        <v>0.46</v>
      </c>
    </row>
    <row r="14" spans="1:32">
      <c r="A14" s="19"/>
      <c r="B14" s="11" t="s">
        <v>682</v>
      </c>
      <c r="C14" s="12">
        <v>13200</v>
      </c>
      <c r="D14" s="12">
        <v>302</v>
      </c>
      <c r="E14" s="12">
        <v>711</v>
      </c>
      <c r="F14" s="12">
        <v>611</v>
      </c>
      <c r="G14" s="12">
        <v>346</v>
      </c>
      <c r="H14" s="12">
        <v>626</v>
      </c>
      <c r="I14" s="12">
        <v>793</v>
      </c>
      <c r="J14" s="12">
        <v>166</v>
      </c>
      <c r="K14" s="12">
        <v>410</v>
      </c>
      <c r="L14" s="12">
        <v>348</v>
      </c>
      <c r="M14" s="12">
        <v>429</v>
      </c>
      <c r="N14" s="12">
        <v>524</v>
      </c>
      <c r="O14" s="12">
        <v>509</v>
      </c>
      <c r="P14" s="12">
        <v>606</v>
      </c>
      <c r="Q14" s="12">
        <v>397</v>
      </c>
      <c r="R14" s="12">
        <v>276</v>
      </c>
      <c r="S14" s="12">
        <v>592</v>
      </c>
      <c r="T14" s="12">
        <v>465</v>
      </c>
      <c r="U14" s="12">
        <v>155</v>
      </c>
      <c r="V14" s="12">
        <v>706</v>
      </c>
      <c r="W14" s="12">
        <v>222</v>
      </c>
      <c r="X14" s="12">
        <v>614</v>
      </c>
      <c r="Y14" s="12">
        <v>561</v>
      </c>
      <c r="Z14" s="12">
        <v>683</v>
      </c>
      <c r="AA14" s="12">
        <v>293</v>
      </c>
      <c r="AB14" s="12">
        <v>485</v>
      </c>
      <c r="AC14" s="12">
        <v>700</v>
      </c>
      <c r="AD14" s="12">
        <v>662</v>
      </c>
      <c r="AE14" s="12">
        <v>408</v>
      </c>
      <c r="AF14" s="12">
        <v>306</v>
      </c>
    </row>
    <row r="15" spans="1:32">
      <c r="A15" s="19"/>
      <c r="B15" s="13" t="s">
        <v>683</v>
      </c>
      <c r="C15" s="14">
        <v>0.5</v>
      </c>
      <c r="D15" s="14">
        <v>0.3</v>
      </c>
      <c r="E15" s="14">
        <v>0.68</v>
      </c>
      <c r="F15" s="14">
        <v>0.57000000000000006</v>
      </c>
      <c r="G15" s="14">
        <v>0.34</v>
      </c>
      <c r="H15" s="14">
        <v>0.51</v>
      </c>
      <c r="I15" s="14">
        <v>0.52</v>
      </c>
      <c r="J15" s="14">
        <v>0.56000000000000005</v>
      </c>
      <c r="K15" s="14">
        <v>0.41</v>
      </c>
      <c r="L15" s="14">
        <v>0.34</v>
      </c>
      <c r="M15" s="14">
        <v>0.43</v>
      </c>
      <c r="N15" s="14">
        <v>0.52</v>
      </c>
      <c r="O15" s="14">
        <v>0.51</v>
      </c>
      <c r="P15" s="14">
        <v>0.6</v>
      </c>
      <c r="Q15" s="14">
        <v>0.38</v>
      </c>
      <c r="R15" s="14">
        <v>0.55000000000000004</v>
      </c>
      <c r="S15" s="14">
        <v>0.59</v>
      </c>
      <c r="T15" s="14">
        <v>0.45</v>
      </c>
      <c r="U15" s="14">
        <v>0.3</v>
      </c>
      <c r="V15" s="14">
        <v>0.69000000000000006</v>
      </c>
      <c r="W15" s="14">
        <v>0.44</v>
      </c>
      <c r="X15" s="14">
        <v>0.61</v>
      </c>
      <c r="Y15" s="14">
        <v>0.56000000000000005</v>
      </c>
      <c r="Z15" s="14">
        <v>0.67</v>
      </c>
      <c r="AA15" s="14">
        <v>0.28000000000000003</v>
      </c>
      <c r="AB15" s="14">
        <v>0.47</v>
      </c>
      <c r="AC15" s="14">
        <v>0.70000000000000007</v>
      </c>
      <c r="AD15" s="14">
        <v>0.66</v>
      </c>
      <c r="AE15" s="14">
        <v>0.41</v>
      </c>
      <c r="AF15" s="14">
        <v>0.3</v>
      </c>
    </row>
    <row r="16" spans="1:32">
      <c r="A16" s="19"/>
      <c r="B16" s="11" t="s">
        <v>684</v>
      </c>
      <c r="C16" s="12">
        <v>2238</v>
      </c>
      <c r="D16" s="12">
        <v>105</v>
      </c>
      <c r="E16" s="12">
        <v>80</v>
      </c>
      <c r="F16" s="12">
        <v>53</v>
      </c>
      <c r="G16" s="12">
        <v>422</v>
      </c>
      <c r="H16" s="12">
        <v>95</v>
      </c>
      <c r="I16" s="12">
        <v>105</v>
      </c>
      <c r="J16" s="12">
        <v>9</v>
      </c>
      <c r="K16" s="12">
        <v>163</v>
      </c>
      <c r="L16" s="12">
        <v>141</v>
      </c>
      <c r="M16" s="12">
        <v>112</v>
      </c>
      <c r="N16" s="12">
        <v>90</v>
      </c>
      <c r="O16" s="12">
        <v>110</v>
      </c>
      <c r="P16" s="12">
        <v>24</v>
      </c>
      <c r="Q16" s="12">
        <v>37</v>
      </c>
      <c r="R16" s="12">
        <v>60</v>
      </c>
      <c r="S16" s="12">
        <v>128</v>
      </c>
      <c r="T16" s="12">
        <v>108</v>
      </c>
      <c r="U16" s="12">
        <v>95</v>
      </c>
      <c r="V16" s="12">
        <v>34</v>
      </c>
      <c r="W16" s="12">
        <v>28</v>
      </c>
      <c r="X16" s="12">
        <v>112</v>
      </c>
      <c r="Y16" s="12">
        <v>114</v>
      </c>
      <c r="Z16" s="12">
        <v>31</v>
      </c>
      <c r="AA16" s="12">
        <v>155</v>
      </c>
      <c r="AB16" s="12">
        <v>54</v>
      </c>
      <c r="AC16" s="12">
        <v>81</v>
      </c>
      <c r="AD16" s="12">
        <v>48</v>
      </c>
      <c r="AE16" s="12">
        <v>164</v>
      </c>
      <c r="AF16" s="12">
        <v>228</v>
      </c>
    </row>
    <row r="17" spans="1:32">
      <c r="A17" s="19"/>
      <c r="B17" s="13" t="s">
        <v>685</v>
      </c>
      <c r="C17" s="14">
        <v>0.08</v>
      </c>
      <c r="D17" s="14">
        <v>0.1</v>
      </c>
      <c r="E17" s="14">
        <v>0.08</v>
      </c>
      <c r="F17" s="14">
        <v>0.05</v>
      </c>
      <c r="G17" s="14">
        <v>0.42</v>
      </c>
      <c r="H17" s="14">
        <v>0.08</v>
      </c>
      <c r="I17" s="14">
        <v>7.0000000000000007E-2</v>
      </c>
      <c r="J17" s="14">
        <v>0.03</v>
      </c>
      <c r="K17" s="14">
        <v>0.16</v>
      </c>
      <c r="L17" s="14">
        <v>0.14000000000000001</v>
      </c>
      <c r="M17" s="14">
        <v>0.11</v>
      </c>
      <c r="N17" s="14">
        <v>0.09</v>
      </c>
      <c r="O17" s="14">
        <v>0.11</v>
      </c>
      <c r="P17" s="14">
        <v>0.02</v>
      </c>
      <c r="Q17" s="14">
        <v>0.04</v>
      </c>
      <c r="R17" s="14">
        <v>0.12</v>
      </c>
      <c r="S17" s="14">
        <v>0.13</v>
      </c>
      <c r="T17" s="14">
        <v>0.11</v>
      </c>
      <c r="U17" s="14">
        <v>0.19</v>
      </c>
      <c r="V17" s="14">
        <v>0.03</v>
      </c>
      <c r="W17" s="14">
        <v>0.06</v>
      </c>
      <c r="X17" s="14">
        <v>0.11</v>
      </c>
      <c r="Y17" s="14">
        <v>0.11</v>
      </c>
      <c r="Z17" s="14">
        <v>0.03</v>
      </c>
      <c r="AA17" s="14">
        <v>0.15</v>
      </c>
      <c r="AB17" s="14">
        <v>0.05</v>
      </c>
      <c r="AC17" s="14">
        <v>0.08</v>
      </c>
      <c r="AD17" s="14">
        <v>0.05</v>
      </c>
      <c r="AE17" s="14">
        <v>0.16</v>
      </c>
      <c r="AF17" s="14">
        <v>0.22</v>
      </c>
    </row>
    <row r="18" spans="1:32">
      <c r="A18" s="19"/>
      <c r="B18" s="11" t="s">
        <v>386</v>
      </c>
      <c r="C18" s="12">
        <v>723</v>
      </c>
      <c r="D18" s="12">
        <v>5</v>
      </c>
      <c r="E18" s="12">
        <v>43</v>
      </c>
      <c r="F18" s="12">
        <v>60</v>
      </c>
      <c r="G18" s="12">
        <v>13</v>
      </c>
      <c r="H18" s="12">
        <v>22</v>
      </c>
      <c r="I18" s="12">
        <v>31</v>
      </c>
      <c r="J18" s="12">
        <v>8</v>
      </c>
      <c r="K18" s="12">
        <v>29</v>
      </c>
      <c r="L18" s="12">
        <v>27</v>
      </c>
      <c r="M18" s="12">
        <v>18</v>
      </c>
      <c r="N18" s="12">
        <v>46</v>
      </c>
      <c r="O18" s="12">
        <v>30</v>
      </c>
      <c r="P18" s="12">
        <v>16</v>
      </c>
      <c r="Q18" s="12">
        <v>21</v>
      </c>
      <c r="R18" s="12">
        <v>17</v>
      </c>
      <c r="S18" s="12">
        <v>11</v>
      </c>
      <c r="T18" s="12">
        <v>14</v>
      </c>
      <c r="U18" s="12">
        <v>5</v>
      </c>
      <c r="V18" s="12">
        <v>9</v>
      </c>
      <c r="W18" s="12">
        <v>11</v>
      </c>
      <c r="X18" s="12">
        <v>25</v>
      </c>
      <c r="Y18" s="12">
        <v>38</v>
      </c>
      <c r="Z18" s="12">
        <v>20</v>
      </c>
      <c r="AA18" s="12">
        <v>95</v>
      </c>
      <c r="AB18" s="12">
        <v>39</v>
      </c>
      <c r="AC18" s="12">
        <v>7</v>
      </c>
      <c r="AD18" s="12">
        <v>9</v>
      </c>
      <c r="AE18" s="12">
        <v>15</v>
      </c>
      <c r="AF18" s="12">
        <v>21</v>
      </c>
    </row>
    <row r="19" spans="1:32">
      <c r="A19" s="19"/>
      <c r="B19" s="13" t="s">
        <v>387</v>
      </c>
      <c r="C19" s="14">
        <v>0.03</v>
      </c>
      <c r="D19" s="15" t="s">
        <v>375</v>
      </c>
      <c r="E19" s="14">
        <v>0.04</v>
      </c>
      <c r="F19" s="14">
        <v>0.06</v>
      </c>
      <c r="G19" s="14">
        <v>0.01</v>
      </c>
      <c r="H19" s="14">
        <v>0.02</v>
      </c>
      <c r="I19" s="14">
        <v>0.02</v>
      </c>
      <c r="J19" s="14">
        <v>0.03</v>
      </c>
      <c r="K19" s="14">
        <v>0.03</v>
      </c>
      <c r="L19" s="14">
        <v>0.03</v>
      </c>
      <c r="M19" s="14">
        <v>0.02</v>
      </c>
      <c r="N19" s="14">
        <v>0.04</v>
      </c>
      <c r="O19" s="14">
        <v>0.03</v>
      </c>
      <c r="P19" s="14">
        <v>0.02</v>
      </c>
      <c r="Q19" s="14">
        <v>0.02</v>
      </c>
      <c r="R19" s="14">
        <v>0.03</v>
      </c>
      <c r="S19" s="14">
        <v>0.01</v>
      </c>
      <c r="T19" s="14">
        <v>0.01</v>
      </c>
      <c r="U19" s="14">
        <v>0.01</v>
      </c>
      <c r="V19" s="14">
        <v>0.01</v>
      </c>
      <c r="W19" s="14">
        <v>0.02</v>
      </c>
      <c r="X19" s="14">
        <v>0.02</v>
      </c>
      <c r="Y19" s="14">
        <v>0.04</v>
      </c>
      <c r="Z19" s="14">
        <v>0.02</v>
      </c>
      <c r="AA19" s="14">
        <v>0.09</v>
      </c>
      <c r="AB19" s="14">
        <v>0.04</v>
      </c>
      <c r="AC19" s="14">
        <v>0.01</v>
      </c>
      <c r="AD19" s="14">
        <v>0.01</v>
      </c>
      <c r="AE19" s="14">
        <v>0.02</v>
      </c>
      <c r="AF19" s="14">
        <v>0.02</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97</v>
      </c>
      <c r="C3" s="17"/>
      <c r="D3" s="17"/>
      <c r="E3" s="17"/>
      <c r="F3" s="17"/>
      <c r="H3" s="17" t="s">
        <v>98</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HYPERLINK("#Content!A50","&lt;&lt;Back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686</v>
      </c>
      <c r="C12" s="12">
        <v>9385</v>
      </c>
      <c r="D12" s="12">
        <v>471</v>
      </c>
      <c r="E12" s="12">
        <v>273</v>
      </c>
      <c r="F12" s="12">
        <v>407</v>
      </c>
      <c r="G12" s="12">
        <v>207</v>
      </c>
      <c r="H12" s="12">
        <v>362</v>
      </c>
      <c r="I12" s="12">
        <v>448</v>
      </c>
      <c r="J12" s="12">
        <v>85</v>
      </c>
      <c r="K12" s="12">
        <v>263</v>
      </c>
      <c r="L12" s="12">
        <v>435</v>
      </c>
      <c r="M12" s="12">
        <v>436</v>
      </c>
      <c r="N12" s="12">
        <v>356</v>
      </c>
      <c r="O12" s="12">
        <v>277</v>
      </c>
      <c r="P12" s="12">
        <v>349</v>
      </c>
      <c r="Q12" s="12">
        <v>561</v>
      </c>
      <c r="R12" s="12">
        <v>149</v>
      </c>
      <c r="S12" s="12">
        <v>201</v>
      </c>
      <c r="T12" s="12">
        <v>431</v>
      </c>
      <c r="U12" s="12">
        <v>255</v>
      </c>
      <c r="V12" s="12">
        <v>423</v>
      </c>
      <c r="W12" s="12">
        <v>227</v>
      </c>
      <c r="X12" s="12">
        <v>212</v>
      </c>
      <c r="Y12" s="12">
        <v>278</v>
      </c>
      <c r="Z12" s="12">
        <v>313</v>
      </c>
      <c r="AA12" s="12">
        <v>527</v>
      </c>
      <c r="AB12" s="12">
        <v>442</v>
      </c>
      <c r="AC12" s="12">
        <v>151</v>
      </c>
      <c r="AD12" s="12">
        <v>312</v>
      </c>
      <c r="AE12" s="12">
        <v>285</v>
      </c>
      <c r="AF12" s="12">
        <v>415</v>
      </c>
    </row>
    <row r="13" spans="1:32">
      <c r="A13" s="19"/>
      <c r="B13" s="13" t="s">
        <v>687</v>
      </c>
      <c r="C13" s="14">
        <v>0.35</v>
      </c>
      <c r="D13" s="14">
        <v>0.46</v>
      </c>
      <c r="E13" s="14">
        <v>0.26</v>
      </c>
      <c r="F13" s="14">
        <v>0.38</v>
      </c>
      <c r="G13" s="14">
        <v>0.2</v>
      </c>
      <c r="H13" s="14">
        <v>0.3</v>
      </c>
      <c r="I13" s="14">
        <v>0.28999999999999998</v>
      </c>
      <c r="J13" s="14">
        <v>0.28999999999999998</v>
      </c>
      <c r="K13" s="14">
        <v>0.26</v>
      </c>
      <c r="L13" s="14">
        <v>0.43</v>
      </c>
      <c r="M13" s="14">
        <v>0.43</v>
      </c>
      <c r="N13" s="14">
        <v>0.35</v>
      </c>
      <c r="O13" s="14">
        <v>0.28000000000000003</v>
      </c>
      <c r="P13" s="14">
        <v>0.35</v>
      </c>
      <c r="Q13" s="14">
        <v>0.55000000000000004</v>
      </c>
      <c r="R13" s="14">
        <v>0.3</v>
      </c>
      <c r="S13" s="14">
        <v>0.2</v>
      </c>
      <c r="T13" s="14">
        <v>0.42</v>
      </c>
      <c r="U13" s="14">
        <v>0.5</v>
      </c>
      <c r="V13" s="14">
        <v>0.41</v>
      </c>
      <c r="W13" s="14">
        <v>0.45</v>
      </c>
      <c r="X13" s="14">
        <v>0.21</v>
      </c>
      <c r="Y13" s="14">
        <v>0.28000000000000003</v>
      </c>
      <c r="Z13" s="14">
        <v>0.31</v>
      </c>
      <c r="AA13" s="14">
        <v>0.51</v>
      </c>
      <c r="AB13" s="14">
        <v>0.42</v>
      </c>
      <c r="AC13" s="14">
        <v>0.15</v>
      </c>
      <c r="AD13" s="14">
        <v>0.31</v>
      </c>
      <c r="AE13" s="14">
        <v>0.28999999999999998</v>
      </c>
      <c r="AF13" s="14">
        <v>0.4</v>
      </c>
    </row>
    <row r="14" spans="1:32">
      <c r="A14" s="19"/>
      <c r="B14" s="11" t="s">
        <v>688</v>
      </c>
      <c r="C14" s="12">
        <v>13653</v>
      </c>
      <c r="D14" s="12">
        <v>411</v>
      </c>
      <c r="E14" s="12">
        <v>608</v>
      </c>
      <c r="F14" s="12">
        <v>537</v>
      </c>
      <c r="G14" s="12">
        <v>372</v>
      </c>
      <c r="H14" s="12">
        <v>667</v>
      </c>
      <c r="I14" s="12">
        <v>858</v>
      </c>
      <c r="J14" s="12">
        <v>191</v>
      </c>
      <c r="K14" s="12">
        <v>481</v>
      </c>
      <c r="L14" s="12">
        <v>383</v>
      </c>
      <c r="M14" s="12">
        <v>445</v>
      </c>
      <c r="N14" s="12">
        <v>522</v>
      </c>
      <c r="O14" s="12">
        <v>573</v>
      </c>
      <c r="P14" s="12">
        <v>609</v>
      </c>
      <c r="Q14" s="12">
        <v>416</v>
      </c>
      <c r="R14" s="12">
        <v>276</v>
      </c>
      <c r="S14" s="12">
        <v>631</v>
      </c>
      <c r="T14" s="12">
        <v>445</v>
      </c>
      <c r="U14" s="12">
        <v>154</v>
      </c>
      <c r="V14" s="12">
        <v>547</v>
      </c>
      <c r="W14" s="12">
        <v>217</v>
      </c>
      <c r="X14" s="12">
        <v>645</v>
      </c>
      <c r="Y14" s="12">
        <v>559</v>
      </c>
      <c r="Z14" s="12">
        <v>625</v>
      </c>
      <c r="AA14" s="12">
        <v>278</v>
      </c>
      <c r="AB14" s="12">
        <v>519</v>
      </c>
      <c r="AC14" s="12">
        <v>733</v>
      </c>
      <c r="AD14" s="12">
        <v>611</v>
      </c>
      <c r="AE14" s="12">
        <v>501</v>
      </c>
      <c r="AF14" s="12">
        <v>376</v>
      </c>
    </row>
    <row r="15" spans="1:32">
      <c r="A15" s="19"/>
      <c r="B15" s="13" t="s">
        <v>689</v>
      </c>
      <c r="C15" s="14">
        <v>0.52</v>
      </c>
      <c r="D15" s="14">
        <v>0.4</v>
      </c>
      <c r="E15" s="14">
        <v>0.57999999999999996</v>
      </c>
      <c r="F15" s="14">
        <v>0.5</v>
      </c>
      <c r="G15" s="14">
        <v>0.37</v>
      </c>
      <c r="H15" s="14">
        <v>0.54</v>
      </c>
      <c r="I15" s="14">
        <v>0.56000000000000005</v>
      </c>
      <c r="J15" s="14">
        <v>0.64</v>
      </c>
      <c r="K15" s="14">
        <v>0.48</v>
      </c>
      <c r="L15" s="14">
        <v>0.38</v>
      </c>
      <c r="M15" s="14">
        <v>0.44</v>
      </c>
      <c r="N15" s="14">
        <v>0.52</v>
      </c>
      <c r="O15" s="14">
        <v>0.57000000000000006</v>
      </c>
      <c r="P15" s="14">
        <v>0.61</v>
      </c>
      <c r="Q15" s="14">
        <v>0.4</v>
      </c>
      <c r="R15" s="14">
        <v>0.55000000000000004</v>
      </c>
      <c r="S15" s="14">
        <v>0.63</v>
      </c>
      <c r="T15" s="14">
        <v>0.44</v>
      </c>
      <c r="U15" s="14">
        <v>0.3</v>
      </c>
      <c r="V15" s="14">
        <v>0.53</v>
      </c>
      <c r="W15" s="14">
        <v>0.43</v>
      </c>
      <c r="X15" s="14">
        <v>0.64</v>
      </c>
      <c r="Y15" s="14">
        <v>0.56000000000000005</v>
      </c>
      <c r="Z15" s="14">
        <v>0.61</v>
      </c>
      <c r="AA15" s="14">
        <v>0.27</v>
      </c>
      <c r="AB15" s="14">
        <v>0.5</v>
      </c>
      <c r="AC15" s="14">
        <v>0.73</v>
      </c>
      <c r="AD15" s="14">
        <v>0.61</v>
      </c>
      <c r="AE15" s="14">
        <v>0.5</v>
      </c>
      <c r="AF15" s="14">
        <v>0.36</v>
      </c>
    </row>
    <row r="16" spans="1:32">
      <c r="A16" s="19"/>
      <c r="B16" s="11" t="s">
        <v>684</v>
      </c>
      <c r="C16" s="12">
        <v>2678</v>
      </c>
      <c r="D16" s="12">
        <v>131</v>
      </c>
      <c r="E16" s="12">
        <v>104</v>
      </c>
      <c r="F16" s="12">
        <v>60</v>
      </c>
      <c r="G16" s="12">
        <v>416</v>
      </c>
      <c r="H16" s="12">
        <v>172</v>
      </c>
      <c r="I16" s="12">
        <v>191</v>
      </c>
      <c r="J16" s="12">
        <v>19</v>
      </c>
      <c r="K16" s="12">
        <v>223</v>
      </c>
      <c r="L16" s="12">
        <v>164</v>
      </c>
      <c r="M16" s="12">
        <v>106</v>
      </c>
      <c r="N16" s="12">
        <v>89</v>
      </c>
      <c r="O16" s="12">
        <v>122</v>
      </c>
      <c r="P16" s="12">
        <v>30</v>
      </c>
      <c r="Q16" s="12">
        <v>39</v>
      </c>
      <c r="R16" s="12">
        <v>65</v>
      </c>
      <c r="S16" s="12">
        <v>141</v>
      </c>
      <c r="T16" s="12">
        <v>124</v>
      </c>
      <c r="U16" s="12">
        <v>95</v>
      </c>
      <c r="V16" s="12">
        <v>44</v>
      </c>
      <c r="W16" s="12">
        <v>45</v>
      </c>
      <c r="X16" s="12">
        <v>134</v>
      </c>
      <c r="Y16" s="12">
        <v>133</v>
      </c>
      <c r="Z16" s="12">
        <v>38</v>
      </c>
      <c r="AA16" s="12">
        <v>143</v>
      </c>
      <c r="AB16" s="12">
        <v>57</v>
      </c>
      <c r="AC16" s="12">
        <v>109</v>
      </c>
      <c r="AD16" s="12">
        <v>69</v>
      </c>
      <c r="AE16" s="12">
        <v>191</v>
      </c>
      <c r="AF16" s="12">
        <v>223</v>
      </c>
    </row>
    <row r="17" spans="1:32">
      <c r="A17" s="19"/>
      <c r="B17" s="13" t="s">
        <v>685</v>
      </c>
      <c r="C17" s="14">
        <v>0.1</v>
      </c>
      <c r="D17" s="14">
        <v>0.13</v>
      </c>
      <c r="E17" s="14">
        <v>0.1</v>
      </c>
      <c r="F17" s="14">
        <v>0.06</v>
      </c>
      <c r="G17" s="14">
        <v>0.41</v>
      </c>
      <c r="H17" s="14">
        <v>0.14000000000000001</v>
      </c>
      <c r="I17" s="14">
        <v>0.13</v>
      </c>
      <c r="J17" s="14">
        <v>0.06</v>
      </c>
      <c r="K17" s="14">
        <v>0.22</v>
      </c>
      <c r="L17" s="14">
        <v>0.17</v>
      </c>
      <c r="M17" s="14">
        <v>0.11</v>
      </c>
      <c r="N17" s="14">
        <v>0.09</v>
      </c>
      <c r="O17" s="14">
        <v>0.12</v>
      </c>
      <c r="P17" s="14">
        <v>0.03</v>
      </c>
      <c r="Q17" s="14">
        <v>0.04</v>
      </c>
      <c r="R17" s="14">
        <v>0.13</v>
      </c>
      <c r="S17" s="14">
        <v>0.14000000000000001</v>
      </c>
      <c r="T17" s="14">
        <v>0.12</v>
      </c>
      <c r="U17" s="14">
        <v>0.19</v>
      </c>
      <c r="V17" s="14">
        <v>0.05</v>
      </c>
      <c r="W17" s="14">
        <v>0.09</v>
      </c>
      <c r="X17" s="14">
        <v>0.13</v>
      </c>
      <c r="Y17" s="14">
        <v>0.13</v>
      </c>
      <c r="Z17" s="14">
        <v>0.04</v>
      </c>
      <c r="AA17" s="14">
        <v>0.14000000000000001</v>
      </c>
      <c r="AB17" s="14">
        <v>0.06</v>
      </c>
      <c r="AC17" s="14">
        <v>0.11</v>
      </c>
      <c r="AD17" s="14">
        <v>7.0000000000000007E-2</v>
      </c>
      <c r="AE17" s="14">
        <v>0.19</v>
      </c>
      <c r="AF17" s="14">
        <v>0.22</v>
      </c>
    </row>
    <row r="18" spans="1:32">
      <c r="A18" s="19"/>
      <c r="B18" s="11" t="s">
        <v>386</v>
      </c>
      <c r="C18" s="12">
        <v>736</v>
      </c>
      <c r="D18" s="12">
        <v>8</v>
      </c>
      <c r="E18" s="12">
        <v>61</v>
      </c>
      <c r="F18" s="12">
        <v>60</v>
      </c>
      <c r="G18" s="12">
        <v>20</v>
      </c>
      <c r="H18" s="12">
        <v>28</v>
      </c>
      <c r="I18" s="12">
        <v>31</v>
      </c>
      <c r="J18" s="12">
        <v>2</v>
      </c>
      <c r="K18" s="12">
        <v>39</v>
      </c>
      <c r="L18" s="12">
        <v>23</v>
      </c>
      <c r="M18" s="12">
        <v>20</v>
      </c>
      <c r="N18" s="12">
        <v>44</v>
      </c>
      <c r="O18" s="12">
        <v>31</v>
      </c>
      <c r="P18" s="12">
        <v>15</v>
      </c>
      <c r="Q18" s="12">
        <v>15</v>
      </c>
      <c r="R18" s="12">
        <v>11</v>
      </c>
      <c r="S18" s="12">
        <v>31</v>
      </c>
      <c r="T18" s="12">
        <v>23</v>
      </c>
      <c r="U18" s="12">
        <v>4</v>
      </c>
      <c r="V18" s="12">
        <v>13</v>
      </c>
      <c r="W18" s="12">
        <v>14</v>
      </c>
      <c r="X18" s="12">
        <v>18</v>
      </c>
      <c r="Y18" s="12">
        <v>32</v>
      </c>
      <c r="Z18" s="12">
        <v>40</v>
      </c>
      <c r="AA18" s="12">
        <v>89</v>
      </c>
      <c r="AB18" s="12">
        <v>23</v>
      </c>
      <c r="AC18" s="12">
        <v>13</v>
      </c>
      <c r="AD18" s="12">
        <v>11</v>
      </c>
      <c r="AE18" s="12">
        <v>24</v>
      </c>
      <c r="AF18" s="12">
        <v>17</v>
      </c>
    </row>
    <row r="19" spans="1:32">
      <c r="A19" s="19"/>
      <c r="B19" s="13" t="s">
        <v>399</v>
      </c>
      <c r="C19" s="14">
        <v>0.03</v>
      </c>
      <c r="D19" s="14">
        <v>0.01</v>
      </c>
      <c r="E19" s="14">
        <v>0.06</v>
      </c>
      <c r="F19" s="14">
        <v>0.06</v>
      </c>
      <c r="G19" s="14">
        <v>0.02</v>
      </c>
      <c r="H19" s="14">
        <v>0.02</v>
      </c>
      <c r="I19" s="14">
        <v>0.02</v>
      </c>
      <c r="J19" s="14">
        <v>0.01</v>
      </c>
      <c r="K19" s="14">
        <v>0.04</v>
      </c>
      <c r="L19" s="14">
        <v>0.02</v>
      </c>
      <c r="M19" s="14">
        <v>0.02</v>
      </c>
      <c r="N19" s="14">
        <v>0.04</v>
      </c>
      <c r="O19" s="14">
        <v>0.03</v>
      </c>
      <c r="P19" s="14">
        <v>0.01</v>
      </c>
      <c r="Q19" s="14">
        <v>0.01</v>
      </c>
      <c r="R19" s="14">
        <v>0.02</v>
      </c>
      <c r="S19" s="14">
        <v>0.03</v>
      </c>
      <c r="T19" s="14">
        <v>0.02</v>
      </c>
      <c r="U19" s="14">
        <v>0.01</v>
      </c>
      <c r="V19" s="14">
        <v>0.01</v>
      </c>
      <c r="W19" s="14">
        <v>0.03</v>
      </c>
      <c r="X19" s="14">
        <v>0.02</v>
      </c>
      <c r="Y19" s="14">
        <v>0.03</v>
      </c>
      <c r="Z19" s="14">
        <v>0.04</v>
      </c>
      <c r="AA19" s="14">
        <v>0.08</v>
      </c>
      <c r="AB19" s="14">
        <v>0.02</v>
      </c>
      <c r="AC19" s="14">
        <v>0.01</v>
      </c>
      <c r="AD19" s="14">
        <v>0.01</v>
      </c>
      <c r="AE19" s="14">
        <v>0.02</v>
      </c>
      <c r="AF19" s="14">
        <v>0.02</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3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99</v>
      </c>
      <c r="C3" s="17"/>
      <c r="D3" s="17"/>
      <c r="E3" s="17"/>
      <c r="F3" s="17"/>
      <c r="H3" s="17" t="s">
        <v>100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HYPERLINK("#Content!A51","&lt;&lt;Back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690</v>
      </c>
      <c r="C12" s="12">
        <v>7478</v>
      </c>
      <c r="D12" s="12">
        <v>316</v>
      </c>
      <c r="E12" s="12">
        <v>266</v>
      </c>
      <c r="F12" s="12">
        <v>232</v>
      </c>
      <c r="G12" s="12">
        <v>357</v>
      </c>
      <c r="H12" s="12">
        <v>359</v>
      </c>
      <c r="I12" s="12">
        <v>406</v>
      </c>
      <c r="J12" s="12">
        <v>47</v>
      </c>
      <c r="K12" s="12">
        <v>222</v>
      </c>
      <c r="L12" s="12">
        <v>315</v>
      </c>
      <c r="M12" s="12">
        <v>334</v>
      </c>
      <c r="N12" s="12">
        <v>273</v>
      </c>
      <c r="O12" s="12">
        <v>324</v>
      </c>
      <c r="P12" s="12">
        <v>194</v>
      </c>
      <c r="Q12" s="12">
        <v>385</v>
      </c>
      <c r="R12" s="12">
        <v>96</v>
      </c>
      <c r="S12" s="12">
        <v>130</v>
      </c>
      <c r="T12" s="12">
        <v>154</v>
      </c>
      <c r="U12" s="12">
        <v>164</v>
      </c>
      <c r="V12" s="12">
        <v>264</v>
      </c>
      <c r="W12" s="12">
        <v>116</v>
      </c>
      <c r="X12" s="12">
        <v>286</v>
      </c>
      <c r="Y12" s="12">
        <v>282</v>
      </c>
      <c r="Z12" s="12">
        <v>185</v>
      </c>
      <c r="AA12" s="12">
        <v>327</v>
      </c>
      <c r="AB12" s="12">
        <v>240</v>
      </c>
      <c r="AC12" s="12">
        <v>196</v>
      </c>
      <c r="AD12" s="12">
        <v>335</v>
      </c>
      <c r="AE12" s="12">
        <v>171</v>
      </c>
      <c r="AF12" s="12">
        <v>260</v>
      </c>
    </row>
    <row r="13" spans="1:32">
      <c r="A13" s="19"/>
      <c r="B13" s="13" t="s">
        <v>691</v>
      </c>
      <c r="C13" s="14">
        <v>0.28000000000000003</v>
      </c>
      <c r="D13" s="14">
        <v>0.31</v>
      </c>
      <c r="E13" s="14">
        <v>0.25</v>
      </c>
      <c r="F13" s="14">
        <v>0.22</v>
      </c>
      <c r="G13" s="14">
        <v>0.35</v>
      </c>
      <c r="H13" s="14">
        <v>0.28999999999999998</v>
      </c>
      <c r="I13" s="14">
        <v>0.27</v>
      </c>
      <c r="J13" s="14">
        <v>0.16</v>
      </c>
      <c r="K13" s="14">
        <v>0.22</v>
      </c>
      <c r="L13" s="14">
        <v>0.31</v>
      </c>
      <c r="M13" s="14">
        <v>0.33</v>
      </c>
      <c r="N13" s="14">
        <v>0.27</v>
      </c>
      <c r="O13" s="14">
        <v>0.32</v>
      </c>
      <c r="P13" s="14">
        <v>0.19</v>
      </c>
      <c r="Q13" s="14">
        <v>0.37</v>
      </c>
      <c r="R13" s="14">
        <v>0.19</v>
      </c>
      <c r="S13" s="14">
        <v>0.13</v>
      </c>
      <c r="T13" s="14">
        <v>0.15</v>
      </c>
      <c r="U13" s="14">
        <v>0.32</v>
      </c>
      <c r="V13" s="14">
        <v>0.26</v>
      </c>
      <c r="W13" s="14">
        <v>0.23</v>
      </c>
      <c r="X13" s="14">
        <v>0.28000000000000003</v>
      </c>
      <c r="Y13" s="14">
        <v>0.28000000000000003</v>
      </c>
      <c r="Z13" s="14">
        <v>0.18</v>
      </c>
      <c r="AA13" s="14">
        <v>0.32</v>
      </c>
      <c r="AB13" s="14">
        <v>0.23</v>
      </c>
      <c r="AC13" s="14">
        <v>0.2</v>
      </c>
      <c r="AD13" s="14">
        <v>0.33</v>
      </c>
      <c r="AE13" s="14">
        <v>0.17</v>
      </c>
      <c r="AF13" s="14">
        <v>0.25</v>
      </c>
    </row>
    <row r="14" spans="1:32">
      <c r="A14" s="19"/>
      <c r="B14" s="11" t="s">
        <v>692</v>
      </c>
      <c r="C14" s="12">
        <v>9179</v>
      </c>
      <c r="D14" s="12">
        <v>294</v>
      </c>
      <c r="E14" s="12">
        <v>480</v>
      </c>
      <c r="F14" s="12">
        <v>382</v>
      </c>
      <c r="G14" s="12">
        <v>407</v>
      </c>
      <c r="H14" s="12">
        <v>505</v>
      </c>
      <c r="I14" s="12">
        <v>621</v>
      </c>
      <c r="J14" s="12">
        <v>117</v>
      </c>
      <c r="K14" s="12">
        <v>340</v>
      </c>
      <c r="L14" s="12">
        <v>418</v>
      </c>
      <c r="M14" s="12">
        <v>394</v>
      </c>
      <c r="N14" s="12">
        <v>313</v>
      </c>
      <c r="O14" s="12">
        <v>352</v>
      </c>
      <c r="P14" s="12">
        <v>378</v>
      </c>
      <c r="Q14" s="12">
        <v>342</v>
      </c>
      <c r="R14" s="12">
        <v>161</v>
      </c>
      <c r="S14" s="12">
        <v>283</v>
      </c>
      <c r="T14" s="12">
        <v>325</v>
      </c>
      <c r="U14" s="12">
        <v>193</v>
      </c>
      <c r="V14" s="12">
        <v>432</v>
      </c>
      <c r="W14" s="12">
        <v>152</v>
      </c>
      <c r="X14" s="12">
        <v>302</v>
      </c>
      <c r="Y14" s="12">
        <v>441</v>
      </c>
      <c r="Z14" s="12">
        <v>252</v>
      </c>
      <c r="AA14" s="12">
        <v>283</v>
      </c>
      <c r="AB14" s="12">
        <v>322</v>
      </c>
      <c r="AC14" s="12">
        <v>403</v>
      </c>
      <c r="AD14" s="12">
        <v>503</v>
      </c>
      <c r="AE14" s="12">
        <v>277</v>
      </c>
      <c r="AF14" s="12">
        <v>377</v>
      </c>
    </row>
    <row r="15" spans="1:32">
      <c r="A15" s="19"/>
      <c r="B15" s="13" t="s">
        <v>693</v>
      </c>
      <c r="C15" s="14">
        <v>0.35</v>
      </c>
      <c r="D15" s="14">
        <v>0.28999999999999998</v>
      </c>
      <c r="E15" s="14">
        <v>0.46</v>
      </c>
      <c r="F15" s="14">
        <v>0.36</v>
      </c>
      <c r="G15" s="14">
        <v>0.4</v>
      </c>
      <c r="H15" s="14">
        <v>0.41</v>
      </c>
      <c r="I15" s="14">
        <v>0.41</v>
      </c>
      <c r="J15" s="14">
        <v>0.39</v>
      </c>
      <c r="K15" s="14">
        <v>0.34</v>
      </c>
      <c r="L15" s="14">
        <v>0.42</v>
      </c>
      <c r="M15" s="14">
        <v>0.39</v>
      </c>
      <c r="N15" s="14">
        <v>0.31</v>
      </c>
      <c r="O15" s="14">
        <v>0.35</v>
      </c>
      <c r="P15" s="14">
        <v>0.38</v>
      </c>
      <c r="Q15" s="14">
        <v>0.33</v>
      </c>
      <c r="R15" s="14">
        <v>0.32</v>
      </c>
      <c r="S15" s="14">
        <v>0.28000000000000003</v>
      </c>
      <c r="T15" s="14">
        <v>0.32</v>
      </c>
      <c r="U15" s="14">
        <v>0.38</v>
      </c>
      <c r="V15" s="14">
        <v>0.42</v>
      </c>
      <c r="W15" s="14">
        <v>0.3</v>
      </c>
      <c r="X15" s="14">
        <v>0.3</v>
      </c>
      <c r="Y15" s="14">
        <v>0.44</v>
      </c>
      <c r="Z15" s="14">
        <v>0.25</v>
      </c>
      <c r="AA15" s="14">
        <v>0.27</v>
      </c>
      <c r="AB15" s="14">
        <v>0.31</v>
      </c>
      <c r="AC15" s="14">
        <v>0.4</v>
      </c>
      <c r="AD15" s="14">
        <v>0.5</v>
      </c>
      <c r="AE15" s="14">
        <v>0.28000000000000003</v>
      </c>
      <c r="AF15" s="14">
        <v>0.37</v>
      </c>
    </row>
    <row r="16" spans="1:32">
      <c r="A16" s="19"/>
      <c r="B16" s="11" t="s">
        <v>694</v>
      </c>
      <c r="C16" s="12">
        <v>13986</v>
      </c>
      <c r="D16" s="12">
        <v>499</v>
      </c>
      <c r="E16" s="12">
        <v>444</v>
      </c>
      <c r="F16" s="12">
        <v>483</v>
      </c>
      <c r="G16" s="12">
        <v>479</v>
      </c>
      <c r="H16" s="12">
        <v>622</v>
      </c>
      <c r="I16" s="12">
        <v>793</v>
      </c>
      <c r="J16" s="12">
        <v>171</v>
      </c>
      <c r="K16" s="12">
        <v>490</v>
      </c>
      <c r="L16" s="12">
        <v>421</v>
      </c>
      <c r="M16" s="12">
        <v>632</v>
      </c>
      <c r="N16" s="12">
        <v>576</v>
      </c>
      <c r="O16" s="12">
        <v>605</v>
      </c>
      <c r="P16" s="12">
        <v>492</v>
      </c>
      <c r="Q16" s="12">
        <v>544</v>
      </c>
      <c r="R16" s="12">
        <v>325</v>
      </c>
      <c r="S16" s="12">
        <v>567</v>
      </c>
      <c r="T16" s="12">
        <v>585</v>
      </c>
      <c r="U16" s="12">
        <v>233</v>
      </c>
      <c r="V16" s="12">
        <v>394</v>
      </c>
      <c r="W16" s="12">
        <v>256</v>
      </c>
      <c r="X16" s="12">
        <v>601</v>
      </c>
      <c r="Y16" s="12">
        <v>550</v>
      </c>
      <c r="Z16" s="12">
        <v>422</v>
      </c>
      <c r="AA16" s="12">
        <v>591</v>
      </c>
      <c r="AB16" s="12">
        <v>409</v>
      </c>
      <c r="AC16" s="12">
        <v>454</v>
      </c>
      <c r="AD16" s="12">
        <v>423</v>
      </c>
      <c r="AE16" s="12">
        <v>687</v>
      </c>
      <c r="AF16" s="12">
        <v>732</v>
      </c>
    </row>
    <row r="17" spans="1:32">
      <c r="A17" s="19"/>
      <c r="B17" s="13" t="s">
        <v>695</v>
      </c>
      <c r="C17" s="14">
        <v>0.53</v>
      </c>
      <c r="D17" s="14">
        <v>0.49</v>
      </c>
      <c r="E17" s="14">
        <v>0.42</v>
      </c>
      <c r="F17" s="14">
        <v>0.45</v>
      </c>
      <c r="G17" s="14">
        <v>0.47</v>
      </c>
      <c r="H17" s="14">
        <v>0.51</v>
      </c>
      <c r="I17" s="14">
        <v>0.52</v>
      </c>
      <c r="J17" s="14">
        <v>0.57999999999999996</v>
      </c>
      <c r="K17" s="14">
        <v>0.49</v>
      </c>
      <c r="L17" s="14">
        <v>0.42</v>
      </c>
      <c r="M17" s="14">
        <v>0.63</v>
      </c>
      <c r="N17" s="14">
        <v>0.57000000000000006</v>
      </c>
      <c r="O17" s="14">
        <v>0.6</v>
      </c>
      <c r="P17" s="14">
        <v>0.49</v>
      </c>
      <c r="Q17" s="14">
        <v>0.53</v>
      </c>
      <c r="R17" s="14">
        <v>0.65</v>
      </c>
      <c r="S17" s="14">
        <v>0.56000000000000005</v>
      </c>
      <c r="T17" s="14">
        <v>0.57000000000000006</v>
      </c>
      <c r="U17" s="14">
        <v>0.46</v>
      </c>
      <c r="V17" s="14">
        <v>0.38</v>
      </c>
      <c r="W17" s="14">
        <v>0.51</v>
      </c>
      <c r="X17" s="14">
        <v>0.6</v>
      </c>
      <c r="Y17" s="14">
        <v>0.55000000000000004</v>
      </c>
      <c r="Z17" s="14">
        <v>0.41</v>
      </c>
      <c r="AA17" s="14">
        <v>0.57000000000000006</v>
      </c>
      <c r="AB17" s="14">
        <v>0.39</v>
      </c>
      <c r="AC17" s="14">
        <v>0.45</v>
      </c>
      <c r="AD17" s="14">
        <v>0.42</v>
      </c>
      <c r="AE17" s="14">
        <v>0.69000000000000006</v>
      </c>
      <c r="AF17" s="14">
        <v>0.71</v>
      </c>
    </row>
    <row r="18" spans="1:32">
      <c r="A18" s="19"/>
      <c r="B18" s="11" t="s">
        <v>696</v>
      </c>
      <c r="C18" s="12">
        <v>5463</v>
      </c>
      <c r="D18" s="12">
        <v>266</v>
      </c>
      <c r="E18" s="12">
        <v>226</v>
      </c>
      <c r="F18" s="12">
        <v>239</v>
      </c>
      <c r="G18" s="12">
        <v>317</v>
      </c>
      <c r="H18" s="12">
        <v>135</v>
      </c>
      <c r="I18" s="12">
        <v>177</v>
      </c>
      <c r="J18" s="12">
        <v>42</v>
      </c>
      <c r="K18" s="12">
        <v>190</v>
      </c>
      <c r="L18" s="12">
        <v>238</v>
      </c>
      <c r="M18" s="12">
        <v>276</v>
      </c>
      <c r="N18" s="12">
        <v>182</v>
      </c>
      <c r="O18" s="12">
        <v>270</v>
      </c>
      <c r="P18" s="12">
        <v>393</v>
      </c>
      <c r="Q18" s="12">
        <v>246</v>
      </c>
      <c r="R18" s="12">
        <v>165</v>
      </c>
      <c r="S18" s="12">
        <v>209</v>
      </c>
      <c r="T18" s="12">
        <v>179</v>
      </c>
      <c r="U18" s="12">
        <v>122</v>
      </c>
      <c r="V18" s="12">
        <v>236</v>
      </c>
      <c r="W18" s="12">
        <v>139</v>
      </c>
      <c r="X18" s="12">
        <v>225</v>
      </c>
      <c r="Y18" s="12">
        <v>211</v>
      </c>
      <c r="Z18" s="12">
        <v>181</v>
      </c>
      <c r="AA18" s="12">
        <v>163</v>
      </c>
      <c r="AB18" s="12">
        <v>213</v>
      </c>
      <c r="AC18" s="12">
        <v>290</v>
      </c>
      <c r="AD18" s="12">
        <v>236</v>
      </c>
      <c r="AE18" s="12">
        <v>217</v>
      </c>
      <c r="AF18" s="12">
        <v>248</v>
      </c>
    </row>
    <row r="19" spans="1:32">
      <c r="A19" s="19"/>
      <c r="B19" s="13" t="s">
        <v>697</v>
      </c>
      <c r="C19" s="14">
        <v>0.21</v>
      </c>
      <c r="D19" s="14">
        <v>0.26</v>
      </c>
      <c r="E19" s="14">
        <v>0.22</v>
      </c>
      <c r="F19" s="14">
        <v>0.22</v>
      </c>
      <c r="G19" s="14">
        <v>0.31</v>
      </c>
      <c r="H19" s="14">
        <v>0.11</v>
      </c>
      <c r="I19" s="14">
        <v>0.12</v>
      </c>
      <c r="J19" s="14">
        <v>0.14000000000000001</v>
      </c>
      <c r="K19" s="14">
        <v>0.19</v>
      </c>
      <c r="L19" s="14">
        <v>0.24</v>
      </c>
      <c r="M19" s="14">
        <v>0.27</v>
      </c>
      <c r="N19" s="14">
        <v>0.18</v>
      </c>
      <c r="O19" s="14">
        <v>0.27</v>
      </c>
      <c r="P19" s="14">
        <v>0.39</v>
      </c>
      <c r="Q19" s="14">
        <v>0.24</v>
      </c>
      <c r="R19" s="14">
        <v>0.33</v>
      </c>
      <c r="S19" s="14">
        <v>0.21</v>
      </c>
      <c r="T19" s="14">
        <v>0.18</v>
      </c>
      <c r="U19" s="14">
        <v>0.24</v>
      </c>
      <c r="V19" s="14">
        <v>0.23</v>
      </c>
      <c r="W19" s="14">
        <v>0.28000000000000003</v>
      </c>
      <c r="X19" s="14">
        <v>0.22</v>
      </c>
      <c r="Y19" s="14">
        <v>0.21</v>
      </c>
      <c r="Z19" s="14">
        <v>0.18</v>
      </c>
      <c r="AA19" s="14">
        <v>0.16</v>
      </c>
      <c r="AB19" s="14">
        <v>0.2</v>
      </c>
      <c r="AC19" s="14">
        <v>0.28999999999999998</v>
      </c>
      <c r="AD19" s="14">
        <v>0.24</v>
      </c>
      <c r="AE19" s="14">
        <v>0.22</v>
      </c>
      <c r="AF19" s="14">
        <v>0.24</v>
      </c>
    </row>
    <row r="20" spans="1:32">
      <c r="A20" s="19"/>
      <c r="B20" s="11" t="s">
        <v>698</v>
      </c>
      <c r="C20" s="12">
        <v>7348</v>
      </c>
      <c r="D20" s="12">
        <v>415</v>
      </c>
      <c r="E20" s="12">
        <v>146</v>
      </c>
      <c r="F20" s="12">
        <v>252</v>
      </c>
      <c r="G20" s="12">
        <v>335</v>
      </c>
      <c r="H20" s="12">
        <v>295</v>
      </c>
      <c r="I20" s="12">
        <v>384</v>
      </c>
      <c r="J20" s="12">
        <v>89</v>
      </c>
      <c r="K20" s="12">
        <v>377</v>
      </c>
      <c r="L20" s="12">
        <v>272</v>
      </c>
      <c r="M20" s="12">
        <v>512</v>
      </c>
      <c r="N20" s="12">
        <v>282</v>
      </c>
      <c r="O20" s="12">
        <v>311</v>
      </c>
      <c r="P20" s="12">
        <v>216</v>
      </c>
      <c r="Q20" s="12">
        <v>278</v>
      </c>
      <c r="R20" s="12">
        <v>205</v>
      </c>
      <c r="S20" s="12">
        <v>262</v>
      </c>
      <c r="T20" s="12">
        <v>469</v>
      </c>
      <c r="U20" s="12">
        <v>165</v>
      </c>
      <c r="V20" s="12">
        <v>269</v>
      </c>
      <c r="W20" s="12">
        <v>107</v>
      </c>
      <c r="X20" s="12">
        <v>144</v>
      </c>
      <c r="Y20" s="12">
        <v>248</v>
      </c>
      <c r="Z20" s="12">
        <v>250</v>
      </c>
      <c r="AA20" s="12">
        <v>297</v>
      </c>
      <c r="AB20" s="12">
        <v>251</v>
      </c>
      <c r="AC20" s="12">
        <v>275</v>
      </c>
      <c r="AD20" s="12">
        <v>201</v>
      </c>
      <c r="AE20" s="12">
        <v>355</v>
      </c>
      <c r="AF20" s="12">
        <v>459</v>
      </c>
    </row>
    <row r="21" spans="1:32">
      <c r="A21" s="19"/>
      <c r="B21" s="13" t="s">
        <v>699</v>
      </c>
      <c r="C21" s="14">
        <v>0.28000000000000003</v>
      </c>
      <c r="D21" s="14">
        <v>0.41</v>
      </c>
      <c r="E21" s="14">
        <v>0.14000000000000001</v>
      </c>
      <c r="F21" s="14">
        <v>0.24</v>
      </c>
      <c r="G21" s="14">
        <v>0.33</v>
      </c>
      <c r="H21" s="14">
        <v>0.24</v>
      </c>
      <c r="I21" s="14">
        <v>0.25</v>
      </c>
      <c r="J21" s="14">
        <v>0.3</v>
      </c>
      <c r="K21" s="14">
        <v>0.38</v>
      </c>
      <c r="L21" s="14">
        <v>0.27</v>
      </c>
      <c r="M21" s="14">
        <v>0.51</v>
      </c>
      <c r="N21" s="14">
        <v>0.28000000000000003</v>
      </c>
      <c r="O21" s="14">
        <v>0.31</v>
      </c>
      <c r="P21" s="14">
        <v>0.21</v>
      </c>
      <c r="Q21" s="14">
        <v>0.27</v>
      </c>
      <c r="R21" s="14">
        <v>0.41</v>
      </c>
      <c r="S21" s="14">
        <v>0.26</v>
      </c>
      <c r="T21" s="14">
        <v>0.46</v>
      </c>
      <c r="U21" s="14">
        <v>0.32</v>
      </c>
      <c r="V21" s="14">
        <v>0.26</v>
      </c>
      <c r="W21" s="14">
        <v>0.21</v>
      </c>
      <c r="X21" s="14">
        <v>0.14000000000000001</v>
      </c>
      <c r="Y21" s="14">
        <v>0.25</v>
      </c>
      <c r="Z21" s="14">
        <v>0.25</v>
      </c>
      <c r="AA21" s="14">
        <v>0.28999999999999998</v>
      </c>
      <c r="AB21" s="14">
        <v>0.24</v>
      </c>
      <c r="AC21" s="14">
        <v>0.27</v>
      </c>
      <c r="AD21" s="14">
        <v>0.2</v>
      </c>
      <c r="AE21" s="14">
        <v>0.35</v>
      </c>
      <c r="AF21" s="14">
        <v>0.45</v>
      </c>
    </row>
    <row r="22" spans="1:32">
      <c r="A22" s="19"/>
      <c r="B22" s="11" t="s">
        <v>700</v>
      </c>
      <c r="C22" s="12">
        <v>6452</v>
      </c>
      <c r="D22" s="12">
        <v>217</v>
      </c>
      <c r="E22" s="12">
        <v>361</v>
      </c>
      <c r="F22" s="12">
        <v>240</v>
      </c>
      <c r="G22" s="12">
        <v>337</v>
      </c>
      <c r="H22" s="12">
        <v>324</v>
      </c>
      <c r="I22" s="12">
        <v>420</v>
      </c>
      <c r="J22" s="12">
        <v>96</v>
      </c>
      <c r="K22" s="12">
        <v>265</v>
      </c>
      <c r="L22" s="12">
        <v>248</v>
      </c>
      <c r="M22" s="12">
        <v>310</v>
      </c>
      <c r="N22" s="12">
        <v>187</v>
      </c>
      <c r="O22" s="12">
        <v>143</v>
      </c>
      <c r="P22" s="12">
        <v>296</v>
      </c>
      <c r="Q22" s="12">
        <v>219</v>
      </c>
      <c r="R22" s="12">
        <v>102</v>
      </c>
      <c r="S22" s="12">
        <v>222</v>
      </c>
      <c r="T22" s="12">
        <v>200</v>
      </c>
      <c r="U22" s="12">
        <v>68</v>
      </c>
      <c r="V22" s="12">
        <v>345</v>
      </c>
      <c r="W22" s="12">
        <v>171</v>
      </c>
      <c r="X22" s="12">
        <v>399</v>
      </c>
      <c r="Y22" s="12">
        <v>357</v>
      </c>
      <c r="Z22" s="12">
        <v>307</v>
      </c>
      <c r="AA22" s="12">
        <v>141</v>
      </c>
      <c r="AB22" s="12">
        <v>240</v>
      </c>
      <c r="AC22" s="12">
        <v>265</v>
      </c>
      <c r="AD22" s="12">
        <v>347</v>
      </c>
      <c r="AE22" s="12">
        <v>400</v>
      </c>
      <c r="AF22" s="12">
        <v>339</v>
      </c>
    </row>
    <row r="23" spans="1:32">
      <c r="A23" s="19"/>
      <c r="B23" s="13" t="s">
        <v>701</v>
      </c>
      <c r="C23" s="14">
        <v>0.24</v>
      </c>
      <c r="D23" s="14">
        <v>0.21</v>
      </c>
      <c r="E23" s="14">
        <v>0.35</v>
      </c>
      <c r="F23" s="14">
        <v>0.23</v>
      </c>
      <c r="G23" s="14">
        <v>0.33</v>
      </c>
      <c r="H23" s="14">
        <v>0.26</v>
      </c>
      <c r="I23" s="14">
        <v>0.27</v>
      </c>
      <c r="J23" s="14">
        <v>0.32</v>
      </c>
      <c r="K23" s="14">
        <v>0.26</v>
      </c>
      <c r="L23" s="14">
        <v>0.25</v>
      </c>
      <c r="M23" s="14">
        <v>0.31</v>
      </c>
      <c r="N23" s="14">
        <v>0.19</v>
      </c>
      <c r="O23" s="14">
        <v>0.14000000000000001</v>
      </c>
      <c r="P23" s="14">
        <v>0.28999999999999998</v>
      </c>
      <c r="Q23" s="14">
        <v>0.21</v>
      </c>
      <c r="R23" s="14">
        <v>0.2</v>
      </c>
      <c r="S23" s="14">
        <v>0.22</v>
      </c>
      <c r="T23" s="14">
        <v>0.2</v>
      </c>
      <c r="U23" s="14">
        <v>0.13</v>
      </c>
      <c r="V23" s="14">
        <v>0.34</v>
      </c>
      <c r="W23" s="14">
        <v>0.34</v>
      </c>
      <c r="X23" s="14">
        <v>0.39</v>
      </c>
      <c r="Y23" s="14">
        <v>0.36</v>
      </c>
      <c r="Z23" s="14">
        <v>0.3</v>
      </c>
      <c r="AA23" s="14">
        <v>0.14000000000000001</v>
      </c>
      <c r="AB23" s="14">
        <v>0.23</v>
      </c>
      <c r="AC23" s="14">
        <v>0.26</v>
      </c>
      <c r="AD23" s="14">
        <v>0.35</v>
      </c>
      <c r="AE23" s="14">
        <v>0.4</v>
      </c>
      <c r="AF23" s="14">
        <v>0.33</v>
      </c>
    </row>
    <row r="24" spans="1:32">
      <c r="A24" s="19"/>
      <c r="B24" s="11" t="s">
        <v>702</v>
      </c>
      <c r="C24" s="12">
        <v>3784</v>
      </c>
      <c r="D24" s="12">
        <v>175</v>
      </c>
      <c r="E24" s="12">
        <v>131</v>
      </c>
      <c r="F24" s="12">
        <v>237</v>
      </c>
      <c r="G24" s="12">
        <v>187</v>
      </c>
      <c r="H24" s="12">
        <v>196</v>
      </c>
      <c r="I24" s="12">
        <v>255</v>
      </c>
      <c r="J24" s="12">
        <v>59</v>
      </c>
      <c r="K24" s="12">
        <v>106</v>
      </c>
      <c r="L24" s="12">
        <v>147</v>
      </c>
      <c r="M24" s="12">
        <v>120</v>
      </c>
      <c r="N24" s="12">
        <v>106</v>
      </c>
      <c r="O24" s="12">
        <v>113</v>
      </c>
      <c r="P24" s="12">
        <v>242</v>
      </c>
      <c r="Q24" s="12">
        <v>131</v>
      </c>
      <c r="R24" s="12">
        <v>58</v>
      </c>
      <c r="S24" s="12">
        <v>108</v>
      </c>
      <c r="T24" s="12">
        <v>78</v>
      </c>
      <c r="U24" s="12">
        <v>57</v>
      </c>
      <c r="V24" s="12">
        <v>124</v>
      </c>
      <c r="W24" s="12">
        <v>133</v>
      </c>
      <c r="X24" s="12">
        <v>318</v>
      </c>
      <c r="Y24" s="12">
        <v>161</v>
      </c>
      <c r="Z24" s="12">
        <v>123</v>
      </c>
      <c r="AA24" s="12">
        <v>60</v>
      </c>
      <c r="AB24" s="12">
        <v>162</v>
      </c>
      <c r="AC24" s="12">
        <v>149</v>
      </c>
      <c r="AD24" s="12">
        <v>224</v>
      </c>
      <c r="AE24" s="12">
        <v>116</v>
      </c>
      <c r="AF24" s="12">
        <v>138</v>
      </c>
    </row>
    <row r="25" spans="1:32">
      <c r="A25" s="19"/>
      <c r="B25" s="13" t="s">
        <v>703</v>
      </c>
      <c r="C25" s="14">
        <v>0.14000000000000001</v>
      </c>
      <c r="D25" s="14">
        <v>0.17</v>
      </c>
      <c r="E25" s="14">
        <v>0.12</v>
      </c>
      <c r="F25" s="14">
        <v>0.22</v>
      </c>
      <c r="G25" s="14">
        <v>0.18</v>
      </c>
      <c r="H25" s="14">
        <v>0.16</v>
      </c>
      <c r="I25" s="14">
        <v>0.17</v>
      </c>
      <c r="J25" s="14">
        <v>0.2</v>
      </c>
      <c r="K25" s="14">
        <v>0.11</v>
      </c>
      <c r="L25" s="14">
        <v>0.15</v>
      </c>
      <c r="M25" s="14">
        <v>0.12</v>
      </c>
      <c r="N25" s="14">
        <v>0.11</v>
      </c>
      <c r="O25" s="14">
        <v>0.11</v>
      </c>
      <c r="P25" s="14">
        <v>0.24</v>
      </c>
      <c r="Q25" s="14">
        <v>0.13</v>
      </c>
      <c r="R25" s="14">
        <v>0.12</v>
      </c>
      <c r="S25" s="14">
        <v>0.11</v>
      </c>
      <c r="T25" s="14">
        <v>0.08</v>
      </c>
      <c r="U25" s="14">
        <v>0.11</v>
      </c>
      <c r="V25" s="14">
        <v>0.12</v>
      </c>
      <c r="W25" s="14">
        <v>0.27</v>
      </c>
      <c r="X25" s="14">
        <v>0.31</v>
      </c>
      <c r="Y25" s="14">
        <v>0.16</v>
      </c>
      <c r="Z25" s="14">
        <v>0.12</v>
      </c>
      <c r="AA25" s="14">
        <v>0.06</v>
      </c>
      <c r="AB25" s="14">
        <v>0.16</v>
      </c>
      <c r="AC25" s="14">
        <v>0.15</v>
      </c>
      <c r="AD25" s="14">
        <v>0.22</v>
      </c>
      <c r="AE25" s="14">
        <v>0.12</v>
      </c>
      <c r="AF25" s="14">
        <v>0.13</v>
      </c>
    </row>
    <row r="26" spans="1:32">
      <c r="A26" s="19"/>
      <c r="B26" s="11" t="s">
        <v>704</v>
      </c>
      <c r="C26" s="12">
        <v>4208</v>
      </c>
      <c r="D26" s="12">
        <v>114</v>
      </c>
      <c r="E26" s="12">
        <v>231</v>
      </c>
      <c r="F26" s="12">
        <v>149</v>
      </c>
      <c r="G26" s="12">
        <v>194</v>
      </c>
      <c r="H26" s="12">
        <v>216</v>
      </c>
      <c r="I26" s="12">
        <v>281</v>
      </c>
      <c r="J26" s="12">
        <v>65</v>
      </c>
      <c r="K26" s="12">
        <v>132</v>
      </c>
      <c r="L26" s="12">
        <v>114</v>
      </c>
      <c r="M26" s="12">
        <v>96</v>
      </c>
      <c r="N26" s="12">
        <v>142</v>
      </c>
      <c r="O26" s="12">
        <v>113</v>
      </c>
      <c r="P26" s="12">
        <v>174</v>
      </c>
      <c r="Q26" s="12">
        <v>164</v>
      </c>
      <c r="R26" s="12">
        <v>37</v>
      </c>
      <c r="S26" s="12">
        <v>143</v>
      </c>
      <c r="T26" s="12">
        <v>112</v>
      </c>
      <c r="U26" s="12">
        <v>56</v>
      </c>
      <c r="V26" s="12">
        <v>232</v>
      </c>
      <c r="W26" s="12">
        <v>116</v>
      </c>
      <c r="X26" s="12">
        <v>180</v>
      </c>
      <c r="Y26" s="12">
        <v>237</v>
      </c>
      <c r="Z26" s="12">
        <v>217</v>
      </c>
      <c r="AA26" s="12">
        <v>119</v>
      </c>
      <c r="AB26" s="12">
        <v>181</v>
      </c>
      <c r="AC26" s="12">
        <v>136</v>
      </c>
      <c r="AD26" s="12">
        <v>175</v>
      </c>
      <c r="AE26" s="12">
        <v>119</v>
      </c>
      <c r="AF26" s="12">
        <v>158</v>
      </c>
    </row>
    <row r="27" spans="1:32">
      <c r="A27" s="19"/>
      <c r="B27" s="13" t="s">
        <v>705</v>
      </c>
      <c r="C27" s="14">
        <v>0.16</v>
      </c>
      <c r="D27" s="14">
        <v>0.11</v>
      </c>
      <c r="E27" s="14">
        <v>0.22</v>
      </c>
      <c r="F27" s="14">
        <v>0.14000000000000001</v>
      </c>
      <c r="G27" s="14">
        <v>0.19</v>
      </c>
      <c r="H27" s="14">
        <v>0.18</v>
      </c>
      <c r="I27" s="14">
        <v>0.18</v>
      </c>
      <c r="J27" s="14">
        <v>0.22</v>
      </c>
      <c r="K27" s="14">
        <v>0.13</v>
      </c>
      <c r="L27" s="14">
        <v>0.11</v>
      </c>
      <c r="M27" s="14">
        <v>0.1</v>
      </c>
      <c r="N27" s="14">
        <v>0.14000000000000001</v>
      </c>
      <c r="O27" s="14">
        <v>0.11</v>
      </c>
      <c r="P27" s="14">
        <v>0.17</v>
      </c>
      <c r="Q27" s="14">
        <v>0.16</v>
      </c>
      <c r="R27" s="14">
        <v>7.0000000000000007E-2</v>
      </c>
      <c r="S27" s="14">
        <v>0.14000000000000001</v>
      </c>
      <c r="T27" s="14">
        <v>0.11</v>
      </c>
      <c r="U27" s="14">
        <v>0.11</v>
      </c>
      <c r="V27" s="14">
        <v>0.23</v>
      </c>
      <c r="W27" s="14">
        <v>0.23</v>
      </c>
      <c r="X27" s="14">
        <v>0.18</v>
      </c>
      <c r="Y27" s="14">
        <v>0.24</v>
      </c>
      <c r="Z27" s="14">
        <v>0.21</v>
      </c>
      <c r="AA27" s="14">
        <v>0.11</v>
      </c>
      <c r="AB27" s="14">
        <v>0.17</v>
      </c>
      <c r="AC27" s="14">
        <v>0.14000000000000001</v>
      </c>
      <c r="AD27" s="14">
        <v>0.17</v>
      </c>
      <c r="AE27" s="14">
        <v>0.12</v>
      </c>
      <c r="AF27" s="14">
        <v>0.15</v>
      </c>
    </row>
    <row r="28" spans="1:32">
      <c r="A28" s="19"/>
      <c r="B28" s="11" t="s">
        <v>436</v>
      </c>
      <c r="C28" s="12">
        <v>272</v>
      </c>
      <c r="D28" s="12">
        <v>4</v>
      </c>
      <c r="E28" s="12">
        <v>2</v>
      </c>
      <c r="F28" s="12">
        <v>3</v>
      </c>
      <c r="G28" s="12">
        <v>10</v>
      </c>
      <c r="H28" s="12">
        <v>19</v>
      </c>
      <c r="I28" s="12">
        <v>22</v>
      </c>
      <c r="J28" s="12">
        <v>3</v>
      </c>
      <c r="K28" s="12">
        <v>46</v>
      </c>
      <c r="L28" s="12">
        <v>4</v>
      </c>
      <c r="M28" s="12">
        <v>11</v>
      </c>
      <c r="N28" s="12">
        <v>19</v>
      </c>
      <c r="O28" s="12">
        <v>14</v>
      </c>
      <c r="P28" s="12">
        <v>1</v>
      </c>
      <c r="Q28" s="12">
        <v>4</v>
      </c>
      <c r="R28" s="12">
        <v>1</v>
      </c>
      <c r="S28" s="12">
        <v>9</v>
      </c>
      <c r="T28" s="12">
        <v>17</v>
      </c>
      <c r="U28" s="12">
        <v>14</v>
      </c>
      <c r="V28" s="12">
        <v>1</v>
      </c>
      <c r="W28" s="12">
        <v>4</v>
      </c>
      <c r="X28" s="12">
        <v>6</v>
      </c>
      <c r="Y28" s="12">
        <v>22</v>
      </c>
      <c r="Z28" s="12">
        <v>4</v>
      </c>
      <c r="AA28" s="12">
        <v>8</v>
      </c>
      <c r="AB28" s="12">
        <v>1</v>
      </c>
      <c r="AC28" s="12">
        <v>12</v>
      </c>
      <c r="AD28" s="12">
        <v>4</v>
      </c>
      <c r="AE28" s="12">
        <v>13</v>
      </c>
      <c r="AF28" s="12">
        <v>15</v>
      </c>
    </row>
    <row r="29" spans="1:32">
      <c r="A29" s="19"/>
      <c r="B29" s="13" t="s">
        <v>706</v>
      </c>
      <c r="C29" s="14">
        <v>0.01</v>
      </c>
      <c r="D29" s="15" t="s">
        <v>375</v>
      </c>
      <c r="E29" s="15" t="s">
        <v>375</v>
      </c>
      <c r="F29" s="15" t="s">
        <v>375</v>
      </c>
      <c r="G29" s="14">
        <v>0.01</v>
      </c>
      <c r="H29" s="14">
        <v>0.02</v>
      </c>
      <c r="I29" s="14">
        <v>0.01</v>
      </c>
      <c r="J29" s="14">
        <v>0.01</v>
      </c>
      <c r="K29" s="14">
        <v>0.05</v>
      </c>
      <c r="L29" s="15" t="s">
        <v>375</v>
      </c>
      <c r="M29" s="14">
        <v>0.01</v>
      </c>
      <c r="N29" s="14">
        <v>0.02</v>
      </c>
      <c r="O29" s="14">
        <v>0.01</v>
      </c>
      <c r="P29" s="15" t="s">
        <v>375</v>
      </c>
      <c r="Q29" s="15" t="s">
        <v>375</v>
      </c>
      <c r="R29" s="15" t="s">
        <v>375</v>
      </c>
      <c r="S29" s="14">
        <v>0.01</v>
      </c>
      <c r="T29" s="14">
        <v>0.02</v>
      </c>
      <c r="U29" s="14">
        <v>0.03</v>
      </c>
      <c r="V29" s="15" t="s">
        <v>375</v>
      </c>
      <c r="W29" s="14">
        <v>0.01</v>
      </c>
      <c r="X29" s="14">
        <v>0.01</v>
      </c>
      <c r="Y29" s="14">
        <v>0.02</v>
      </c>
      <c r="Z29" s="15" t="s">
        <v>375</v>
      </c>
      <c r="AA29" s="14">
        <v>0.01</v>
      </c>
      <c r="AB29" s="15" t="s">
        <v>375</v>
      </c>
      <c r="AC29" s="14">
        <v>0.01</v>
      </c>
      <c r="AD29" s="15" t="s">
        <v>375</v>
      </c>
      <c r="AE29" s="14">
        <v>0.01</v>
      </c>
      <c r="AF29" s="14">
        <v>0.01</v>
      </c>
    </row>
    <row r="30" spans="1:32">
      <c r="A30" s="19"/>
      <c r="B30" s="11" t="s">
        <v>386</v>
      </c>
      <c r="C30" s="12">
        <v>605</v>
      </c>
      <c r="D30" s="12">
        <v>2</v>
      </c>
      <c r="E30" s="12">
        <v>35</v>
      </c>
      <c r="F30" s="12">
        <v>33</v>
      </c>
      <c r="G30" s="12">
        <v>29</v>
      </c>
      <c r="H30" s="12">
        <v>29</v>
      </c>
      <c r="I30" s="12">
        <v>37</v>
      </c>
      <c r="J30" s="12">
        <v>8</v>
      </c>
      <c r="K30" s="12">
        <v>15</v>
      </c>
      <c r="L30" s="12">
        <v>21</v>
      </c>
      <c r="M30" s="12">
        <v>3</v>
      </c>
      <c r="N30" s="12">
        <v>38</v>
      </c>
      <c r="O30" s="12">
        <v>31</v>
      </c>
      <c r="P30" s="12">
        <v>11</v>
      </c>
      <c r="Q30" s="12">
        <v>16</v>
      </c>
      <c r="R30" s="12">
        <v>4</v>
      </c>
      <c r="S30" s="12">
        <v>32</v>
      </c>
      <c r="T30" s="12">
        <v>25</v>
      </c>
      <c r="U30" s="12">
        <v>8</v>
      </c>
      <c r="V30" s="12">
        <v>8</v>
      </c>
      <c r="W30" s="12">
        <v>4</v>
      </c>
      <c r="X30" s="12">
        <v>30</v>
      </c>
      <c r="Y30" s="12">
        <v>20</v>
      </c>
      <c r="Z30" s="12">
        <v>9</v>
      </c>
      <c r="AA30" s="12">
        <v>76</v>
      </c>
      <c r="AB30" s="12">
        <v>12</v>
      </c>
      <c r="AC30" s="12">
        <v>4</v>
      </c>
      <c r="AD30" s="12">
        <v>7</v>
      </c>
      <c r="AE30" s="12">
        <v>11</v>
      </c>
      <c r="AF30" s="12">
        <v>11</v>
      </c>
    </row>
    <row r="31" spans="1:32">
      <c r="A31" s="19"/>
      <c r="B31" s="13" t="s">
        <v>399</v>
      </c>
      <c r="C31" s="14">
        <v>0.02</v>
      </c>
      <c r="D31" s="15" t="s">
        <v>375</v>
      </c>
      <c r="E31" s="14">
        <v>0.03</v>
      </c>
      <c r="F31" s="14">
        <v>0.03</v>
      </c>
      <c r="G31" s="14">
        <v>0.03</v>
      </c>
      <c r="H31" s="14">
        <v>0.02</v>
      </c>
      <c r="I31" s="14">
        <v>0.02</v>
      </c>
      <c r="J31" s="14">
        <v>0.03</v>
      </c>
      <c r="K31" s="14">
        <v>0.01</v>
      </c>
      <c r="L31" s="14">
        <v>0.02</v>
      </c>
      <c r="M31" s="15" t="s">
        <v>375</v>
      </c>
      <c r="N31" s="14">
        <v>0.04</v>
      </c>
      <c r="O31" s="14">
        <v>0.03</v>
      </c>
      <c r="P31" s="14">
        <v>0.01</v>
      </c>
      <c r="Q31" s="14">
        <v>0.02</v>
      </c>
      <c r="R31" s="14">
        <v>0.01</v>
      </c>
      <c r="S31" s="14">
        <v>0.03</v>
      </c>
      <c r="T31" s="14">
        <v>0.02</v>
      </c>
      <c r="U31" s="14">
        <v>0.02</v>
      </c>
      <c r="V31" s="14">
        <v>0.01</v>
      </c>
      <c r="W31" s="14">
        <v>0.01</v>
      </c>
      <c r="X31" s="14">
        <v>0.03</v>
      </c>
      <c r="Y31" s="14">
        <v>0.02</v>
      </c>
      <c r="Z31" s="14">
        <v>0.01</v>
      </c>
      <c r="AA31" s="14">
        <v>7.0000000000000007E-2</v>
      </c>
      <c r="AB31" s="14">
        <v>0.01</v>
      </c>
      <c r="AC31" s="15" t="s">
        <v>375</v>
      </c>
      <c r="AD31" s="14">
        <v>0.01</v>
      </c>
      <c r="AE31" s="14">
        <v>0.01</v>
      </c>
      <c r="AF31" s="14">
        <v>0.01</v>
      </c>
    </row>
  </sheetData>
  <mergeCells count="9">
    <mergeCell ref="H3:L3"/>
    <mergeCell ref="C8:AF8"/>
    <mergeCell ref="B3:F3"/>
    <mergeCell ref="B5:F5"/>
    <mergeCell ref="A10:A31"/>
    <mergeCell ref="H5:L5"/>
    <mergeCell ref="B10:B11"/>
    <mergeCell ref="H4:L4"/>
    <mergeCell ref="B4:F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101</v>
      </c>
      <c r="C3" s="17"/>
      <c r="D3" s="17"/>
      <c r="E3" s="17"/>
      <c r="F3" s="17"/>
      <c r="H3" s="17" t="s">
        <v>102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HYPERLINK("#Content!A52","&lt;&lt;Back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3172</v>
      </c>
      <c r="D12" s="12">
        <v>125</v>
      </c>
      <c r="E12" s="12">
        <v>132</v>
      </c>
      <c r="F12" s="12">
        <v>157</v>
      </c>
      <c r="G12" s="12">
        <v>161</v>
      </c>
      <c r="H12" s="12">
        <v>197</v>
      </c>
      <c r="I12" s="12">
        <v>243</v>
      </c>
      <c r="J12" s="12">
        <v>46</v>
      </c>
      <c r="K12" s="12">
        <v>175</v>
      </c>
      <c r="L12" s="12">
        <v>126</v>
      </c>
      <c r="M12" s="12">
        <v>119</v>
      </c>
      <c r="N12" s="12">
        <v>138</v>
      </c>
      <c r="O12" s="12">
        <v>78</v>
      </c>
      <c r="P12" s="12">
        <v>97</v>
      </c>
      <c r="Q12" s="12">
        <v>88</v>
      </c>
      <c r="R12" s="12">
        <v>56</v>
      </c>
      <c r="S12" s="12">
        <v>208</v>
      </c>
      <c r="T12" s="12">
        <v>152</v>
      </c>
      <c r="U12" s="12">
        <v>64</v>
      </c>
      <c r="V12" s="12">
        <v>141</v>
      </c>
      <c r="W12" s="12">
        <v>71</v>
      </c>
      <c r="X12" s="12">
        <v>75</v>
      </c>
      <c r="Y12" s="12">
        <v>277</v>
      </c>
      <c r="Z12" s="12">
        <v>77</v>
      </c>
      <c r="AA12" s="12">
        <v>75</v>
      </c>
      <c r="AB12" s="12">
        <v>98</v>
      </c>
      <c r="AC12" s="12">
        <v>196</v>
      </c>
      <c r="AD12" s="12">
        <v>237</v>
      </c>
      <c r="AE12" s="12">
        <v>191</v>
      </c>
      <c r="AF12" s="12">
        <v>181</v>
      </c>
    </row>
    <row r="13" spans="1:32">
      <c r="A13" s="19"/>
      <c r="B13" s="13" t="s">
        <v>707</v>
      </c>
      <c r="C13" s="14">
        <v>0.12</v>
      </c>
      <c r="D13" s="14">
        <v>0.12</v>
      </c>
      <c r="E13" s="14">
        <v>0.13</v>
      </c>
      <c r="F13" s="14">
        <v>0.15</v>
      </c>
      <c r="G13" s="14">
        <v>0.16</v>
      </c>
      <c r="H13" s="14">
        <v>0.16</v>
      </c>
      <c r="I13" s="14">
        <v>0.16</v>
      </c>
      <c r="J13" s="14">
        <v>0.16</v>
      </c>
      <c r="K13" s="14">
        <v>0.17</v>
      </c>
      <c r="L13" s="14">
        <v>0.13</v>
      </c>
      <c r="M13" s="14">
        <v>0.12</v>
      </c>
      <c r="N13" s="14">
        <v>0.14000000000000001</v>
      </c>
      <c r="O13" s="14">
        <v>0.08</v>
      </c>
      <c r="P13" s="14">
        <v>0.1</v>
      </c>
      <c r="Q13" s="14">
        <v>0.09</v>
      </c>
      <c r="R13" s="14">
        <v>0.11</v>
      </c>
      <c r="S13" s="14">
        <v>0.21</v>
      </c>
      <c r="T13" s="14">
        <v>0.15</v>
      </c>
      <c r="U13" s="14">
        <v>0.13</v>
      </c>
      <c r="V13" s="14">
        <v>0.14000000000000001</v>
      </c>
      <c r="W13" s="14">
        <v>0.14000000000000001</v>
      </c>
      <c r="X13" s="14">
        <v>0.08</v>
      </c>
      <c r="Y13" s="14">
        <v>0.28000000000000003</v>
      </c>
      <c r="Z13" s="14">
        <v>0.08</v>
      </c>
      <c r="AA13" s="14">
        <v>7.0000000000000007E-2</v>
      </c>
      <c r="AB13" s="14">
        <v>0.09</v>
      </c>
      <c r="AC13" s="14">
        <v>0.19</v>
      </c>
      <c r="AD13" s="14">
        <v>0.24</v>
      </c>
      <c r="AE13" s="14">
        <v>0.19</v>
      </c>
      <c r="AF13" s="14">
        <v>0.18</v>
      </c>
    </row>
    <row r="14" spans="1:32">
      <c r="A14" s="19"/>
      <c r="B14" s="11" t="s">
        <v>490</v>
      </c>
      <c r="C14" s="12">
        <v>12987</v>
      </c>
      <c r="D14" s="12">
        <v>482</v>
      </c>
      <c r="E14" s="12">
        <v>518</v>
      </c>
      <c r="F14" s="12">
        <v>642</v>
      </c>
      <c r="G14" s="12">
        <v>332</v>
      </c>
      <c r="H14" s="12">
        <v>617</v>
      </c>
      <c r="I14" s="12">
        <v>757</v>
      </c>
      <c r="J14" s="12">
        <v>140</v>
      </c>
      <c r="K14" s="12">
        <v>531</v>
      </c>
      <c r="L14" s="12">
        <v>403</v>
      </c>
      <c r="M14" s="12">
        <v>547</v>
      </c>
      <c r="N14" s="12">
        <v>361</v>
      </c>
      <c r="O14" s="12">
        <v>404</v>
      </c>
      <c r="P14" s="12">
        <v>620</v>
      </c>
      <c r="Q14" s="12">
        <v>592</v>
      </c>
      <c r="R14" s="12">
        <v>234</v>
      </c>
      <c r="S14" s="12">
        <v>445</v>
      </c>
      <c r="T14" s="12">
        <v>592</v>
      </c>
      <c r="U14" s="12">
        <v>274</v>
      </c>
      <c r="V14" s="12">
        <v>580</v>
      </c>
      <c r="W14" s="12">
        <v>302</v>
      </c>
      <c r="X14" s="12">
        <v>447</v>
      </c>
      <c r="Y14" s="12">
        <v>525</v>
      </c>
      <c r="Z14" s="12">
        <v>695</v>
      </c>
      <c r="AA14" s="12">
        <v>506</v>
      </c>
      <c r="AB14" s="12">
        <v>488</v>
      </c>
      <c r="AC14" s="12">
        <v>509</v>
      </c>
      <c r="AD14" s="12">
        <v>551</v>
      </c>
      <c r="AE14" s="12">
        <v>493</v>
      </c>
      <c r="AF14" s="12">
        <v>408</v>
      </c>
    </row>
    <row r="15" spans="1:32">
      <c r="A15" s="19"/>
      <c r="B15" s="13" t="s">
        <v>491</v>
      </c>
      <c r="C15" s="14">
        <v>0.49</v>
      </c>
      <c r="D15" s="14">
        <v>0.47</v>
      </c>
      <c r="E15" s="14">
        <v>0.49</v>
      </c>
      <c r="F15" s="14">
        <v>0.61</v>
      </c>
      <c r="G15" s="14">
        <v>0.33</v>
      </c>
      <c r="H15" s="14">
        <v>0.5</v>
      </c>
      <c r="I15" s="14">
        <v>0.5</v>
      </c>
      <c r="J15" s="14">
        <v>0.47</v>
      </c>
      <c r="K15" s="14">
        <v>0.53</v>
      </c>
      <c r="L15" s="14">
        <v>0.4</v>
      </c>
      <c r="M15" s="14">
        <v>0.54</v>
      </c>
      <c r="N15" s="14">
        <v>0.36</v>
      </c>
      <c r="O15" s="14">
        <v>0.4</v>
      </c>
      <c r="P15" s="14">
        <v>0.62</v>
      </c>
      <c r="Q15" s="14">
        <v>0.57000000000000006</v>
      </c>
      <c r="R15" s="14">
        <v>0.47</v>
      </c>
      <c r="S15" s="14">
        <v>0.44</v>
      </c>
      <c r="T15" s="14">
        <v>0.57999999999999996</v>
      </c>
      <c r="U15" s="14">
        <v>0.54</v>
      </c>
      <c r="V15" s="14">
        <v>0.57000000000000006</v>
      </c>
      <c r="W15" s="14">
        <v>0.6</v>
      </c>
      <c r="X15" s="14">
        <v>0.44</v>
      </c>
      <c r="Y15" s="14">
        <v>0.52</v>
      </c>
      <c r="Z15" s="14">
        <v>0.68</v>
      </c>
      <c r="AA15" s="14">
        <v>0.49</v>
      </c>
      <c r="AB15" s="14">
        <v>0.47</v>
      </c>
      <c r="AC15" s="14">
        <v>0.51</v>
      </c>
      <c r="AD15" s="14">
        <v>0.55000000000000004</v>
      </c>
      <c r="AE15" s="14">
        <v>0.49</v>
      </c>
      <c r="AF15" s="14">
        <v>0.39</v>
      </c>
    </row>
    <row r="16" spans="1:32">
      <c r="A16" s="19"/>
      <c r="B16" s="11" t="s">
        <v>492</v>
      </c>
      <c r="C16" s="12">
        <v>6390</v>
      </c>
      <c r="D16" s="12">
        <v>295</v>
      </c>
      <c r="E16" s="12">
        <v>206</v>
      </c>
      <c r="F16" s="12">
        <v>205</v>
      </c>
      <c r="G16" s="12">
        <v>309</v>
      </c>
      <c r="H16" s="12">
        <v>267</v>
      </c>
      <c r="I16" s="12">
        <v>341</v>
      </c>
      <c r="J16" s="12">
        <v>74</v>
      </c>
      <c r="K16" s="12">
        <v>197</v>
      </c>
      <c r="L16" s="12">
        <v>239</v>
      </c>
      <c r="M16" s="12">
        <v>233</v>
      </c>
      <c r="N16" s="12">
        <v>219</v>
      </c>
      <c r="O16" s="12">
        <v>307</v>
      </c>
      <c r="P16" s="12">
        <v>209</v>
      </c>
      <c r="Q16" s="12">
        <v>281</v>
      </c>
      <c r="R16" s="12">
        <v>113</v>
      </c>
      <c r="S16" s="12">
        <v>196</v>
      </c>
      <c r="T16" s="12">
        <v>140</v>
      </c>
      <c r="U16" s="12">
        <v>72</v>
      </c>
      <c r="V16" s="12">
        <v>231</v>
      </c>
      <c r="W16" s="12">
        <v>85</v>
      </c>
      <c r="X16" s="12">
        <v>314</v>
      </c>
      <c r="Y16" s="12">
        <v>109</v>
      </c>
      <c r="Z16" s="12">
        <v>181</v>
      </c>
      <c r="AA16" s="12">
        <v>269</v>
      </c>
      <c r="AB16" s="12">
        <v>309</v>
      </c>
      <c r="AC16" s="12">
        <v>195</v>
      </c>
      <c r="AD16" s="12">
        <v>140</v>
      </c>
      <c r="AE16" s="12">
        <v>193</v>
      </c>
      <c r="AF16" s="12">
        <v>197</v>
      </c>
    </row>
    <row r="17" spans="1:32">
      <c r="A17" s="19"/>
      <c r="B17" s="13" t="s">
        <v>493</v>
      </c>
      <c r="C17" s="14">
        <v>0.24</v>
      </c>
      <c r="D17" s="14">
        <v>0.28999999999999998</v>
      </c>
      <c r="E17" s="14">
        <v>0.2</v>
      </c>
      <c r="F17" s="14">
        <v>0.19</v>
      </c>
      <c r="G17" s="14">
        <v>0.3</v>
      </c>
      <c r="H17" s="14">
        <v>0.22</v>
      </c>
      <c r="I17" s="14">
        <v>0.22</v>
      </c>
      <c r="J17" s="14">
        <v>0.25</v>
      </c>
      <c r="K17" s="14">
        <v>0.2</v>
      </c>
      <c r="L17" s="14">
        <v>0.24</v>
      </c>
      <c r="M17" s="14">
        <v>0.23</v>
      </c>
      <c r="N17" s="14">
        <v>0.22</v>
      </c>
      <c r="O17" s="14">
        <v>0.31</v>
      </c>
      <c r="P17" s="14">
        <v>0.21</v>
      </c>
      <c r="Q17" s="14">
        <v>0.27</v>
      </c>
      <c r="R17" s="14">
        <v>0.23</v>
      </c>
      <c r="S17" s="14">
        <v>0.19</v>
      </c>
      <c r="T17" s="14">
        <v>0.14000000000000001</v>
      </c>
      <c r="U17" s="14">
        <v>0.14000000000000001</v>
      </c>
      <c r="V17" s="14">
        <v>0.22</v>
      </c>
      <c r="W17" s="14">
        <v>0.17</v>
      </c>
      <c r="X17" s="14">
        <v>0.31</v>
      </c>
      <c r="Y17" s="14">
        <v>0.11</v>
      </c>
      <c r="Z17" s="14">
        <v>0.18</v>
      </c>
      <c r="AA17" s="14">
        <v>0.26</v>
      </c>
      <c r="AB17" s="14">
        <v>0.3</v>
      </c>
      <c r="AC17" s="14">
        <v>0.19</v>
      </c>
      <c r="AD17" s="14">
        <v>0.14000000000000001</v>
      </c>
      <c r="AE17" s="14">
        <v>0.19</v>
      </c>
      <c r="AF17" s="14">
        <v>0.19</v>
      </c>
    </row>
    <row r="18" spans="1:32">
      <c r="A18" s="19"/>
      <c r="B18" s="11" t="s">
        <v>494</v>
      </c>
      <c r="C18" s="12">
        <v>1599</v>
      </c>
      <c r="D18" s="12">
        <v>79</v>
      </c>
      <c r="E18" s="12">
        <v>39</v>
      </c>
      <c r="F18" s="12">
        <v>13</v>
      </c>
      <c r="G18" s="12">
        <v>94</v>
      </c>
      <c r="H18" s="12">
        <v>44</v>
      </c>
      <c r="I18" s="12">
        <v>54</v>
      </c>
      <c r="J18" s="12">
        <v>10</v>
      </c>
      <c r="K18" s="12">
        <v>34</v>
      </c>
      <c r="L18" s="12">
        <v>95</v>
      </c>
      <c r="M18" s="12">
        <v>54</v>
      </c>
      <c r="N18" s="12">
        <v>156</v>
      </c>
      <c r="O18" s="12">
        <v>93</v>
      </c>
      <c r="P18" s="12">
        <v>36</v>
      </c>
      <c r="Q18" s="12">
        <v>44</v>
      </c>
      <c r="R18" s="12">
        <v>65</v>
      </c>
      <c r="S18" s="12">
        <v>37</v>
      </c>
      <c r="T18" s="12">
        <v>26</v>
      </c>
      <c r="U18" s="12">
        <v>23</v>
      </c>
      <c r="V18" s="12">
        <v>41</v>
      </c>
      <c r="W18" s="12">
        <v>27</v>
      </c>
      <c r="X18" s="12">
        <v>43</v>
      </c>
      <c r="Y18" s="12">
        <v>25</v>
      </c>
      <c r="Z18" s="12">
        <v>19</v>
      </c>
      <c r="AA18" s="12">
        <v>11</v>
      </c>
      <c r="AB18" s="12">
        <v>67</v>
      </c>
      <c r="AC18" s="12">
        <v>59</v>
      </c>
      <c r="AD18" s="12">
        <v>19</v>
      </c>
      <c r="AE18" s="12">
        <v>45</v>
      </c>
      <c r="AF18" s="12">
        <v>62</v>
      </c>
    </row>
    <row r="19" spans="1:32">
      <c r="A19" s="19"/>
      <c r="B19" s="13" t="s">
        <v>708</v>
      </c>
      <c r="C19" s="14">
        <v>0.06</v>
      </c>
      <c r="D19" s="14">
        <v>0.08</v>
      </c>
      <c r="E19" s="14">
        <v>0.04</v>
      </c>
      <c r="F19" s="14">
        <v>0.01</v>
      </c>
      <c r="G19" s="14">
        <v>0.09</v>
      </c>
      <c r="H19" s="14">
        <v>0.04</v>
      </c>
      <c r="I19" s="14">
        <v>0.03</v>
      </c>
      <c r="J19" s="14">
        <v>0.03</v>
      </c>
      <c r="K19" s="14">
        <v>0.03</v>
      </c>
      <c r="L19" s="14">
        <v>0.09</v>
      </c>
      <c r="M19" s="14">
        <v>0.05</v>
      </c>
      <c r="N19" s="14">
        <v>0.15</v>
      </c>
      <c r="O19" s="14">
        <v>0.09</v>
      </c>
      <c r="P19" s="14">
        <v>0.03</v>
      </c>
      <c r="Q19" s="14">
        <v>0.04</v>
      </c>
      <c r="R19" s="14">
        <v>0.13</v>
      </c>
      <c r="S19" s="14">
        <v>0.04</v>
      </c>
      <c r="T19" s="14">
        <v>0.02</v>
      </c>
      <c r="U19" s="14">
        <v>0.04</v>
      </c>
      <c r="V19" s="14">
        <v>0.04</v>
      </c>
      <c r="W19" s="14">
        <v>0.05</v>
      </c>
      <c r="X19" s="14">
        <v>0.04</v>
      </c>
      <c r="Y19" s="14">
        <v>0.02</v>
      </c>
      <c r="Z19" s="14">
        <v>0.02</v>
      </c>
      <c r="AA19" s="14">
        <v>0.01</v>
      </c>
      <c r="AB19" s="14">
        <v>0.06</v>
      </c>
      <c r="AC19" s="14">
        <v>0.06</v>
      </c>
      <c r="AD19" s="14">
        <v>0.02</v>
      </c>
      <c r="AE19" s="14">
        <v>0.05</v>
      </c>
      <c r="AF19" s="14">
        <v>0.06</v>
      </c>
    </row>
    <row r="20" spans="1:32">
      <c r="A20" s="19"/>
      <c r="B20" s="11" t="s">
        <v>386</v>
      </c>
      <c r="C20" s="12">
        <v>2305</v>
      </c>
      <c r="D20" s="12">
        <v>41</v>
      </c>
      <c r="E20" s="12">
        <v>151</v>
      </c>
      <c r="F20" s="12">
        <v>46</v>
      </c>
      <c r="G20" s="12">
        <v>120</v>
      </c>
      <c r="H20" s="12">
        <v>104</v>
      </c>
      <c r="I20" s="12">
        <v>131</v>
      </c>
      <c r="J20" s="12">
        <v>27</v>
      </c>
      <c r="K20" s="12">
        <v>70</v>
      </c>
      <c r="L20" s="12">
        <v>143</v>
      </c>
      <c r="M20" s="12">
        <v>54</v>
      </c>
      <c r="N20" s="12">
        <v>137</v>
      </c>
      <c r="O20" s="12">
        <v>122</v>
      </c>
      <c r="P20" s="12">
        <v>41</v>
      </c>
      <c r="Q20" s="12">
        <v>26</v>
      </c>
      <c r="R20" s="12">
        <v>33</v>
      </c>
      <c r="S20" s="12">
        <v>118</v>
      </c>
      <c r="T20" s="12">
        <v>114</v>
      </c>
      <c r="U20" s="12">
        <v>75</v>
      </c>
      <c r="V20" s="12">
        <v>33</v>
      </c>
      <c r="W20" s="12">
        <v>17</v>
      </c>
      <c r="X20" s="12">
        <v>132</v>
      </c>
      <c r="Y20" s="12">
        <v>66</v>
      </c>
      <c r="Z20" s="12">
        <v>45</v>
      </c>
      <c r="AA20" s="12">
        <v>175</v>
      </c>
      <c r="AB20" s="12">
        <v>79</v>
      </c>
      <c r="AC20" s="12">
        <v>46</v>
      </c>
      <c r="AD20" s="12">
        <v>55</v>
      </c>
      <c r="AE20" s="12">
        <v>79</v>
      </c>
      <c r="AF20" s="12">
        <v>183</v>
      </c>
    </row>
    <row r="21" spans="1:32">
      <c r="A21" s="19"/>
      <c r="B21" s="13" t="s">
        <v>399</v>
      </c>
      <c r="C21" s="14">
        <v>0.09</v>
      </c>
      <c r="D21" s="14">
        <v>0.04</v>
      </c>
      <c r="E21" s="14">
        <v>0.14000000000000001</v>
      </c>
      <c r="F21" s="14">
        <v>0.04</v>
      </c>
      <c r="G21" s="14">
        <v>0.12</v>
      </c>
      <c r="H21" s="14">
        <v>0.08</v>
      </c>
      <c r="I21" s="14">
        <v>0.09</v>
      </c>
      <c r="J21" s="14">
        <v>0.09</v>
      </c>
      <c r="K21" s="14">
        <v>7.0000000000000007E-2</v>
      </c>
      <c r="L21" s="14">
        <v>0.14000000000000001</v>
      </c>
      <c r="M21" s="14">
        <v>0.06</v>
      </c>
      <c r="N21" s="14">
        <v>0.13</v>
      </c>
      <c r="O21" s="14">
        <v>0.12</v>
      </c>
      <c r="P21" s="14">
        <v>0.04</v>
      </c>
      <c r="Q21" s="14">
        <v>0.03</v>
      </c>
      <c r="R21" s="14">
        <v>0.06</v>
      </c>
      <c r="S21" s="14">
        <v>0.12</v>
      </c>
      <c r="T21" s="14">
        <v>0.11</v>
      </c>
      <c r="U21" s="14">
        <v>0.15</v>
      </c>
      <c r="V21" s="14">
        <v>0.03</v>
      </c>
      <c r="W21" s="14">
        <v>0.04</v>
      </c>
      <c r="X21" s="14">
        <v>0.13</v>
      </c>
      <c r="Y21" s="14">
        <v>7.0000000000000007E-2</v>
      </c>
      <c r="Z21" s="14">
        <v>0.04</v>
      </c>
      <c r="AA21" s="14">
        <v>0.17</v>
      </c>
      <c r="AB21" s="14">
        <v>0.08</v>
      </c>
      <c r="AC21" s="14">
        <v>0.05</v>
      </c>
      <c r="AD21" s="14">
        <v>0.05</v>
      </c>
      <c r="AE21" s="14">
        <v>0.08</v>
      </c>
      <c r="AF21" s="14">
        <v>0.18</v>
      </c>
    </row>
    <row r="22" spans="1:32">
      <c r="A22" s="19"/>
      <c r="B22" s="11" t="s">
        <v>496</v>
      </c>
      <c r="C22" s="12">
        <v>16159</v>
      </c>
      <c r="D22" s="12">
        <v>607</v>
      </c>
      <c r="E22" s="12">
        <v>650</v>
      </c>
      <c r="F22" s="12">
        <v>799</v>
      </c>
      <c r="G22" s="12">
        <v>493</v>
      </c>
      <c r="H22" s="12">
        <v>814</v>
      </c>
      <c r="I22" s="12">
        <v>1000</v>
      </c>
      <c r="J22" s="12">
        <v>186</v>
      </c>
      <c r="K22" s="12">
        <v>706</v>
      </c>
      <c r="L22" s="12">
        <v>529</v>
      </c>
      <c r="M22" s="12">
        <v>666</v>
      </c>
      <c r="N22" s="12">
        <v>499</v>
      </c>
      <c r="O22" s="12">
        <v>482</v>
      </c>
      <c r="P22" s="12">
        <v>717</v>
      </c>
      <c r="Q22" s="12">
        <v>680</v>
      </c>
      <c r="R22" s="12">
        <v>290</v>
      </c>
      <c r="S22" s="12">
        <v>653</v>
      </c>
      <c r="T22" s="12">
        <v>744</v>
      </c>
      <c r="U22" s="12">
        <v>338</v>
      </c>
      <c r="V22" s="12">
        <v>721</v>
      </c>
      <c r="W22" s="12">
        <v>373</v>
      </c>
      <c r="X22" s="12">
        <v>522</v>
      </c>
      <c r="Y22" s="12">
        <v>802</v>
      </c>
      <c r="Z22" s="12">
        <v>772</v>
      </c>
      <c r="AA22" s="12">
        <v>581</v>
      </c>
      <c r="AB22" s="12">
        <v>586</v>
      </c>
      <c r="AC22" s="12">
        <v>705</v>
      </c>
      <c r="AD22" s="12">
        <v>788</v>
      </c>
      <c r="AE22" s="12">
        <v>684</v>
      </c>
      <c r="AF22" s="12">
        <v>589</v>
      </c>
    </row>
    <row r="23" spans="1:32">
      <c r="A23" s="19"/>
      <c r="B23" s="13" t="s">
        <v>497</v>
      </c>
      <c r="C23" s="14">
        <v>0.61</v>
      </c>
      <c r="D23" s="14">
        <v>0.59</v>
      </c>
      <c r="E23" s="14">
        <v>0.62</v>
      </c>
      <c r="F23" s="14">
        <v>0.76</v>
      </c>
      <c r="G23" s="14">
        <v>0.49</v>
      </c>
      <c r="H23" s="14">
        <v>0.66</v>
      </c>
      <c r="I23" s="14">
        <v>0.66</v>
      </c>
      <c r="J23" s="14">
        <v>0.63</v>
      </c>
      <c r="K23" s="14">
        <v>0.70000000000000007</v>
      </c>
      <c r="L23" s="14">
        <v>0.53</v>
      </c>
      <c r="M23" s="14">
        <v>0.66</v>
      </c>
      <c r="N23" s="14">
        <v>0.5</v>
      </c>
      <c r="O23" s="14">
        <v>0.48</v>
      </c>
      <c r="P23" s="14">
        <v>0.72</v>
      </c>
      <c r="Q23" s="14">
        <v>0.66</v>
      </c>
      <c r="R23" s="14">
        <v>0.57999999999999996</v>
      </c>
      <c r="S23" s="14">
        <v>0.65</v>
      </c>
      <c r="T23" s="14">
        <v>0.73</v>
      </c>
      <c r="U23" s="14">
        <v>0.67</v>
      </c>
      <c r="V23" s="14">
        <v>0.71</v>
      </c>
      <c r="W23" s="14">
        <v>0.74</v>
      </c>
      <c r="X23" s="14">
        <v>0.52</v>
      </c>
      <c r="Y23" s="14">
        <v>0.8</v>
      </c>
      <c r="Z23" s="14">
        <v>0.76</v>
      </c>
      <c r="AA23" s="14">
        <v>0.56000000000000005</v>
      </c>
      <c r="AB23" s="14">
        <v>0.56000000000000005</v>
      </c>
      <c r="AC23" s="14">
        <v>0.70000000000000007</v>
      </c>
      <c r="AD23" s="14">
        <v>0.79</v>
      </c>
      <c r="AE23" s="14">
        <v>0.68</v>
      </c>
      <c r="AF23" s="14">
        <v>0.57000000000000006</v>
      </c>
    </row>
    <row r="24" spans="1:32">
      <c r="A24" s="19"/>
      <c r="B24" s="11" t="s">
        <v>498</v>
      </c>
      <c r="C24" s="12">
        <v>7989</v>
      </c>
      <c r="D24" s="12">
        <v>374</v>
      </c>
      <c r="E24" s="12">
        <v>245</v>
      </c>
      <c r="F24" s="12">
        <v>218</v>
      </c>
      <c r="G24" s="12">
        <v>403</v>
      </c>
      <c r="H24" s="12">
        <v>311</v>
      </c>
      <c r="I24" s="12">
        <v>395</v>
      </c>
      <c r="J24" s="12">
        <v>84</v>
      </c>
      <c r="K24" s="12">
        <v>231</v>
      </c>
      <c r="L24" s="12">
        <v>334</v>
      </c>
      <c r="M24" s="12">
        <v>287</v>
      </c>
      <c r="N24" s="12">
        <v>375</v>
      </c>
      <c r="O24" s="12">
        <v>400</v>
      </c>
      <c r="P24" s="12">
        <v>245</v>
      </c>
      <c r="Q24" s="12">
        <v>325</v>
      </c>
      <c r="R24" s="12">
        <v>178</v>
      </c>
      <c r="S24" s="12">
        <v>233</v>
      </c>
      <c r="T24" s="12">
        <v>166</v>
      </c>
      <c r="U24" s="12">
        <v>95</v>
      </c>
      <c r="V24" s="12">
        <v>272</v>
      </c>
      <c r="W24" s="12">
        <v>112</v>
      </c>
      <c r="X24" s="12">
        <v>357</v>
      </c>
      <c r="Y24" s="12">
        <v>134</v>
      </c>
      <c r="Z24" s="12">
        <v>200</v>
      </c>
      <c r="AA24" s="12">
        <v>280</v>
      </c>
      <c r="AB24" s="12">
        <v>376</v>
      </c>
      <c r="AC24" s="12">
        <v>254</v>
      </c>
      <c r="AD24" s="12">
        <v>159</v>
      </c>
      <c r="AE24" s="12">
        <v>238</v>
      </c>
      <c r="AF24" s="12">
        <v>259</v>
      </c>
    </row>
    <row r="25" spans="1:32">
      <c r="A25" s="19"/>
      <c r="B25" s="13" t="s">
        <v>499</v>
      </c>
      <c r="C25" s="14">
        <v>0.3</v>
      </c>
      <c r="D25" s="14">
        <v>0.37</v>
      </c>
      <c r="E25" s="14">
        <v>0.24</v>
      </c>
      <c r="F25" s="14">
        <v>0.2</v>
      </c>
      <c r="G25" s="14">
        <v>0.39</v>
      </c>
      <c r="H25" s="14">
        <v>0.26</v>
      </c>
      <c r="I25" s="14">
        <v>0.25</v>
      </c>
      <c r="J25" s="14">
        <v>0.28000000000000003</v>
      </c>
      <c r="K25" s="14">
        <v>0.23</v>
      </c>
      <c r="L25" s="14">
        <v>0.33</v>
      </c>
      <c r="M25" s="14">
        <v>0.28000000000000003</v>
      </c>
      <c r="N25" s="14">
        <v>0.37</v>
      </c>
      <c r="O25" s="14">
        <v>0.4</v>
      </c>
      <c r="P25" s="14">
        <v>0.24</v>
      </c>
      <c r="Q25" s="14">
        <v>0.31</v>
      </c>
      <c r="R25" s="14">
        <v>0.36</v>
      </c>
      <c r="S25" s="14">
        <v>0.23</v>
      </c>
      <c r="T25" s="14">
        <v>0.16</v>
      </c>
      <c r="U25" s="14">
        <v>0.18</v>
      </c>
      <c r="V25" s="14">
        <v>0.26</v>
      </c>
      <c r="W25" s="14">
        <v>0.22</v>
      </c>
      <c r="X25" s="14">
        <v>0.35</v>
      </c>
      <c r="Y25" s="14">
        <v>0.13</v>
      </c>
      <c r="Z25" s="14">
        <v>0.2</v>
      </c>
      <c r="AA25" s="14">
        <v>0.27</v>
      </c>
      <c r="AB25" s="14">
        <v>0.36</v>
      </c>
      <c r="AC25" s="14">
        <v>0.25</v>
      </c>
      <c r="AD25" s="14">
        <v>0.16</v>
      </c>
      <c r="AE25" s="14">
        <v>0.24</v>
      </c>
      <c r="AF25" s="14">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103</v>
      </c>
      <c r="C3" s="17"/>
      <c r="D3" s="17"/>
      <c r="E3" s="17"/>
      <c r="F3" s="17"/>
      <c r="H3" s="17" t="s">
        <v>104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HYPERLINK("#Content!A53","&lt;&lt;Back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376</v>
      </c>
      <c r="C12" s="12">
        <v>2702</v>
      </c>
      <c r="D12" s="12">
        <v>39</v>
      </c>
      <c r="E12" s="12">
        <v>119</v>
      </c>
      <c r="F12" s="12">
        <v>115</v>
      </c>
      <c r="G12" s="12">
        <v>74</v>
      </c>
      <c r="H12" s="12">
        <v>235</v>
      </c>
      <c r="I12" s="12">
        <v>299</v>
      </c>
      <c r="J12" s="12">
        <v>65</v>
      </c>
      <c r="K12" s="12">
        <v>83</v>
      </c>
      <c r="L12" s="12">
        <v>148</v>
      </c>
      <c r="M12" s="12">
        <v>55</v>
      </c>
      <c r="N12" s="12">
        <v>111</v>
      </c>
      <c r="O12" s="12">
        <v>65</v>
      </c>
      <c r="P12" s="12">
        <v>105</v>
      </c>
      <c r="Q12" s="12">
        <v>62</v>
      </c>
      <c r="R12" s="12">
        <v>49</v>
      </c>
      <c r="S12" s="12">
        <v>83</v>
      </c>
      <c r="T12" s="12">
        <v>76</v>
      </c>
      <c r="U12" s="12">
        <v>55</v>
      </c>
      <c r="V12" s="12">
        <v>97</v>
      </c>
      <c r="W12" s="12">
        <v>57</v>
      </c>
      <c r="X12" s="12">
        <v>32</v>
      </c>
      <c r="Y12" s="12">
        <v>234</v>
      </c>
      <c r="Z12" s="12">
        <v>90</v>
      </c>
      <c r="AA12" s="12">
        <v>52</v>
      </c>
      <c r="AB12" s="12">
        <v>75</v>
      </c>
      <c r="AC12" s="12">
        <v>123</v>
      </c>
      <c r="AD12" s="12">
        <v>116</v>
      </c>
      <c r="AE12" s="12">
        <v>78</v>
      </c>
      <c r="AF12" s="12">
        <v>70</v>
      </c>
    </row>
    <row r="13" spans="1:32">
      <c r="A13" s="19"/>
      <c r="B13" s="13" t="s">
        <v>377</v>
      </c>
      <c r="C13" s="14">
        <v>0.1</v>
      </c>
      <c r="D13" s="14">
        <v>0.04</v>
      </c>
      <c r="E13" s="14">
        <v>0.11</v>
      </c>
      <c r="F13" s="14">
        <v>0.11</v>
      </c>
      <c r="G13" s="14">
        <v>7.0000000000000007E-2</v>
      </c>
      <c r="H13" s="14">
        <v>0.19</v>
      </c>
      <c r="I13" s="14">
        <v>0.2</v>
      </c>
      <c r="J13" s="14">
        <v>0.22</v>
      </c>
      <c r="K13" s="14">
        <v>0.08</v>
      </c>
      <c r="L13" s="14">
        <v>0.15</v>
      </c>
      <c r="M13" s="14">
        <v>0.05</v>
      </c>
      <c r="N13" s="14">
        <v>0.11</v>
      </c>
      <c r="O13" s="14">
        <v>7.0000000000000007E-2</v>
      </c>
      <c r="P13" s="14">
        <v>0.1</v>
      </c>
      <c r="Q13" s="14">
        <v>0.06</v>
      </c>
      <c r="R13" s="14">
        <v>0.1</v>
      </c>
      <c r="S13" s="14">
        <v>0.08</v>
      </c>
      <c r="T13" s="14">
        <v>0.08</v>
      </c>
      <c r="U13" s="14">
        <v>0.11</v>
      </c>
      <c r="V13" s="14">
        <v>0.09</v>
      </c>
      <c r="W13" s="14">
        <v>0.11</v>
      </c>
      <c r="X13" s="14">
        <v>0.03</v>
      </c>
      <c r="Y13" s="14">
        <v>0.23</v>
      </c>
      <c r="Z13" s="14">
        <v>0.09</v>
      </c>
      <c r="AA13" s="14">
        <v>0.05</v>
      </c>
      <c r="AB13" s="14">
        <v>7.0000000000000007E-2</v>
      </c>
      <c r="AC13" s="14">
        <v>0.12</v>
      </c>
      <c r="AD13" s="14">
        <v>0.11</v>
      </c>
      <c r="AE13" s="14">
        <v>0.08</v>
      </c>
      <c r="AF13" s="14">
        <v>7.0000000000000007E-2</v>
      </c>
    </row>
    <row r="14" spans="1:32">
      <c r="A14" s="19"/>
      <c r="B14" s="11" t="s">
        <v>397</v>
      </c>
      <c r="C14" s="12">
        <v>14967</v>
      </c>
      <c r="D14" s="12">
        <v>413</v>
      </c>
      <c r="E14" s="12">
        <v>543</v>
      </c>
      <c r="F14" s="12">
        <v>685</v>
      </c>
      <c r="G14" s="12">
        <v>522</v>
      </c>
      <c r="H14" s="12">
        <v>776</v>
      </c>
      <c r="I14" s="12">
        <v>949</v>
      </c>
      <c r="J14" s="12">
        <v>173</v>
      </c>
      <c r="K14" s="12">
        <v>595</v>
      </c>
      <c r="L14" s="12">
        <v>563</v>
      </c>
      <c r="M14" s="12">
        <v>591</v>
      </c>
      <c r="N14" s="12">
        <v>549</v>
      </c>
      <c r="O14" s="12">
        <v>436</v>
      </c>
      <c r="P14" s="12">
        <v>673</v>
      </c>
      <c r="Q14" s="12">
        <v>657</v>
      </c>
      <c r="R14" s="12">
        <v>295</v>
      </c>
      <c r="S14" s="12">
        <v>593</v>
      </c>
      <c r="T14" s="12">
        <v>695</v>
      </c>
      <c r="U14" s="12">
        <v>290</v>
      </c>
      <c r="V14" s="12">
        <v>540</v>
      </c>
      <c r="W14" s="12">
        <v>324</v>
      </c>
      <c r="X14" s="12">
        <v>417</v>
      </c>
      <c r="Y14" s="12">
        <v>585</v>
      </c>
      <c r="Z14" s="12">
        <v>727</v>
      </c>
      <c r="AA14" s="12">
        <v>585</v>
      </c>
      <c r="AB14" s="12">
        <v>554</v>
      </c>
      <c r="AC14" s="12">
        <v>580</v>
      </c>
      <c r="AD14" s="12">
        <v>642</v>
      </c>
      <c r="AE14" s="12">
        <v>553</v>
      </c>
      <c r="AF14" s="12">
        <v>501</v>
      </c>
    </row>
    <row r="15" spans="1:32">
      <c r="A15" s="19"/>
      <c r="B15" s="13" t="s">
        <v>379</v>
      </c>
      <c r="C15" s="14">
        <v>0.57000000000000006</v>
      </c>
      <c r="D15" s="14">
        <v>0.4</v>
      </c>
      <c r="E15" s="14">
        <v>0.52</v>
      </c>
      <c r="F15" s="14">
        <v>0.64</v>
      </c>
      <c r="G15" s="14">
        <v>0.52</v>
      </c>
      <c r="H15" s="14">
        <v>0.63</v>
      </c>
      <c r="I15" s="14">
        <v>0.62</v>
      </c>
      <c r="J15" s="14">
        <v>0.57999999999999996</v>
      </c>
      <c r="K15" s="14">
        <v>0.59</v>
      </c>
      <c r="L15" s="14">
        <v>0.56000000000000005</v>
      </c>
      <c r="M15" s="14">
        <v>0.59</v>
      </c>
      <c r="N15" s="14">
        <v>0.54</v>
      </c>
      <c r="O15" s="14">
        <v>0.43</v>
      </c>
      <c r="P15" s="14">
        <v>0.67</v>
      </c>
      <c r="Q15" s="14">
        <v>0.64</v>
      </c>
      <c r="R15" s="14">
        <v>0.59</v>
      </c>
      <c r="S15" s="14">
        <v>0.59</v>
      </c>
      <c r="T15" s="14">
        <v>0.68</v>
      </c>
      <c r="U15" s="14">
        <v>0.57000000000000006</v>
      </c>
      <c r="V15" s="14">
        <v>0.53</v>
      </c>
      <c r="W15" s="14">
        <v>0.65</v>
      </c>
      <c r="X15" s="14">
        <v>0.41</v>
      </c>
      <c r="Y15" s="14">
        <v>0.57999999999999996</v>
      </c>
      <c r="Z15" s="14">
        <v>0.72</v>
      </c>
      <c r="AA15" s="14">
        <v>0.56000000000000005</v>
      </c>
      <c r="AB15" s="14">
        <v>0.53</v>
      </c>
      <c r="AC15" s="14">
        <v>0.57999999999999996</v>
      </c>
      <c r="AD15" s="14">
        <v>0.64</v>
      </c>
      <c r="AE15" s="14">
        <v>0.55000000000000004</v>
      </c>
      <c r="AF15" s="14">
        <v>0.49</v>
      </c>
    </row>
    <row r="16" spans="1:32">
      <c r="A16" s="19"/>
      <c r="B16" s="11" t="s">
        <v>398</v>
      </c>
      <c r="C16" s="12">
        <v>7014</v>
      </c>
      <c r="D16" s="12">
        <v>516</v>
      </c>
      <c r="E16" s="12">
        <v>230</v>
      </c>
      <c r="F16" s="12">
        <v>212</v>
      </c>
      <c r="G16" s="12">
        <v>376</v>
      </c>
      <c r="H16" s="12">
        <v>186</v>
      </c>
      <c r="I16" s="12">
        <v>234</v>
      </c>
      <c r="J16" s="12">
        <v>48</v>
      </c>
      <c r="K16" s="12">
        <v>248</v>
      </c>
      <c r="L16" s="12">
        <v>215</v>
      </c>
      <c r="M16" s="12">
        <v>280</v>
      </c>
      <c r="N16" s="12">
        <v>246</v>
      </c>
      <c r="O16" s="12">
        <v>405</v>
      </c>
      <c r="P16" s="12">
        <v>189</v>
      </c>
      <c r="Q16" s="12">
        <v>253</v>
      </c>
      <c r="R16" s="12">
        <v>120</v>
      </c>
      <c r="S16" s="12">
        <v>229</v>
      </c>
      <c r="T16" s="12">
        <v>193</v>
      </c>
      <c r="U16" s="12">
        <v>101</v>
      </c>
      <c r="V16" s="12">
        <v>333</v>
      </c>
      <c r="W16" s="12">
        <v>102</v>
      </c>
      <c r="X16" s="12">
        <v>496</v>
      </c>
      <c r="Y16" s="12">
        <v>138</v>
      </c>
      <c r="Z16" s="12">
        <v>156</v>
      </c>
      <c r="AA16" s="12">
        <v>241</v>
      </c>
      <c r="AB16" s="12">
        <v>303</v>
      </c>
      <c r="AC16" s="12">
        <v>251</v>
      </c>
      <c r="AD16" s="12">
        <v>203</v>
      </c>
      <c r="AE16" s="12">
        <v>327</v>
      </c>
      <c r="AF16" s="12">
        <v>422</v>
      </c>
    </row>
    <row r="17" spans="1:32">
      <c r="A17" s="19"/>
      <c r="B17" s="13" t="s">
        <v>383</v>
      </c>
      <c r="C17" s="14">
        <v>0.27</v>
      </c>
      <c r="D17" s="14">
        <v>0.51</v>
      </c>
      <c r="E17" s="14">
        <v>0.22</v>
      </c>
      <c r="F17" s="14">
        <v>0.2</v>
      </c>
      <c r="G17" s="14">
        <v>0.37</v>
      </c>
      <c r="H17" s="14">
        <v>0.15</v>
      </c>
      <c r="I17" s="14">
        <v>0.15</v>
      </c>
      <c r="J17" s="14">
        <v>0.16</v>
      </c>
      <c r="K17" s="14">
        <v>0.25</v>
      </c>
      <c r="L17" s="14">
        <v>0.21</v>
      </c>
      <c r="M17" s="14">
        <v>0.28000000000000003</v>
      </c>
      <c r="N17" s="14">
        <v>0.25</v>
      </c>
      <c r="O17" s="14">
        <v>0.4</v>
      </c>
      <c r="P17" s="14">
        <v>0.19</v>
      </c>
      <c r="Q17" s="14">
        <v>0.25</v>
      </c>
      <c r="R17" s="14">
        <v>0.24</v>
      </c>
      <c r="S17" s="14">
        <v>0.23</v>
      </c>
      <c r="T17" s="14">
        <v>0.19</v>
      </c>
      <c r="U17" s="14">
        <v>0.2</v>
      </c>
      <c r="V17" s="14">
        <v>0.32</v>
      </c>
      <c r="W17" s="14">
        <v>0.2</v>
      </c>
      <c r="X17" s="14">
        <v>0.49</v>
      </c>
      <c r="Y17" s="14">
        <v>0.14000000000000001</v>
      </c>
      <c r="Z17" s="14">
        <v>0.15</v>
      </c>
      <c r="AA17" s="14">
        <v>0.23</v>
      </c>
      <c r="AB17" s="14">
        <v>0.28999999999999998</v>
      </c>
      <c r="AC17" s="14">
        <v>0.25</v>
      </c>
      <c r="AD17" s="14">
        <v>0.2</v>
      </c>
      <c r="AE17" s="14">
        <v>0.33</v>
      </c>
      <c r="AF17" s="14">
        <v>0.41</v>
      </c>
    </row>
    <row r="18" spans="1:32">
      <c r="A18" s="19"/>
      <c r="B18" s="11" t="s">
        <v>384</v>
      </c>
      <c r="C18" s="12">
        <v>608</v>
      </c>
      <c r="D18" s="12">
        <v>38</v>
      </c>
      <c r="E18" s="12">
        <v>28</v>
      </c>
      <c r="F18" s="12">
        <v>18</v>
      </c>
      <c r="G18" s="12">
        <v>24</v>
      </c>
      <c r="H18" s="12">
        <v>8</v>
      </c>
      <c r="I18" s="12">
        <v>11</v>
      </c>
      <c r="J18" s="12">
        <v>3</v>
      </c>
      <c r="K18" s="12">
        <v>28</v>
      </c>
      <c r="L18" s="12">
        <v>26</v>
      </c>
      <c r="M18" s="12">
        <v>51</v>
      </c>
      <c r="N18" s="12">
        <v>34</v>
      </c>
      <c r="O18" s="12">
        <v>29</v>
      </c>
      <c r="P18" s="12">
        <v>11</v>
      </c>
      <c r="Q18" s="12">
        <v>23</v>
      </c>
      <c r="R18" s="12">
        <v>14</v>
      </c>
      <c r="S18" s="12">
        <v>7</v>
      </c>
      <c r="T18" s="12">
        <v>13</v>
      </c>
      <c r="U18" s="12">
        <v>10</v>
      </c>
      <c r="V18" s="12">
        <v>30</v>
      </c>
      <c r="W18" s="12">
        <v>10</v>
      </c>
      <c r="X18" s="12">
        <v>29</v>
      </c>
      <c r="Y18" s="12">
        <v>11</v>
      </c>
      <c r="Z18" s="12">
        <v>15</v>
      </c>
      <c r="AA18" s="12">
        <v>5</v>
      </c>
      <c r="AB18" s="12">
        <v>59</v>
      </c>
      <c r="AC18" s="12">
        <v>31</v>
      </c>
      <c r="AD18" s="12">
        <v>17</v>
      </c>
      <c r="AE18" s="12">
        <v>23</v>
      </c>
      <c r="AF18" s="12">
        <v>15</v>
      </c>
    </row>
    <row r="19" spans="1:32">
      <c r="A19" s="19"/>
      <c r="B19" s="13" t="s">
        <v>385</v>
      </c>
      <c r="C19" s="14">
        <v>0.02</v>
      </c>
      <c r="D19" s="14">
        <v>0.04</v>
      </c>
      <c r="E19" s="14">
        <v>0.03</v>
      </c>
      <c r="F19" s="14">
        <v>0.02</v>
      </c>
      <c r="G19" s="14">
        <v>0.02</v>
      </c>
      <c r="H19" s="14">
        <v>0.01</v>
      </c>
      <c r="I19" s="14">
        <v>0.01</v>
      </c>
      <c r="J19" s="14">
        <v>0.01</v>
      </c>
      <c r="K19" s="14">
        <v>0.03</v>
      </c>
      <c r="L19" s="14">
        <v>0.03</v>
      </c>
      <c r="M19" s="14">
        <v>0.05</v>
      </c>
      <c r="N19" s="14">
        <v>0.03</v>
      </c>
      <c r="O19" s="14">
        <v>0.03</v>
      </c>
      <c r="P19" s="14">
        <v>0.01</v>
      </c>
      <c r="Q19" s="14">
        <v>0.02</v>
      </c>
      <c r="R19" s="14">
        <v>0.03</v>
      </c>
      <c r="S19" s="14">
        <v>0.01</v>
      </c>
      <c r="T19" s="14">
        <v>0.01</v>
      </c>
      <c r="U19" s="14">
        <v>0.02</v>
      </c>
      <c r="V19" s="14">
        <v>0.03</v>
      </c>
      <c r="W19" s="14">
        <v>0.02</v>
      </c>
      <c r="X19" s="14">
        <v>0.03</v>
      </c>
      <c r="Y19" s="14">
        <v>0.01</v>
      </c>
      <c r="Z19" s="14">
        <v>0.01</v>
      </c>
      <c r="AA19" s="14">
        <v>0.01</v>
      </c>
      <c r="AB19" s="14">
        <v>0.06</v>
      </c>
      <c r="AC19" s="14">
        <v>0.03</v>
      </c>
      <c r="AD19" s="14">
        <v>0.02</v>
      </c>
      <c r="AE19" s="14">
        <v>0.02</v>
      </c>
      <c r="AF19" s="14">
        <v>0.01</v>
      </c>
    </row>
    <row r="20" spans="1:32">
      <c r="A20" s="19"/>
      <c r="B20" s="11" t="s">
        <v>386</v>
      </c>
      <c r="C20" s="12">
        <v>1162</v>
      </c>
      <c r="D20" s="12">
        <v>15</v>
      </c>
      <c r="E20" s="12">
        <v>126</v>
      </c>
      <c r="F20" s="12">
        <v>34</v>
      </c>
      <c r="G20" s="12">
        <v>20</v>
      </c>
      <c r="H20" s="12">
        <v>26</v>
      </c>
      <c r="I20" s="12">
        <v>34</v>
      </c>
      <c r="J20" s="12">
        <v>8</v>
      </c>
      <c r="K20" s="12">
        <v>52</v>
      </c>
      <c r="L20" s="12">
        <v>54</v>
      </c>
      <c r="M20" s="12">
        <v>30</v>
      </c>
      <c r="N20" s="12">
        <v>70</v>
      </c>
      <c r="O20" s="12">
        <v>69</v>
      </c>
      <c r="P20" s="12">
        <v>26</v>
      </c>
      <c r="Q20" s="12">
        <v>35</v>
      </c>
      <c r="R20" s="12">
        <v>23</v>
      </c>
      <c r="S20" s="12">
        <v>92</v>
      </c>
      <c r="T20" s="12">
        <v>45</v>
      </c>
      <c r="U20" s="12">
        <v>51</v>
      </c>
      <c r="V20" s="12">
        <v>26</v>
      </c>
      <c r="W20" s="12">
        <v>9</v>
      </c>
      <c r="X20" s="12">
        <v>35</v>
      </c>
      <c r="Y20" s="12">
        <v>36</v>
      </c>
      <c r="Z20" s="12">
        <v>27</v>
      </c>
      <c r="AA20" s="12">
        <v>154</v>
      </c>
      <c r="AB20" s="12">
        <v>49</v>
      </c>
      <c r="AC20" s="12">
        <v>20</v>
      </c>
      <c r="AD20" s="12">
        <v>26</v>
      </c>
      <c r="AE20" s="12">
        <v>21</v>
      </c>
      <c r="AF20" s="12">
        <v>23</v>
      </c>
    </row>
    <row r="21" spans="1:32">
      <c r="A21" s="19"/>
      <c r="B21" s="13" t="s">
        <v>387</v>
      </c>
      <c r="C21" s="14">
        <v>0.04</v>
      </c>
      <c r="D21" s="14">
        <v>0.01</v>
      </c>
      <c r="E21" s="14">
        <v>0.12</v>
      </c>
      <c r="F21" s="14">
        <v>0.03</v>
      </c>
      <c r="G21" s="14">
        <v>0.02</v>
      </c>
      <c r="H21" s="14">
        <v>0.02</v>
      </c>
      <c r="I21" s="14">
        <v>0.02</v>
      </c>
      <c r="J21" s="14">
        <v>0.03</v>
      </c>
      <c r="K21" s="14">
        <v>0.05</v>
      </c>
      <c r="L21" s="14">
        <v>0.05</v>
      </c>
      <c r="M21" s="14">
        <v>0.03</v>
      </c>
      <c r="N21" s="14">
        <v>7.0000000000000007E-2</v>
      </c>
      <c r="O21" s="14">
        <v>7.0000000000000007E-2</v>
      </c>
      <c r="P21" s="14">
        <v>0.03</v>
      </c>
      <c r="Q21" s="14">
        <v>0.03</v>
      </c>
      <c r="R21" s="14">
        <v>0.04</v>
      </c>
      <c r="S21" s="14">
        <v>0.09</v>
      </c>
      <c r="T21" s="14">
        <v>0.04</v>
      </c>
      <c r="U21" s="14">
        <v>0.1</v>
      </c>
      <c r="V21" s="14">
        <v>0.03</v>
      </c>
      <c r="W21" s="14">
        <v>0.02</v>
      </c>
      <c r="X21" s="14">
        <v>0.04</v>
      </c>
      <c r="Y21" s="14">
        <v>0.04</v>
      </c>
      <c r="Z21" s="14">
        <v>0.03</v>
      </c>
      <c r="AA21" s="14">
        <v>0.15</v>
      </c>
      <c r="AB21" s="14">
        <v>0.05</v>
      </c>
      <c r="AC21" s="14">
        <v>0.02</v>
      </c>
      <c r="AD21" s="14">
        <v>0.03</v>
      </c>
      <c r="AE21" s="14">
        <v>0.02</v>
      </c>
      <c r="AF21" s="14">
        <v>0.02</v>
      </c>
    </row>
    <row r="22" spans="1:32">
      <c r="A22" s="19"/>
      <c r="B22" s="11" t="s">
        <v>388</v>
      </c>
      <c r="C22" s="12">
        <v>17669</v>
      </c>
      <c r="D22" s="12">
        <v>452</v>
      </c>
      <c r="E22" s="12">
        <v>662</v>
      </c>
      <c r="F22" s="12">
        <v>800</v>
      </c>
      <c r="G22" s="12">
        <v>596</v>
      </c>
      <c r="H22" s="12">
        <v>1011</v>
      </c>
      <c r="I22" s="12">
        <v>1248</v>
      </c>
      <c r="J22" s="12">
        <v>238</v>
      </c>
      <c r="K22" s="12">
        <v>678</v>
      </c>
      <c r="L22" s="12">
        <v>711</v>
      </c>
      <c r="M22" s="12">
        <v>646</v>
      </c>
      <c r="N22" s="12">
        <v>660</v>
      </c>
      <c r="O22" s="12">
        <v>501</v>
      </c>
      <c r="P22" s="12">
        <v>778</v>
      </c>
      <c r="Q22" s="12">
        <v>719</v>
      </c>
      <c r="R22" s="12">
        <v>344</v>
      </c>
      <c r="S22" s="12">
        <v>676</v>
      </c>
      <c r="T22" s="12">
        <v>771</v>
      </c>
      <c r="U22" s="12">
        <v>345</v>
      </c>
      <c r="V22" s="12">
        <v>637</v>
      </c>
      <c r="W22" s="12">
        <v>381</v>
      </c>
      <c r="X22" s="12">
        <v>449</v>
      </c>
      <c r="Y22" s="12">
        <v>819</v>
      </c>
      <c r="Z22" s="12">
        <v>817</v>
      </c>
      <c r="AA22" s="12">
        <v>637</v>
      </c>
      <c r="AB22" s="12">
        <v>629</v>
      </c>
      <c r="AC22" s="12">
        <v>703</v>
      </c>
      <c r="AD22" s="12">
        <v>758</v>
      </c>
      <c r="AE22" s="12">
        <v>631</v>
      </c>
      <c r="AF22" s="12">
        <v>571</v>
      </c>
    </row>
    <row r="23" spans="1:32">
      <c r="A23" s="19"/>
      <c r="B23" s="13" t="s">
        <v>388</v>
      </c>
      <c r="C23" s="14">
        <v>0.67</v>
      </c>
      <c r="D23" s="14">
        <v>0.44</v>
      </c>
      <c r="E23" s="14">
        <v>0.63</v>
      </c>
      <c r="F23" s="14">
        <v>0.75</v>
      </c>
      <c r="G23" s="14">
        <v>0.59</v>
      </c>
      <c r="H23" s="14">
        <v>0.82000000000000006</v>
      </c>
      <c r="I23" s="14">
        <v>0.82000000000000006</v>
      </c>
      <c r="J23" s="14">
        <v>0.8</v>
      </c>
      <c r="K23" s="14">
        <v>0.67</v>
      </c>
      <c r="L23" s="14">
        <v>0.71</v>
      </c>
      <c r="M23" s="14">
        <v>0.64</v>
      </c>
      <c r="N23" s="14">
        <v>0.65</v>
      </c>
      <c r="O23" s="14">
        <v>0.5</v>
      </c>
      <c r="P23" s="14">
        <v>0.77</v>
      </c>
      <c r="Q23" s="14">
        <v>0.70000000000000007</v>
      </c>
      <c r="R23" s="14">
        <v>0.69000000000000006</v>
      </c>
      <c r="S23" s="14">
        <v>0.67</v>
      </c>
      <c r="T23" s="14">
        <v>0.76</v>
      </c>
      <c r="U23" s="14">
        <v>0.68</v>
      </c>
      <c r="V23" s="14">
        <v>0.62</v>
      </c>
      <c r="W23" s="14">
        <v>0.76</v>
      </c>
      <c r="X23" s="14">
        <v>0.44</v>
      </c>
      <c r="Y23" s="14">
        <v>0.81</v>
      </c>
      <c r="Z23" s="14">
        <v>0.81</v>
      </c>
      <c r="AA23" s="14">
        <v>0.61</v>
      </c>
      <c r="AB23" s="14">
        <v>0.6</v>
      </c>
      <c r="AC23" s="14">
        <v>0.70000000000000007</v>
      </c>
      <c r="AD23" s="14">
        <v>0.75</v>
      </c>
      <c r="AE23" s="14">
        <v>0.63</v>
      </c>
      <c r="AF23" s="14">
        <v>0.56000000000000005</v>
      </c>
    </row>
    <row r="24" spans="1:32">
      <c r="A24" s="19"/>
      <c r="B24" s="11" t="s">
        <v>389</v>
      </c>
      <c r="C24" s="12">
        <v>7622</v>
      </c>
      <c r="D24" s="12">
        <v>554</v>
      </c>
      <c r="E24" s="12">
        <v>258</v>
      </c>
      <c r="F24" s="12">
        <v>230</v>
      </c>
      <c r="G24" s="12">
        <v>400</v>
      </c>
      <c r="H24" s="12">
        <v>194</v>
      </c>
      <c r="I24" s="12">
        <v>245</v>
      </c>
      <c r="J24" s="12">
        <v>51</v>
      </c>
      <c r="K24" s="12">
        <v>276</v>
      </c>
      <c r="L24" s="12">
        <v>241</v>
      </c>
      <c r="M24" s="12">
        <v>331</v>
      </c>
      <c r="N24" s="12">
        <v>280</v>
      </c>
      <c r="O24" s="12">
        <v>434</v>
      </c>
      <c r="P24" s="12">
        <v>200</v>
      </c>
      <c r="Q24" s="12">
        <v>276</v>
      </c>
      <c r="R24" s="12">
        <v>134</v>
      </c>
      <c r="S24" s="12">
        <v>236</v>
      </c>
      <c r="T24" s="12">
        <v>206</v>
      </c>
      <c r="U24" s="12">
        <v>111</v>
      </c>
      <c r="V24" s="12">
        <v>363</v>
      </c>
      <c r="W24" s="12">
        <v>112</v>
      </c>
      <c r="X24" s="12">
        <v>525</v>
      </c>
      <c r="Y24" s="12">
        <v>149</v>
      </c>
      <c r="Z24" s="12">
        <v>171</v>
      </c>
      <c r="AA24" s="12">
        <v>246</v>
      </c>
      <c r="AB24" s="12">
        <v>362</v>
      </c>
      <c r="AC24" s="12">
        <v>282</v>
      </c>
      <c r="AD24" s="12">
        <v>220</v>
      </c>
      <c r="AE24" s="12">
        <v>350</v>
      </c>
      <c r="AF24" s="12">
        <v>437</v>
      </c>
    </row>
    <row r="25" spans="1:32">
      <c r="A25" s="19"/>
      <c r="B25" s="13" t="s">
        <v>390</v>
      </c>
      <c r="C25" s="14">
        <v>0.28999999999999998</v>
      </c>
      <c r="D25" s="14">
        <v>0.55000000000000004</v>
      </c>
      <c r="E25" s="14">
        <v>0.25</v>
      </c>
      <c r="F25" s="14">
        <v>0.22</v>
      </c>
      <c r="G25" s="14">
        <v>0.39</v>
      </c>
      <c r="H25" s="14">
        <v>0.16</v>
      </c>
      <c r="I25" s="14">
        <v>0.16</v>
      </c>
      <c r="J25" s="14">
        <v>0.17</v>
      </c>
      <c r="K25" s="14">
        <v>0.28000000000000003</v>
      </c>
      <c r="L25" s="14">
        <v>0.24</v>
      </c>
      <c r="M25" s="14">
        <v>0.33</v>
      </c>
      <c r="N25" s="14">
        <v>0.28000000000000003</v>
      </c>
      <c r="O25" s="14">
        <v>0.43</v>
      </c>
      <c r="P25" s="14">
        <v>0.2</v>
      </c>
      <c r="Q25" s="14">
        <v>0.27</v>
      </c>
      <c r="R25" s="14">
        <v>0.27</v>
      </c>
      <c r="S25" s="14">
        <v>0.24</v>
      </c>
      <c r="T25" s="14">
        <v>0.2</v>
      </c>
      <c r="U25" s="14">
        <v>0.22</v>
      </c>
      <c r="V25" s="14">
        <v>0.35</v>
      </c>
      <c r="W25" s="14">
        <v>0.22</v>
      </c>
      <c r="X25" s="14">
        <v>0.52</v>
      </c>
      <c r="Y25" s="14">
        <v>0.15</v>
      </c>
      <c r="Z25" s="14">
        <v>0.16</v>
      </c>
      <c r="AA25" s="14">
        <v>0.24</v>
      </c>
      <c r="AB25" s="14">
        <v>0.35</v>
      </c>
      <c r="AC25" s="14">
        <v>0.28000000000000003</v>
      </c>
      <c r="AD25" s="14">
        <v>0.22</v>
      </c>
      <c r="AE25" s="14">
        <v>0.35</v>
      </c>
      <c r="AF25" s="14">
        <v>0.42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709</v>
      </c>
      <c r="C3" s="17"/>
      <c r="D3" s="17"/>
      <c r="E3" s="17"/>
      <c r="F3" s="17"/>
      <c r="H3" s="17" t="s">
        <v>710</v>
      </c>
      <c r="I3" s="17"/>
      <c r="J3" s="17"/>
      <c r="K3" s="17"/>
      <c r="L3" s="17"/>
    </row>
    <row r="4" spans="1:32" ht="27" customHeight="1">
      <c r="B4" s="17" t="s">
        <v>711</v>
      </c>
      <c r="C4" s="17"/>
      <c r="D4" s="17"/>
      <c r="E4" s="17"/>
      <c r="F4" s="17"/>
      <c r="H4" s="17" t="s">
        <v>712</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HYPERLINK("#Content!A54","&lt;&lt;Back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4861</v>
      </c>
      <c r="D12" s="12">
        <v>150</v>
      </c>
      <c r="E12" s="12">
        <v>163</v>
      </c>
      <c r="F12" s="12">
        <v>106</v>
      </c>
      <c r="G12" s="12">
        <v>312</v>
      </c>
      <c r="H12" s="12">
        <v>250</v>
      </c>
      <c r="I12" s="12">
        <v>310</v>
      </c>
      <c r="J12" s="12">
        <v>61</v>
      </c>
      <c r="K12" s="12">
        <v>170</v>
      </c>
      <c r="L12" s="12">
        <v>314</v>
      </c>
      <c r="M12" s="12">
        <v>107</v>
      </c>
      <c r="N12" s="12">
        <v>367</v>
      </c>
      <c r="O12" s="12">
        <v>116</v>
      </c>
      <c r="P12" s="12">
        <v>153</v>
      </c>
      <c r="Q12" s="12">
        <v>161</v>
      </c>
      <c r="R12" s="12">
        <v>104</v>
      </c>
      <c r="S12" s="12">
        <v>160</v>
      </c>
      <c r="T12" s="12">
        <v>223</v>
      </c>
      <c r="U12" s="12">
        <v>60</v>
      </c>
      <c r="V12" s="12">
        <v>170</v>
      </c>
      <c r="W12" s="12">
        <v>107</v>
      </c>
      <c r="X12" s="12">
        <v>121</v>
      </c>
      <c r="Y12" s="12">
        <v>285</v>
      </c>
      <c r="Z12" s="12">
        <v>137</v>
      </c>
      <c r="AA12" s="12">
        <v>124</v>
      </c>
      <c r="AB12" s="12">
        <v>102</v>
      </c>
      <c r="AC12" s="12">
        <v>218</v>
      </c>
      <c r="AD12" s="12">
        <v>215</v>
      </c>
      <c r="AE12" s="12">
        <v>179</v>
      </c>
      <c r="AF12" s="12">
        <v>298</v>
      </c>
    </row>
    <row r="13" spans="1:32">
      <c r="A13" s="19"/>
      <c r="B13" s="13" t="s">
        <v>707</v>
      </c>
      <c r="C13" s="14">
        <v>0.19</v>
      </c>
      <c r="D13" s="14">
        <v>0.15</v>
      </c>
      <c r="E13" s="14">
        <v>0.16</v>
      </c>
      <c r="F13" s="14">
        <v>0.1</v>
      </c>
      <c r="G13" s="14">
        <v>0.31</v>
      </c>
      <c r="H13" s="14">
        <v>0.2</v>
      </c>
      <c r="I13" s="14">
        <v>0.2</v>
      </c>
      <c r="J13" s="14">
        <v>0.2</v>
      </c>
      <c r="K13" s="14">
        <v>0.17</v>
      </c>
      <c r="L13" s="14">
        <v>0.31</v>
      </c>
      <c r="M13" s="14">
        <v>0.11</v>
      </c>
      <c r="N13" s="14">
        <v>0.36</v>
      </c>
      <c r="O13" s="14">
        <v>0.12</v>
      </c>
      <c r="P13" s="14">
        <v>0.15</v>
      </c>
      <c r="Q13" s="14">
        <v>0.16</v>
      </c>
      <c r="R13" s="14">
        <v>0.21</v>
      </c>
      <c r="S13" s="14">
        <v>0.16</v>
      </c>
      <c r="T13" s="14">
        <v>0.22</v>
      </c>
      <c r="U13" s="14">
        <v>0.12</v>
      </c>
      <c r="V13" s="14">
        <v>0.16</v>
      </c>
      <c r="W13" s="14">
        <v>0.21</v>
      </c>
      <c r="X13" s="14">
        <v>0.12</v>
      </c>
      <c r="Y13" s="14">
        <v>0.28000000000000003</v>
      </c>
      <c r="Z13" s="14">
        <v>0.14000000000000001</v>
      </c>
      <c r="AA13" s="14">
        <v>0.12</v>
      </c>
      <c r="AB13" s="14">
        <v>0.1</v>
      </c>
      <c r="AC13" s="14">
        <v>0.22</v>
      </c>
      <c r="AD13" s="14">
        <v>0.21</v>
      </c>
      <c r="AE13" s="14">
        <v>0.18</v>
      </c>
      <c r="AF13" s="14">
        <v>0.28999999999999998</v>
      </c>
    </row>
    <row r="14" spans="1:32">
      <c r="A14" s="19"/>
      <c r="B14" s="11" t="s">
        <v>490</v>
      </c>
      <c r="C14" s="12">
        <v>14312</v>
      </c>
      <c r="D14" s="12">
        <v>593</v>
      </c>
      <c r="E14" s="12">
        <v>508</v>
      </c>
      <c r="F14" s="12">
        <v>628</v>
      </c>
      <c r="G14" s="12">
        <v>515</v>
      </c>
      <c r="H14" s="12">
        <v>673</v>
      </c>
      <c r="I14" s="12">
        <v>823</v>
      </c>
      <c r="J14" s="12">
        <v>150</v>
      </c>
      <c r="K14" s="12">
        <v>591</v>
      </c>
      <c r="L14" s="12">
        <v>530</v>
      </c>
      <c r="M14" s="12">
        <v>545</v>
      </c>
      <c r="N14" s="12">
        <v>461</v>
      </c>
      <c r="O14" s="12">
        <v>556</v>
      </c>
      <c r="P14" s="12">
        <v>523</v>
      </c>
      <c r="Q14" s="12">
        <v>597</v>
      </c>
      <c r="R14" s="12">
        <v>273</v>
      </c>
      <c r="S14" s="12">
        <v>504</v>
      </c>
      <c r="T14" s="12">
        <v>537</v>
      </c>
      <c r="U14" s="12">
        <v>252</v>
      </c>
      <c r="V14" s="12">
        <v>573</v>
      </c>
      <c r="W14" s="12">
        <v>302</v>
      </c>
      <c r="X14" s="12">
        <v>593</v>
      </c>
      <c r="Y14" s="12">
        <v>495</v>
      </c>
      <c r="Z14" s="12">
        <v>636</v>
      </c>
      <c r="AA14" s="12">
        <v>557</v>
      </c>
      <c r="AB14" s="12">
        <v>475</v>
      </c>
      <c r="AC14" s="12">
        <v>542</v>
      </c>
      <c r="AD14" s="12">
        <v>509</v>
      </c>
      <c r="AE14" s="12">
        <v>458</v>
      </c>
      <c r="AF14" s="12">
        <v>527</v>
      </c>
    </row>
    <row r="15" spans="1:32">
      <c r="A15" s="19"/>
      <c r="B15" s="13" t="s">
        <v>491</v>
      </c>
      <c r="C15" s="14">
        <v>0.54</v>
      </c>
      <c r="D15" s="14">
        <v>0.57999999999999996</v>
      </c>
      <c r="E15" s="14">
        <v>0.48</v>
      </c>
      <c r="F15" s="14">
        <v>0.59</v>
      </c>
      <c r="G15" s="14">
        <v>0.51</v>
      </c>
      <c r="H15" s="14">
        <v>0.55000000000000004</v>
      </c>
      <c r="I15" s="14">
        <v>0.54</v>
      </c>
      <c r="J15" s="14">
        <v>0.51</v>
      </c>
      <c r="K15" s="14">
        <v>0.59</v>
      </c>
      <c r="L15" s="14">
        <v>0.53</v>
      </c>
      <c r="M15" s="14">
        <v>0.54</v>
      </c>
      <c r="N15" s="14">
        <v>0.46</v>
      </c>
      <c r="O15" s="14">
        <v>0.55000000000000004</v>
      </c>
      <c r="P15" s="14">
        <v>0.52</v>
      </c>
      <c r="Q15" s="14">
        <v>0.57999999999999996</v>
      </c>
      <c r="R15" s="14">
        <v>0.55000000000000004</v>
      </c>
      <c r="S15" s="14">
        <v>0.5</v>
      </c>
      <c r="T15" s="14">
        <v>0.53</v>
      </c>
      <c r="U15" s="14">
        <v>0.5</v>
      </c>
      <c r="V15" s="14">
        <v>0.56000000000000005</v>
      </c>
      <c r="W15" s="14">
        <v>0.6</v>
      </c>
      <c r="X15" s="14">
        <v>0.59</v>
      </c>
      <c r="Y15" s="14">
        <v>0.49</v>
      </c>
      <c r="Z15" s="14">
        <v>0.63</v>
      </c>
      <c r="AA15" s="14">
        <v>0.54</v>
      </c>
      <c r="AB15" s="14">
        <v>0.46</v>
      </c>
      <c r="AC15" s="14">
        <v>0.54</v>
      </c>
      <c r="AD15" s="14">
        <v>0.51</v>
      </c>
      <c r="AE15" s="14">
        <v>0.46</v>
      </c>
      <c r="AF15" s="14">
        <v>0.51</v>
      </c>
    </row>
    <row r="16" spans="1:32">
      <c r="A16" s="19"/>
      <c r="B16" s="11" t="s">
        <v>492</v>
      </c>
      <c r="C16" s="12">
        <v>4273</v>
      </c>
      <c r="D16" s="12">
        <v>212</v>
      </c>
      <c r="E16" s="12">
        <v>195</v>
      </c>
      <c r="F16" s="12">
        <v>239</v>
      </c>
      <c r="G16" s="12">
        <v>84</v>
      </c>
      <c r="H16" s="12">
        <v>179</v>
      </c>
      <c r="I16" s="12">
        <v>239</v>
      </c>
      <c r="J16" s="12">
        <v>60</v>
      </c>
      <c r="K16" s="12">
        <v>145</v>
      </c>
      <c r="L16" s="12">
        <v>42</v>
      </c>
      <c r="M16" s="12">
        <v>240</v>
      </c>
      <c r="N16" s="12">
        <v>84</v>
      </c>
      <c r="O16" s="12">
        <v>174</v>
      </c>
      <c r="P16" s="12">
        <v>234</v>
      </c>
      <c r="Q16" s="12">
        <v>161</v>
      </c>
      <c r="R16" s="12">
        <v>67</v>
      </c>
      <c r="S16" s="12">
        <v>191</v>
      </c>
      <c r="T16" s="12">
        <v>145</v>
      </c>
      <c r="U16" s="12">
        <v>98</v>
      </c>
      <c r="V16" s="12">
        <v>221</v>
      </c>
      <c r="W16" s="12">
        <v>58</v>
      </c>
      <c r="X16" s="12">
        <v>175</v>
      </c>
      <c r="Y16" s="12">
        <v>131</v>
      </c>
      <c r="Z16" s="12">
        <v>145</v>
      </c>
      <c r="AA16" s="12">
        <v>191</v>
      </c>
      <c r="AB16" s="12">
        <v>287</v>
      </c>
      <c r="AC16" s="12">
        <v>172</v>
      </c>
      <c r="AD16" s="12">
        <v>202</v>
      </c>
      <c r="AE16" s="12">
        <v>279</v>
      </c>
      <c r="AF16" s="12">
        <v>112</v>
      </c>
    </row>
    <row r="17" spans="1:32">
      <c r="A17" s="19"/>
      <c r="B17" s="13" t="s">
        <v>493</v>
      </c>
      <c r="C17" s="14">
        <v>0.16</v>
      </c>
      <c r="D17" s="14">
        <v>0.21</v>
      </c>
      <c r="E17" s="14">
        <v>0.19</v>
      </c>
      <c r="F17" s="14">
        <v>0.23</v>
      </c>
      <c r="G17" s="14">
        <v>0.08</v>
      </c>
      <c r="H17" s="14">
        <v>0.15</v>
      </c>
      <c r="I17" s="14">
        <v>0.16</v>
      </c>
      <c r="J17" s="14">
        <v>0.2</v>
      </c>
      <c r="K17" s="14">
        <v>0.14000000000000001</v>
      </c>
      <c r="L17" s="14">
        <v>0.04</v>
      </c>
      <c r="M17" s="14">
        <v>0.24</v>
      </c>
      <c r="N17" s="14">
        <v>0.08</v>
      </c>
      <c r="O17" s="14">
        <v>0.17</v>
      </c>
      <c r="P17" s="14">
        <v>0.23</v>
      </c>
      <c r="Q17" s="14">
        <v>0.16</v>
      </c>
      <c r="R17" s="14">
        <v>0.13</v>
      </c>
      <c r="S17" s="14">
        <v>0.19</v>
      </c>
      <c r="T17" s="14">
        <v>0.14000000000000001</v>
      </c>
      <c r="U17" s="14">
        <v>0.19</v>
      </c>
      <c r="V17" s="14">
        <v>0.22</v>
      </c>
      <c r="W17" s="14">
        <v>0.12</v>
      </c>
      <c r="X17" s="14">
        <v>0.17</v>
      </c>
      <c r="Y17" s="14">
        <v>0.13</v>
      </c>
      <c r="Z17" s="14">
        <v>0.14000000000000001</v>
      </c>
      <c r="AA17" s="14">
        <v>0.18</v>
      </c>
      <c r="AB17" s="14">
        <v>0.27</v>
      </c>
      <c r="AC17" s="14">
        <v>0.17</v>
      </c>
      <c r="AD17" s="14">
        <v>0.2</v>
      </c>
      <c r="AE17" s="14">
        <v>0.28000000000000003</v>
      </c>
      <c r="AF17" s="14">
        <v>0.11</v>
      </c>
    </row>
    <row r="18" spans="1:32">
      <c r="A18" s="19"/>
      <c r="B18" s="11" t="s">
        <v>494</v>
      </c>
      <c r="C18" s="12">
        <v>623</v>
      </c>
      <c r="D18" s="12">
        <v>23</v>
      </c>
      <c r="E18" s="12">
        <v>36</v>
      </c>
      <c r="F18" s="12">
        <v>32</v>
      </c>
      <c r="G18" s="12">
        <v>15</v>
      </c>
      <c r="H18" s="12">
        <v>17</v>
      </c>
      <c r="I18" s="12">
        <v>26</v>
      </c>
      <c r="J18" s="12">
        <v>10</v>
      </c>
      <c r="K18" s="12">
        <v>38</v>
      </c>
      <c r="L18" s="12">
        <v>6</v>
      </c>
      <c r="M18" s="12">
        <v>65</v>
      </c>
      <c r="N18" s="12">
        <v>11</v>
      </c>
      <c r="O18" s="12">
        <v>28</v>
      </c>
      <c r="P18" s="12">
        <v>40</v>
      </c>
      <c r="Q18" s="12">
        <v>14</v>
      </c>
      <c r="R18" s="12">
        <v>17</v>
      </c>
      <c r="S18" s="12">
        <v>17</v>
      </c>
      <c r="T18" s="12">
        <v>14</v>
      </c>
      <c r="U18" s="12">
        <v>14</v>
      </c>
      <c r="V18" s="12">
        <v>38</v>
      </c>
      <c r="W18" s="12">
        <v>3</v>
      </c>
      <c r="X18" s="12">
        <v>10</v>
      </c>
      <c r="Y18" s="12">
        <v>15</v>
      </c>
      <c r="Z18" s="12">
        <v>34</v>
      </c>
      <c r="AA18" s="12">
        <v>3</v>
      </c>
      <c r="AB18" s="12">
        <v>86</v>
      </c>
      <c r="AC18" s="12">
        <v>44</v>
      </c>
      <c r="AD18" s="12">
        <v>17</v>
      </c>
      <c r="AE18" s="12">
        <v>50</v>
      </c>
      <c r="AF18" s="12">
        <v>9</v>
      </c>
    </row>
    <row r="19" spans="1:32">
      <c r="A19" s="19"/>
      <c r="B19" s="13" t="s">
        <v>708</v>
      </c>
      <c r="C19" s="14">
        <v>0.02</v>
      </c>
      <c r="D19" s="14">
        <v>0.02</v>
      </c>
      <c r="E19" s="14">
        <v>0.03</v>
      </c>
      <c r="F19" s="14">
        <v>0.03</v>
      </c>
      <c r="G19" s="14">
        <v>0.01</v>
      </c>
      <c r="H19" s="14">
        <v>0.01</v>
      </c>
      <c r="I19" s="14">
        <v>0.02</v>
      </c>
      <c r="J19" s="14">
        <v>0.03</v>
      </c>
      <c r="K19" s="14">
        <v>0.04</v>
      </c>
      <c r="L19" s="14">
        <v>0.01</v>
      </c>
      <c r="M19" s="14">
        <v>0.06</v>
      </c>
      <c r="N19" s="14">
        <v>0.01</v>
      </c>
      <c r="O19" s="14">
        <v>0.03</v>
      </c>
      <c r="P19" s="14">
        <v>0.04</v>
      </c>
      <c r="Q19" s="14">
        <v>0.01</v>
      </c>
      <c r="R19" s="14">
        <v>0.03</v>
      </c>
      <c r="S19" s="14">
        <v>0.02</v>
      </c>
      <c r="T19" s="14">
        <v>0.01</v>
      </c>
      <c r="U19" s="14">
        <v>0.03</v>
      </c>
      <c r="V19" s="14">
        <v>0.04</v>
      </c>
      <c r="W19" s="14">
        <v>0.01</v>
      </c>
      <c r="X19" s="14">
        <v>0.01</v>
      </c>
      <c r="Y19" s="14">
        <v>0.02</v>
      </c>
      <c r="Z19" s="14">
        <v>0.03</v>
      </c>
      <c r="AA19" s="15" t="s">
        <v>375</v>
      </c>
      <c r="AB19" s="14">
        <v>0.08</v>
      </c>
      <c r="AC19" s="14">
        <v>0.04</v>
      </c>
      <c r="AD19" s="14">
        <v>0.02</v>
      </c>
      <c r="AE19" s="14">
        <v>0.05</v>
      </c>
      <c r="AF19" s="14">
        <v>0.01</v>
      </c>
    </row>
    <row r="20" spans="1:32">
      <c r="A20" s="19"/>
      <c r="B20" s="11" t="s">
        <v>386</v>
      </c>
      <c r="C20" s="12">
        <v>2385</v>
      </c>
      <c r="D20" s="12">
        <v>43</v>
      </c>
      <c r="E20" s="12">
        <v>144</v>
      </c>
      <c r="F20" s="12">
        <v>58</v>
      </c>
      <c r="G20" s="12">
        <v>90</v>
      </c>
      <c r="H20" s="12">
        <v>112</v>
      </c>
      <c r="I20" s="12">
        <v>129</v>
      </c>
      <c r="J20" s="12">
        <v>17</v>
      </c>
      <c r="K20" s="12">
        <v>62</v>
      </c>
      <c r="L20" s="12">
        <v>114</v>
      </c>
      <c r="M20" s="12">
        <v>50</v>
      </c>
      <c r="N20" s="12">
        <v>90</v>
      </c>
      <c r="O20" s="12">
        <v>131</v>
      </c>
      <c r="P20" s="12">
        <v>54</v>
      </c>
      <c r="Q20" s="12">
        <v>98</v>
      </c>
      <c r="R20" s="12">
        <v>40</v>
      </c>
      <c r="S20" s="12">
        <v>131</v>
      </c>
      <c r="T20" s="12">
        <v>105</v>
      </c>
      <c r="U20" s="12">
        <v>83</v>
      </c>
      <c r="V20" s="12">
        <v>24</v>
      </c>
      <c r="W20" s="12">
        <v>32</v>
      </c>
      <c r="X20" s="12">
        <v>111</v>
      </c>
      <c r="Y20" s="12">
        <v>76</v>
      </c>
      <c r="Z20" s="12">
        <v>64</v>
      </c>
      <c r="AA20" s="12">
        <v>162</v>
      </c>
      <c r="AB20" s="12">
        <v>90</v>
      </c>
      <c r="AC20" s="12">
        <v>30</v>
      </c>
      <c r="AD20" s="12">
        <v>60</v>
      </c>
      <c r="AE20" s="12">
        <v>35</v>
      </c>
      <c r="AF20" s="12">
        <v>85</v>
      </c>
    </row>
    <row r="21" spans="1:32">
      <c r="A21" s="19"/>
      <c r="B21" s="13" t="s">
        <v>399</v>
      </c>
      <c r="C21" s="14">
        <v>0.09</v>
      </c>
      <c r="D21" s="14">
        <v>0.04</v>
      </c>
      <c r="E21" s="14">
        <v>0.14000000000000001</v>
      </c>
      <c r="F21" s="14">
        <v>0.05</v>
      </c>
      <c r="G21" s="14">
        <v>0.09</v>
      </c>
      <c r="H21" s="14">
        <v>0.09</v>
      </c>
      <c r="I21" s="14">
        <v>0.08</v>
      </c>
      <c r="J21" s="14">
        <v>0.06</v>
      </c>
      <c r="K21" s="14">
        <v>0.06</v>
      </c>
      <c r="L21" s="14">
        <v>0.11</v>
      </c>
      <c r="M21" s="14">
        <v>0.05</v>
      </c>
      <c r="N21" s="14">
        <v>0.09</v>
      </c>
      <c r="O21" s="14">
        <v>0.13</v>
      </c>
      <c r="P21" s="14">
        <v>0.06</v>
      </c>
      <c r="Q21" s="14">
        <v>0.09</v>
      </c>
      <c r="R21" s="14">
        <v>0.08</v>
      </c>
      <c r="S21" s="14">
        <v>0.13</v>
      </c>
      <c r="T21" s="14">
        <v>0.1</v>
      </c>
      <c r="U21" s="14">
        <v>0.16</v>
      </c>
      <c r="V21" s="14">
        <v>0.02</v>
      </c>
      <c r="W21" s="14">
        <v>0.06</v>
      </c>
      <c r="X21" s="14">
        <v>0.11</v>
      </c>
      <c r="Y21" s="14">
        <v>0.08</v>
      </c>
      <c r="Z21" s="14">
        <v>0.06</v>
      </c>
      <c r="AA21" s="14">
        <v>0.16</v>
      </c>
      <c r="AB21" s="14">
        <v>0.09</v>
      </c>
      <c r="AC21" s="14">
        <v>0.03</v>
      </c>
      <c r="AD21" s="14">
        <v>0.06</v>
      </c>
      <c r="AE21" s="14">
        <v>0.03</v>
      </c>
      <c r="AF21" s="14">
        <v>0.08</v>
      </c>
    </row>
    <row r="22" spans="1:32">
      <c r="A22" s="19"/>
      <c r="B22" s="11" t="s">
        <v>496</v>
      </c>
      <c r="C22" s="12">
        <v>19173</v>
      </c>
      <c r="D22" s="12">
        <v>743</v>
      </c>
      <c r="E22" s="12">
        <v>671</v>
      </c>
      <c r="F22" s="12">
        <v>734</v>
      </c>
      <c r="G22" s="12">
        <v>827</v>
      </c>
      <c r="H22" s="12">
        <v>923</v>
      </c>
      <c r="I22" s="12">
        <v>1133</v>
      </c>
      <c r="J22" s="12">
        <v>211</v>
      </c>
      <c r="K22" s="12">
        <v>761</v>
      </c>
      <c r="L22" s="12">
        <v>844</v>
      </c>
      <c r="M22" s="12">
        <v>652</v>
      </c>
      <c r="N22" s="12">
        <v>828</v>
      </c>
      <c r="O22" s="12">
        <v>672</v>
      </c>
      <c r="P22" s="12">
        <v>676</v>
      </c>
      <c r="Q22" s="12">
        <v>758</v>
      </c>
      <c r="R22" s="12">
        <v>377</v>
      </c>
      <c r="S22" s="12">
        <v>664</v>
      </c>
      <c r="T22" s="12">
        <v>760</v>
      </c>
      <c r="U22" s="12">
        <v>312</v>
      </c>
      <c r="V22" s="12">
        <v>743</v>
      </c>
      <c r="W22" s="12">
        <v>409</v>
      </c>
      <c r="X22" s="12">
        <v>714</v>
      </c>
      <c r="Y22" s="12">
        <v>780</v>
      </c>
      <c r="Z22" s="12">
        <v>773</v>
      </c>
      <c r="AA22" s="12">
        <v>681</v>
      </c>
      <c r="AB22" s="12">
        <v>577</v>
      </c>
      <c r="AC22" s="12">
        <v>760</v>
      </c>
      <c r="AD22" s="12">
        <v>724</v>
      </c>
      <c r="AE22" s="12">
        <v>637</v>
      </c>
      <c r="AF22" s="12">
        <v>825</v>
      </c>
    </row>
    <row r="23" spans="1:32">
      <c r="A23" s="19"/>
      <c r="B23" s="13" t="s">
        <v>497</v>
      </c>
      <c r="C23" s="14">
        <v>0.73</v>
      </c>
      <c r="D23" s="14">
        <v>0.73</v>
      </c>
      <c r="E23" s="14">
        <v>0.64</v>
      </c>
      <c r="F23" s="14">
        <v>0.69000000000000006</v>
      </c>
      <c r="G23" s="14">
        <v>0.82000000000000006</v>
      </c>
      <c r="H23" s="14">
        <v>0.75</v>
      </c>
      <c r="I23" s="14">
        <v>0.74</v>
      </c>
      <c r="J23" s="14">
        <v>0.71</v>
      </c>
      <c r="K23" s="14">
        <v>0.76</v>
      </c>
      <c r="L23" s="14">
        <v>0.84</v>
      </c>
      <c r="M23" s="14">
        <v>0.65</v>
      </c>
      <c r="N23" s="14">
        <v>0.82000000000000006</v>
      </c>
      <c r="O23" s="14">
        <v>0.67</v>
      </c>
      <c r="P23" s="14">
        <v>0.67</v>
      </c>
      <c r="Q23" s="14">
        <v>0.74</v>
      </c>
      <c r="R23" s="14">
        <v>0.76</v>
      </c>
      <c r="S23" s="14">
        <v>0.66</v>
      </c>
      <c r="T23" s="14">
        <v>0.75</v>
      </c>
      <c r="U23" s="14">
        <v>0.62</v>
      </c>
      <c r="V23" s="14">
        <v>0.72</v>
      </c>
      <c r="W23" s="14">
        <v>0.81</v>
      </c>
      <c r="X23" s="14">
        <v>0.71</v>
      </c>
      <c r="Y23" s="14">
        <v>0.77</v>
      </c>
      <c r="Z23" s="14">
        <v>0.77</v>
      </c>
      <c r="AA23" s="14">
        <v>0.66</v>
      </c>
      <c r="AB23" s="14">
        <v>0.56000000000000005</v>
      </c>
      <c r="AC23" s="14">
        <v>0.76</v>
      </c>
      <c r="AD23" s="14">
        <v>0.72</v>
      </c>
      <c r="AE23" s="14">
        <v>0.64</v>
      </c>
      <c r="AF23" s="14">
        <v>0.8</v>
      </c>
    </row>
    <row r="24" spans="1:32">
      <c r="A24" s="19"/>
      <c r="B24" s="11" t="s">
        <v>498</v>
      </c>
      <c r="C24" s="12">
        <v>4896</v>
      </c>
      <c r="D24" s="12">
        <v>235</v>
      </c>
      <c r="E24" s="12">
        <v>231</v>
      </c>
      <c r="F24" s="12">
        <v>271</v>
      </c>
      <c r="G24" s="12">
        <v>99</v>
      </c>
      <c r="H24" s="12">
        <v>196</v>
      </c>
      <c r="I24" s="12">
        <v>265</v>
      </c>
      <c r="J24" s="12">
        <v>70</v>
      </c>
      <c r="K24" s="12">
        <v>183</v>
      </c>
      <c r="L24" s="12">
        <v>48</v>
      </c>
      <c r="M24" s="12">
        <v>305</v>
      </c>
      <c r="N24" s="12">
        <v>95</v>
      </c>
      <c r="O24" s="12">
        <v>202</v>
      </c>
      <c r="P24" s="12">
        <v>274</v>
      </c>
      <c r="Q24" s="12">
        <v>175</v>
      </c>
      <c r="R24" s="12">
        <v>84</v>
      </c>
      <c r="S24" s="12">
        <v>208</v>
      </c>
      <c r="T24" s="12">
        <v>159</v>
      </c>
      <c r="U24" s="12">
        <v>112</v>
      </c>
      <c r="V24" s="12">
        <v>259</v>
      </c>
      <c r="W24" s="12">
        <v>61</v>
      </c>
      <c r="X24" s="12">
        <v>185</v>
      </c>
      <c r="Y24" s="12">
        <v>146</v>
      </c>
      <c r="Z24" s="12">
        <v>179</v>
      </c>
      <c r="AA24" s="12">
        <v>194</v>
      </c>
      <c r="AB24" s="12">
        <v>373</v>
      </c>
      <c r="AC24" s="12">
        <v>216</v>
      </c>
      <c r="AD24" s="12">
        <v>219</v>
      </c>
      <c r="AE24" s="12">
        <v>329</v>
      </c>
      <c r="AF24" s="12">
        <v>121</v>
      </c>
    </row>
    <row r="25" spans="1:32">
      <c r="A25" s="19"/>
      <c r="B25" s="13" t="s">
        <v>499</v>
      </c>
      <c r="C25" s="14">
        <v>0.18</v>
      </c>
      <c r="D25" s="14">
        <v>0.23</v>
      </c>
      <c r="E25" s="14">
        <v>0.22</v>
      </c>
      <c r="F25" s="14">
        <v>0.26</v>
      </c>
      <c r="G25" s="14">
        <v>0.09</v>
      </c>
      <c r="H25" s="14">
        <v>0.16</v>
      </c>
      <c r="I25" s="14">
        <v>0.18</v>
      </c>
      <c r="J25" s="14">
        <v>0.23</v>
      </c>
      <c r="K25" s="14">
        <v>0.18</v>
      </c>
      <c r="L25" s="14">
        <v>0.05</v>
      </c>
      <c r="M25" s="14">
        <v>0.3</v>
      </c>
      <c r="N25" s="14">
        <v>0.09</v>
      </c>
      <c r="O25" s="14">
        <v>0.2</v>
      </c>
      <c r="P25" s="14">
        <v>0.27</v>
      </c>
      <c r="Q25" s="14">
        <v>0.17</v>
      </c>
      <c r="R25" s="14">
        <v>0.16</v>
      </c>
      <c r="S25" s="14">
        <v>0.21</v>
      </c>
      <c r="T25" s="14">
        <v>0.15</v>
      </c>
      <c r="U25" s="14">
        <v>0.22</v>
      </c>
      <c r="V25" s="14">
        <v>0.26</v>
      </c>
      <c r="W25" s="14">
        <v>0.13</v>
      </c>
      <c r="X25" s="14">
        <v>0.18</v>
      </c>
      <c r="Y25" s="14">
        <v>0.15</v>
      </c>
      <c r="Z25" s="14">
        <v>0.17</v>
      </c>
      <c r="AA25" s="14">
        <v>0.18</v>
      </c>
      <c r="AB25" s="14">
        <v>0.35</v>
      </c>
      <c r="AC25" s="14">
        <v>0.21</v>
      </c>
      <c r="AD25" s="14">
        <v>0.22</v>
      </c>
      <c r="AE25" s="14">
        <v>0.33</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713</v>
      </c>
      <c r="C3" s="17"/>
      <c r="D3" s="17"/>
      <c r="E3" s="17"/>
      <c r="F3" s="17"/>
      <c r="H3" s="17" t="s">
        <v>714</v>
      </c>
      <c r="I3" s="17"/>
      <c r="J3" s="17"/>
      <c r="K3" s="17"/>
      <c r="L3" s="17"/>
    </row>
    <row r="4" spans="1:32" ht="27" customHeight="1">
      <c r="B4" s="17" t="s">
        <v>715</v>
      </c>
      <c r="C4" s="17"/>
      <c r="D4" s="17"/>
      <c r="E4" s="17"/>
      <c r="F4" s="17"/>
      <c r="H4" s="17" t="s">
        <v>716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HYPERLINK("#Content!A55","&lt;&lt;Back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6474</v>
      </c>
      <c r="D12" s="12">
        <v>155</v>
      </c>
      <c r="E12" s="12">
        <v>257</v>
      </c>
      <c r="F12" s="12">
        <v>177</v>
      </c>
      <c r="G12" s="12">
        <v>394</v>
      </c>
      <c r="H12" s="12">
        <v>322</v>
      </c>
      <c r="I12" s="12">
        <v>398</v>
      </c>
      <c r="J12" s="12">
        <v>76</v>
      </c>
      <c r="K12" s="12">
        <v>251</v>
      </c>
      <c r="L12" s="12">
        <v>300</v>
      </c>
      <c r="M12" s="12">
        <v>148</v>
      </c>
      <c r="N12" s="12">
        <v>453</v>
      </c>
      <c r="O12" s="12">
        <v>214</v>
      </c>
      <c r="P12" s="12">
        <v>191</v>
      </c>
      <c r="Q12" s="12">
        <v>180</v>
      </c>
      <c r="R12" s="12">
        <v>169</v>
      </c>
      <c r="S12" s="12">
        <v>345</v>
      </c>
      <c r="T12" s="12">
        <v>343</v>
      </c>
      <c r="U12" s="12">
        <v>105</v>
      </c>
      <c r="V12" s="12">
        <v>236</v>
      </c>
      <c r="W12" s="12">
        <v>196</v>
      </c>
      <c r="X12" s="12">
        <v>191</v>
      </c>
      <c r="Y12" s="12">
        <v>344</v>
      </c>
      <c r="Z12" s="12">
        <v>171</v>
      </c>
      <c r="AA12" s="12">
        <v>146</v>
      </c>
      <c r="AB12" s="12">
        <v>136</v>
      </c>
      <c r="AC12" s="12">
        <v>287</v>
      </c>
      <c r="AD12" s="12">
        <v>308</v>
      </c>
      <c r="AE12" s="12">
        <v>481</v>
      </c>
      <c r="AF12" s="12">
        <v>348</v>
      </c>
    </row>
    <row r="13" spans="1:32">
      <c r="A13" s="19"/>
      <c r="B13" s="13" t="s">
        <v>707</v>
      </c>
      <c r="C13" s="14">
        <v>0.24</v>
      </c>
      <c r="D13" s="14">
        <v>0.15</v>
      </c>
      <c r="E13" s="14">
        <v>0.24</v>
      </c>
      <c r="F13" s="14">
        <v>0.17</v>
      </c>
      <c r="G13" s="14">
        <v>0.39</v>
      </c>
      <c r="H13" s="14">
        <v>0.26</v>
      </c>
      <c r="I13" s="14">
        <v>0.26</v>
      </c>
      <c r="J13" s="14">
        <v>0.25</v>
      </c>
      <c r="K13" s="14">
        <v>0.25</v>
      </c>
      <c r="L13" s="14">
        <v>0.3</v>
      </c>
      <c r="M13" s="14">
        <v>0.15</v>
      </c>
      <c r="N13" s="14">
        <v>0.45</v>
      </c>
      <c r="O13" s="14">
        <v>0.21</v>
      </c>
      <c r="P13" s="14">
        <v>0.19</v>
      </c>
      <c r="Q13" s="14">
        <v>0.17</v>
      </c>
      <c r="R13" s="14">
        <v>0.34</v>
      </c>
      <c r="S13" s="14">
        <v>0.34</v>
      </c>
      <c r="T13" s="14">
        <v>0.33</v>
      </c>
      <c r="U13" s="14">
        <v>0.21</v>
      </c>
      <c r="V13" s="14">
        <v>0.23</v>
      </c>
      <c r="W13" s="14">
        <v>0.39</v>
      </c>
      <c r="X13" s="14">
        <v>0.19</v>
      </c>
      <c r="Y13" s="14">
        <v>0.34</v>
      </c>
      <c r="Z13" s="14">
        <v>0.17</v>
      </c>
      <c r="AA13" s="14">
        <v>0.14000000000000001</v>
      </c>
      <c r="AB13" s="14">
        <v>0.13</v>
      </c>
      <c r="AC13" s="14">
        <v>0.28999999999999998</v>
      </c>
      <c r="AD13" s="14">
        <v>0.31</v>
      </c>
      <c r="AE13" s="14">
        <v>0.48</v>
      </c>
      <c r="AF13" s="14">
        <v>0.34</v>
      </c>
    </row>
    <row r="14" spans="1:32">
      <c r="A14" s="19"/>
      <c r="B14" s="11" t="s">
        <v>490</v>
      </c>
      <c r="C14" s="12">
        <v>14287</v>
      </c>
      <c r="D14" s="12">
        <v>637</v>
      </c>
      <c r="E14" s="12">
        <v>531</v>
      </c>
      <c r="F14" s="12">
        <v>653</v>
      </c>
      <c r="G14" s="12">
        <v>431</v>
      </c>
      <c r="H14" s="12">
        <v>625</v>
      </c>
      <c r="I14" s="12">
        <v>785</v>
      </c>
      <c r="J14" s="12">
        <v>160</v>
      </c>
      <c r="K14" s="12">
        <v>593</v>
      </c>
      <c r="L14" s="12">
        <v>513</v>
      </c>
      <c r="M14" s="12">
        <v>569</v>
      </c>
      <c r="N14" s="12">
        <v>393</v>
      </c>
      <c r="O14" s="12">
        <v>541</v>
      </c>
      <c r="P14" s="12">
        <v>581</v>
      </c>
      <c r="Q14" s="12">
        <v>636</v>
      </c>
      <c r="R14" s="12">
        <v>225</v>
      </c>
      <c r="S14" s="12">
        <v>519</v>
      </c>
      <c r="T14" s="12">
        <v>490</v>
      </c>
      <c r="U14" s="12">
        <v>286</v>
      </c>
      <c r="V14" s="12">
        <v>568</v>
      </c>
      <c r="W14" s="12">
        <v>245</v>
      </c>
      <c r="X14" s="12">
        <v>628</v>
      </c>
      <c r="Y14" s="12">
        <v>458</v>
      </c>
      <c r="Z14" s="12">
        <v>684</v>
      </c>
      <c r="AA14" s="12">
        <v>651</v>
      </c>
      <c r="AB14" s="12">
        <v>503</v>
      </c>
      <c r="AC14" s="12">
        <v>568</v>
      </c>
      <c r="AD14" s="12">
        <v>541</v>
      </c>
      <c r="AE14" s="12">
        <v>396</v>
      </c>
      <c r="AF14" s="12">
        <v>499</v>
      </c>
    </row>
    <row r="15" spans="1:32">
      <c r="A15" s="19"/>
      <c r="B15" s="13" t="s">
        <v>491</v>
      </c>
      <c r="C15" s="14">
        <v>0.54</v>
      </c>
      <c r="D15" s="14">
        <v>0.62</v>
      </c>
      <c r="E15" s="14">
        <v>0.51</v>
      </c>
      <c r="F15" s="14">
        <v>0.61</v>
      </c>
      <c r="G15" s="14">
        <v>0.42</v>
      </c>
      <c r="H15" s="14">
        <v>0.51</v>
      </c>
      <c r="I15" s="14">
        <v>0.51</v>
      </c>
      <c r="J15" s="14">
        <v>0.54</v>
      </c>
      <c r="K15" s="14">
        <v>0.59</v>
      </c>
      <c r="L15" s="14">
        <v>0.51</v>
      </c>
      <c r="M15" s="14">
        <v>0.56000000000000005</v>
      </c>
      <c r="N15" s="14">
        <v>0.39</v>
      </c>
      <c r="O15" s="14">
        <v>0.54</v>
      </c>
      <c r="P15" s="14">
        <v>0.57999999999999996</v>
      </c>
      <c r="Q15" s="14">
        <v>0.62</v>
      </c>
      <c r="R15" s="14">
        <v>0.45</v>
      </c>
      <c r="S15" s="14">
        <v>0.52</v>
      </c>
      <c r="T15" s="14">
        <v>0.48</v>
      </c>
      <c r="U15" s="14">
        <v>0.56000000000000005</v>
      </c>
      <c r="V15" s="14">
        <v>0.55000000000000004</v>
      </c>
      <c r="W15" s="14">
        <v>0.49</v>
      </c>
      <c r="X15" s="14">
        <v>0.62</v>
      </c>
      <c r="Y15" s="14">
        <v>0.46</v>
      </c>
      <c r="Z15" s="14">
        <v>0.67</v>
      </c>
      <c r="AA15" s="14">
        <v>0.63</v>
      </c>
      <c r="AB15" s="14">
        <v>0.48</v>
      </c>
      <c r="AC15" s="14">
        <v>0.56000000000000005</v>
      </c>
      <c r="AD15" s="14">
        <v>0.54</v>
      </c>
      <c r="AE15" s="14">
        <v>0.4</v>
      </c>
      <c r="AF15" s="14">
        <v>0.48</v>
      </c>
    </row>
    <row r="16" spans="1:32">
      <c r="A16" s="19"/>
      <c r="B16" s="11" t="s">
        <v>492</v>
      </c>
      <c r="C16" s="12">
        <v>2812</v>
      </c>
      <c r="D16" s="12">
        <v>151</v>
      </c>
      <c r="E16" s="12">
        <v>113</v>
      </c>
      <c r="F16" s="12">
        <v>169</v>
      </c>
      <c r="G16" s="12">
        <v>71</v>
      </c>
      <c r="H16" s="12">
        <v>133</v>
      </c>
      <c r="I16" s="12">
        <v>177</v>
      </c>
      <c r="J16" s="12">
        <v>44</v>
      </c>
      <c r="K16" s="12">
        <v>82</v>
      </c>
      <c r="L16" s="12">
        <v>45</v>
      </c>
      <c r="M16" s="12">
        <v>144</v>
      </c>
      <c r="N16" s="12">
        <v>42</v>
      </c>
      <c r="O16" s="12">
        <v>98</v>
      </c>
      <c r="P16" s="12">
        <v>164</v>
      </c>
      <c r="Q16" s="12">
        <v>122</v>
      </c>
      <c r="R16" s="12">
        <v>39</v>
      </c>
      <c r="S16" s="12">
        <v>55</v>
      </c>
      <c r="T16" s="12">
        <v>69</v>
      </c>
      <c r="U16" s="12">
        <v>36</v>
      </c>
      <c r="V16" s="12">
        <v>165</v>
      </c>
      <c r="W16" s="12">
        <v>28</v>
      </c>
      <c r="X16" s="12">
        <v>103</v>
      </c>
      <c r="Y16" s="12">
        <v>93</v>
      </c>
      <c r="Z16" s="12">
        <v>113</v>
      </c>
      <c r="AA16" s="12">
        <v>68</v>
      </c>
      <c r="AB16" s="12">
        <v>236</v>
      </c>
      <c r="AC16" s="12">
        <v>100</v>
      </c>
      <c r="AD16" s="12">
        <v>100</v>
      </c>
      <c r="AE16" s="12">
        <v>43</v>
      </c>
      <c r="AF16" s="12">
        <v>60</v>
      </c>
    </row>
    <row r="17" spans="1:32">
      <c r="A17" s="19"/>
      <c r="B17" s="13" t="s">
        <v>493</v>
      </c>
      <c r="C17" s="14">
        <v>0.11</v>
      </c>
      <c r="D17" s="14">
        <v>0.15</v>
      </c>
      <c r="E17" s="14">
        <v>0.11</v>
      </c>
      <c r="F17" s="14">
        <v>0.16</v>
      </c>
      <c r="G17" s="14">
        <v>7.0000000000000007E-2</v>
      </c>
      <c r="H17" s="14">
        <v>0.11</v>
      </c>
      <c r="I17" s="14">
        <v>0.12</v>
      </c>
      <c r="J17" s="14">
        <v>0.15</v>
      </c>
      <c r="K17" s="14">
        <v>0.08</v>
      </c>
      <c r="L17" s="14">
        <v>0.04</v>
      </c>
      <c r="M17" s="14">
        <v>0.14000000000000001</v>
      </c>
      <c r="N17" s="14">
        <v>0.04</v>
      </c>
      <c r="O17" s="14">
        <v>0.1</v>
      </c>
      <c r="P17" s="14">
        <v>0.17</v>
      </c>
      <c r="Q17" s="14">
        <v>0.12</v>
      </c>
      <c r="R17" s="14">
        <v>0.08</v>
      </c>
      <c r="S17" s="14">
        <v>0.05</v>
      </c>
      <c r="T17" s="14">
        <v>7.0000000000000007E-2</v>
      </c>
      <c r="U17" s="14">
        <v>7.0000000000000007E-2</v>
      </c>
      <c r="V17" s="14">
        <v>0.16</v>
      </c>
      <c r="W17" s="14">
        <v>0.06</v>
      </c>
      <c r="X17" s="14">
        <v>0.1</v>
      </c>
      <c r="Y17" s="14">
        <v>0.09</v>
      </c>
      <c r="Z17" s="14">
        <v>0.11</v>
      </c>
      <c r="AA17" s="14">
        <v>7.0000000000000007E-2</v>
      </c>
      <c r="AB17" s="14">
        <v>0.23</v>
      </c>
      <c r="AC17" s="14">
        <v>0.1</v>
      </c>
      <c r="AD17" s="14">
        <v>0.1</v>
      </c>
      <c r="AE17" s="14">
        <v>0.04</v>
      </c>
      <c r="AF17" s="14">
        <v>0.06</v>
      </c>
    </row>
    <row r="18" spans="1:32">
      <c r="A18" s="19"/>
      <c r="B18" s="11" t="s">
        <v>494</v>
      </c>
      <c r="C18" s="12">
        <v>407</v>
      </c>
      <c r="D18" s="12">
        <v>19</v>
      </c>
      <c r="E18" s="12">
        <v>21</v>
      </c>
      <c r="F18" s="12">
        <v>9</v>
      </c>
      <c r="G18" s="12">
        <v>10</v>
      </c>
      <c r="H18" s="12">
        <v>21</v>
      </c>
      <c r="I18" s="12">
        <v>24</v>
      </c>
      <c r="J18" s="12">
        <v>4</v>
      </c>
      <c r="K18" s="12">
        <v>14</v>
      </c>
      <c r="L18" s="12">
        <v>6</v>
      </c>
      <c r="M18" s="12">
        <v>49</v>
      </c>
      <c r="N18" s="12">
        <v>9</v>
      </c>
      <c r="O18" s="12">
        <v>8</v>
      </c>
      <c r="P18" s="12">
        <v>14</v>
      </c>
      <c r="Q18" s="12">
        <v>10</v>
      </c>
      <c r="R18" s="12">
        <v>10</v>
      </c>
      <c r="S18" s="12">
        <v>5</v>
      </c>
      <c r="T18" s="12">
        <v>5</v>
      </c>
      <c r="U18" s="12">
        <v>3</v>
      </c>
      <c r="V18" s="12">
        <v>36</v>
      </c>
      <c r="W18" s="12">
        <v>6</v>
      </c>
      <c r="X18" s="12">
        <v>7</v>
      </c>
      <c r="Y18" s="12">
        <v>15</v>
      </c>
      <c r="Z18" s="12">
        <v>25</v>
      </c>
      <c r="AA18" s="12">
        <v>4</v>
      </c>
      <c r="AB18" s="12">
        <v>66</v>
      </c>
      <c r="AC18" s="12">
        <v>18</v>
      </c>
      <c r="AD18" s="12">
        <v>15</v>
      </c>
      <c r="AE18" s="12">
        <v>4</v>
      </c>
      <c r="AF18" s="12">
        <v>3</v>
      </c>
    </row>
    <row r="19" spans="1:32">
      <c r="A19" s="19"/>
      <c r="B19" s="13" t="s">
        <v>708</v>
      </c>
      <c r="C19" s="14">
        <v>0.02</v>
      </c>
      <c r="D19" s="14">
        <v>0.02</v>
      </c>
      <c r="E19" s="14">
        <v>0.02</v>
      </c>
      <c r="F19" s="14">
        <v>0.01</v>
      </c>
      <c r="G19" s="14">
        <v>0.01</v>
      </c>
      <c r="H19" s="14">
        <v>0.02</v>
      </c>
      <c r="I19" s="14">
        <v>0.02</v>
      </c>
      <c r="J19" s="14">
        <v>0.01</v>
      </c>
      <c r="K19" s="14">
        <v>0.01</v>
      </c>
      <c r="L19" s="14">
        <v>0.01</v>
      </c>
      <c r="M19" s="14">
        <v>0.05</v>
      </c>
      <c r="N19" s="14">
        <v>0.01</v>
      </c>
      <c r="O19" s="14">
        <v>0.01</v>
      </c>
      <c r="P19" s="14">
        <v>0.01</v>
      </c>
      <c r="Q19" s="14">
        <v>0.01</v>
      </c>
      <c r="R19" s="14">
        <v>0.02</v>
      </c>
      <c r="S19" s="14">
        <v>0.01</v>
      </c>
      <c r="T19" s="14">
        <v>0.01</v>
      </c>
      <c r="U19" s="14">
        <v>0.01</v>
      </c>
      <c r="V19" s="14">
        <v>0.04</v>
      </c>
      <c r="W19" s="14">
        <v>0.01</v>
      </c>
      <c r="X19" s="14">
        <v>0.01</v>
      </c>
      <c r="Y19" s="14">
        <v>0.02</v>
      </c>
      <c r="Z19" s="14">
        <v>0.03</v>
      </c>
      <c r="AA19" s="15" t="s">
        <v>375</v>
      </c>
      <c r="AB19" s="14">
        <v>0.06</v>
      </c>
      <c r="AC19" s="14">
        <v>0.02</v>
      </c>
      <c r="AD19" s="14">
        <v>0.01</v>
      </c>
      <c r="AE19" s="15" t="s">
        <v>375</v>
      </c>
      <c r="AF19" s="15" t="s">
        <v>375</v>
      </c>
    </row>
    <row r="20" spans="1:32">
      <c r="A20" s="19"/>
      <c r="B20" s="11" t="s">
        <v>386</v>
      </c>
      <c r="C20" s="12">
        <v>2474</v>
      </c>
      <c r="D20" s="12">
        <v>60</v>
      </c>
      <c r="E20" s="12">
        <v>124</v>
      </c>
      <c r="F20" s="12">
        <v>56</v>
      </c>
      <c r="G20" s="12">
        <v>110</v>
      </c>
      <c r="H20" s="12">
        <v>128</v>
      </c>
      <c r="I20" s="12">
        <v>142</v>
      </c>
      <c r="J20" s="12">
        <v>14</v>
      </c>
      <c r="K20" s="12">
        <v>65</v>
      </c>
      <c r="L20" s="12">
        <v>141</v>
      </c>
      <c r="M20" s="12">
        <v>97</v>
      </c>
      <c r="N20" s="12">
        <v>115</v>
      </c>
      <c r="O20" s="12">
        <v>143</v>
      </c>
      <c r="P20" s="12">
        <v>53</v>
      </c>
      <c r="Q20" s="12">
        <v>84</v>
      </c>
      <c r="R20" s="12">
        <v>58</v>
      </c>
      <c r="S20" s="12">
        <v>80</v>
      </c>
      <c r="T20" s="12">
        <v>116</v>
      </c>
      <c r="U20" s="12">
        <v>78</v>
      </c>
      <c r="V20" s="12">
        <v>21</v>
      </c>
      <c r="W20" s="12">
        <v>27</v>
      </c>
      <c r="X20" s="12">
        <v>81</v>
      </c>
      <c r="Y20" s="12">
        <v>92</v>
      </c>
      <c r="Z20" s="12">
        <v>24</v>
      </c>
      <c r="AA20" s="12">
        <v>168</v>
      </c>
      <c r="AB20" s="12">
        <v>99</v>
      </c>
      <c r="AC20" s="12">
        <v>32</v>
      </c>
      <c r="AD20" s="12">
        <v>39</v>
      </c>
      <c r="AE20" s="12">
        <v>76</v>
      </c>
      <c r="AF20" s="12">
        <v>122</v>
      </c>
    </row>
    <row r="21" spans="1:32">
      <c r="A21" s="19"/>
      <c r="B21" s="13" t="s">
        <v>399</v>
      </c>
      <c r="C21" s="14">
        <v>0.09</v>
      </c>
      <c r="D21" s="14">
        <v>0.06</v>
      </c>
      <c r="E21" s="14">
        <v>0.12</v>
      </c>
      <c r="F21" s="14">
        <v>0.05</v>
      </c>
      <c r="G21" s="14">
        <v>0.11</v>
      </c>
      <c r="H21" s="14">
        <v>0.1</v>
      </c>
      <c r="I21" s="14">
        <v>0.09</v>
      </c>
      <c r="J21" s="14">
        <v>0.05</v>
      </c>
      <c r="K21" s="14">
        <v>7.0000000000000007E-2</v>
      </c>
      <c r="L21" s="14">
        <v>0.14000000000000001</v>
      </c>
      <c r="M21" s="14">
        <v>0.1</v>
      </c>
      <c r="N21" s="14">
        <v>0.11</v>
      </c>
      <c r="O21" s="14">
        <v>0.14000000000000001</v>
      </c>
      <c r="P21" s="14">
        <v>0.05</v>
      </c>
      <c r="Q21" s="14">
        <v>0.08</v>
      </c>
      <c r="R21" s="14">
        <v>0.11</v>
      </c>
      <c r="S21" s="14">
        <v>0.08</v>
      </c>
      <c r="T21" s="14">
        <v>0.11</v>
      </c>
      <c r="U21" s="14">
        <v>0.15</v>
      </c>
      <c r="V21" s="14">
        <v>0.02</v>
      </c>
      <c r="W21" s="14">
        <v>0.05</v>
      </c>
      <c r="X21" s="14">
        <v>0.08</v>
      </c>
      <c r="Y21" s="14">
        <v>0.09</v>
      </c>
      <c r="Z21" s="14">
        <v>0.02</v>
      </c>
      <c r="AA21" s="14">
        <v>0.16</v>
      </c>
      <c r="AB21" s="14">
        <v>0.1</v>
      </c>
      <c r="AC21" s="14">
        <v>0.03</v>
      </c>
      <c r="AD21" s="14">
        <v>0.04</v>
      </c>
      <c r="AE21" s="14">
        <v>0.08</v>
      </c>
      <c r="AF21" s="14">
        <v>0.12</v>
      </c>
    </row>
    <row r="22" spans="1:32">
      <c r="A22" s="19"/>
      <c r="B22" s="11" t="s">
        <v>496</v>
      </c>
      <c r="C22" s="12">
        <v>20761</v>
      </c>
      <c r="D22" s="12">
        <v>792</v>
      </c>
      <c r="E22" s="12">
        <v>788</v>
      </c>
      <c r="F22" s="12">
        <v>830</v>
      </c>
      <c r="G22" s="12">
        <v>825</v>
      </c>
      <c r="H22" s="12">
        <v>947</v>
      </c>
      <c r="I22" s="12">
        <v>1183</v>
      </c>
      <c r="J22" s="12">
        <v>236</v>
      </c>
      <c r="K22" s="12">
        <v>844</v>
      </c>
      <c r="L22" s="12">
        <v>813</v>
      </c>
      <c r="M22" s="12">
        <v>717</v>
      </c>
      <c r="N22" s="12">
        <v>846</v>
      </c>
      <c r="O22" s="12">
        <v>755</v>
      </c>
      <c r="P22" s="12">
        <v>772</v>
      </c>
      <c r="Q22" s="12">
        <v>816</v>
      </c>
      <c r="R22" s="12">
        <v>394</v>
      </c>
      <c r="S22" s="12">
        <v>864</v>
      </c>
      <c r="T22" s="12">
        <v>833</v>
      </c>
      <c r="U22" s="12">
        <v>391</v>
      </c>
      <c r="V22" s="12">
        <v>804</v>
      </c>
      <c r="W22" s="12">
        <v>441</v>
      </c>
      <c r="X22" s="12">
        <v>819</v>
      </c>
      <c r="Y22" s="12">
        <v>802</v>
      </c>
      <c r="Z22" s="12">
        <v>855</v>
      </c>
      <c r="AA22" s="12">
        <v>797</v>
      </c>
      <c r="AB22" s="12">
        <v>639</v>
      </c>
      <c r="AC22" s="12">
        <v>855</v>
      </c>
      <c r="AD22" s="12">
        <v>849</v>
      </c>
      <c r="AE22" s="12">
        <v>877</v>
      </c>
      <c r="AF22" s="12">
        <v>847</v>
      </c>
    </row>
    <row r="23" spans="1:32">
      <c r="A23" s="19"/>
      <c r="B23" s="13" t="s">
        <v>497</v>
      </c>
      <c r="C23" s="14">
        <v>0.78</v>
      </c>
      <c r="D23" s="14">
        <v>0.77</v>
      </c>
      <c r="E23" s="14">
        <v>0.75</v>
      </c>
      <c r="F23" s="14">
        <v>0.78</v>
      </c>
      <c r="G23" s="14">
        <v>0.81</v>
      </c>
      <c r="H23" s="14">
        <v>0.77</v>
      </c>
      <c r="I23" s="14">
        <v>0.77</v>
      </c>
      <c r="J23" s="14">
        <v>0.79</v>
      </c>
      <c r="K23" s="14">
        <v>0.84</v>
      </c>
      <c r="L23" s="14">
        <v>0.81</v>
      </c>
      <c r="M23" s="14">
        <v>0.71</v>
      </c>
      <c r="N23" s="14">
        <v>0.84</v>
      </c>
      <c r="O23" s="14">
        <v>0.75</v>
      </c>
      <c r="P23" s="14">
        <v>0.77</v>
      </c>
      <c r="Q23" s="14">
        <v>0.79</v>
      </c>
      <c r="R23" s="14">
        <v>0.79</v>
      </c>
      <c r="S23" s="14">
        <v>0.86</v>
      </c>
      <c r="T23" s="14">
        <v>0.81</v>
      </c>
      <c r="U23" s="14">
        <v>0.77</v>
      </c>
      <c r="V23" s="14">
        <v>0.78</v>
      </c>
      <c r="W23" s="14">
        <v>0.88</v>
      </c>
      <c r="X23" s="14">
        <v>0.81</v>
      </c>
      <c r="Y23" s="14">
        <v>0.8</v>
      </c>
      <c r="Z23" s="14">
        <v>0.84</v>
      </c>
      <c r="AA23" s="14">
        <v>0.77</v>
      </c>
      <c r="AB23" s="14">
        <v>0.61</v>
      </c>
      <c r="AC23" s="14">
        <v>0.85</v>
      </c>
      <c r="AD23" s="14">
        <v>0.85</v>
      </c>
      <c r="AE23" s="14">
        <v>0.88</v>
      </c>
      <c r="AF23" s="14">
        <v>0.82000000000000006</v>
      </c>
    </row>
    <row r="24" spans="1:32">
      <c r="A24" s="19"/>
      <c r="B24" s="11" t="s">
        <v>498</v>
      </c>
      <c r="C24" s="12">
        <v>3219</v>
      </c>
      <c r="D24" s="12">
        <v>170</v>
      </c>
      <c r="E24" s="12">
        <v>134</v>
      </c>
      <c r="F24" s="12">
        <v>178</v>
      </c>
      <c r="G24" s="12">
        <v>81</v>
      </c>
      <c r="H24" s="12">
        <v>154</v>
      </c>
      <c r="I24" s="12">
        <v>201</v>
      </c>
      <c r="J24" s="12">
        <v>48</v>
      </c>
      <c r="K24" s="12">
        <v>96</v>
      </c>
      <c r="L24" s="12">
        <v>51</v>
      </c>
      <c r="M24" s="12">
        <v>193</v>
      </c>
      <c r="N24" s="12">
        <v>51</v>
      </c>
      <c r="O24" s="12">
        <v>106</v>
      </c>
      <c r="P24" s="12">
        <v>178</v>
      </c>
      <c r="Q24" s="12">
        <v>132</v>
      </c>
      <c r="R24" s="12">
        <v>49</v>
      </c>
      <c r="S24" s="12">
        <v>60</v>
      </c>
      <c r="T24" s="12">
        <v>74</v>
      </c>
      <c r="U24" s="12">
        <v>39</v>
      </c>
      <c r="V24" s="12">
        <v>201</v>
      </c>
      <c r="W24" s="12">
        <v>34</v>
      </c>
      <c r="X24" s="12">
        <v>110</v>
      </c>
      <c r="Y24" s="12">
        <v>108</v>
      </c>
      <c r="Z24" s="12">
        <v>138</v>
      </c>
      <c r="AA24" s="12">
        <v>72</v>
      </c>
      <c r="AB24" s="12">
        <v>302</v>
      </c>
      <c r="AC24" s="12">
        <v>118</v>
      </c>
      <c r="AD24" s="12">
        <v>115</v>
      </c>
      <c r="AE24" s="12">
        <v>47</v>
      </c>
      <c r="AF24" s="12">
        <v>63</v>
      </c>
    </row>
    <row r="25" spans="1:32">
      <c r="A25" s="19"/>
      <c r="B25" s="13" t="s">
        <v>499</v>
      </c>
      <c r="C25" s="14">
        <v>0.13</v>
      </c>
      <c r="D25" s="14">
        <v>0.17</v>
      </c>
      <c r="E25" s="14">
        <v>0.13</v>
      </c>
      <c r="F25" s="14">
        <v>0.17</v>
      </c>
      <c r="G25" s="14">
        <v>0.08</v>
      </c>
      <c r="H25" s="14">
        <v>0.13</v>
      </c>
      <c r="I25" s="14">
        <v>0.14000000000000001</v>
      </c>
      <c r="J25" s="14">
        <v>0.16</v>
      </c>
      <c r="K25" s="14">
        <v>0.09</v>
      </c>
      <c r="L25" s="14">
        <v>0.05</v>
      </c>
      <c r="M25" s="14">
        <v>0.19</v>
      </c>
      <c r="N25" s="14">
        <v>0.05</v>
      </c>
      <c r="O25" s="14">
        <v>0.11</v>
      </c>
      <c r="P25" s="14">
        <v>0.18</v>
      </c>
      <c r="Q25" s="14">
        <v>0.13</v>
      </c>
      <c r="R25" s="14">
        <v>0.1</v>
      </c>
      <c r="S25" s="14">
        <v>0.06</v>
      </c>
      <c r="T25" s="14">
        <v>0.08</v>
      </c>
      <c r="U25" s="14">
        <v>0.08</v>
      </c>
      <c r="V25" s="14">
        <v>0.2</v>
      </c>
      <c r="W25" s="14">
        <v>7.0000000000000007E-2</v>
      </c>
      <c r="X25" s="14">
        <v>0.11</v>
      </c>
      <c r="Y25" s="14">
        <v>0.11</v>
      </c>
      <c r="Z25" s="14">
        <v>0.14000000000000001</v>
      </c>
      <c r="AA25" s="14">
        <v>7.0000000000000007E-2</v>
      </c>
      <c r="AB25" s="14">
        <v>0.28999999999999998</v>
      </c>
      <c r="AC25" s="14">
        <v>0.12</v>
      </c>
      <c r="AD25" s="14">
        <v>0.11</v>
      </c>
      <c r="AE25" s="14">
        <v>0.04</v>
      </c>
      <c r="AF25" s="14">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717</v>
      </c>
      <c r="C3" s="17"/>
      <c r="D3" s="17"/>
      <c r="E3" s="17"/>
      <c r="F3" s="17"/>
      <c r="H3" s="17" t="s">
        <v>718</v>
      </c>
      <c r="I3" s="17"/>
      <c r="J3" s="17"/>
      <c r="K3" s="17"/>
      <c r="L3" s="17"/>
    </row>
    <row r="4" spans="1:32" ht="27" customHeight="1">
      <c r="B4" s="17" t="s">
        <v>719</v>
      </c>
      <c r="C4" s="17"/>
      <c r="D4" s="17"/>
      <c r="E4" s="17"/>
      <c r="F4" s="17"/>
      <c r="H4" s="17" t="s">
        <v>720</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HYPERLINK("#Content!A56","&lt;&lt;Back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6006</v>
      </c>
      <c r="D12" s="12">
        <v>220</v>
      </c>
      <c r="E12" s="12">
        <v>247</v>
      </c>
      <c r="F12" s="12">
        <v>173</v>
      </c>
      <c r="G12" s="12">
        <v>330</v>
      </c>
      <c r="H12" s="12">
        <v>241</v>
      </c>
      <c r="I12" s="12">
        <v>308</v>
      </c>
      <c r="J12" s="12">
        <v>66</v>
      </c>
      <c r="K12" s="12">
        <v>216</v>
      </c>
      <c r="L12" s="12">
        <v>332</v>
      </c>
      <c r="M12" s="12">
        <v>201</v>
      </c>
      <c r="N12" s="12">
        <v>411</v>
      </c>
      <c r="O12" s="12">
        <v>194</v>
      </c>
      <c r="P12" s="12">
        <v>220</v>
      </c>
      <c r="Q12" s="12">
        <v>204</v>
      </c>
      <c r="R12" s="12">
        <v>134</v>
      </c>
      <c r="S12" s="12">
        <v>217</v>
      </c>
      <c r="T12" s="12">
        <v>257</v>
      </c>
      <c r="U12" s="12">
        <v>73</v>
      </c>
      <c r="V12" s="12">
        <v>228</v>
      </c>
      <c r="W12" s="12">
        <v>106</v>
      </c>
      <c r="X12" s="12">
        <v>141</v>
      </c>
      <c r="Y12" s="12">
        <v>341</v>
      </c>
      <c r="Z12" s="12">
        <v>185</v>
      </c>
      <c r="AA12" s="12">
        <v>154</v>
      </c>
      <c r="AB12" s="12">
        <v>128</v>
      </c>
      <c r="AC12" s="12">
        <v>224</v>
      </c>
      <c r="AD12" s="12">
        <v>293</v>
      </c>
      <c r="AE12" s="12">
        <v>294</v>
      </c>
      <c r="AF12" s="12">
        <v>397</v>
      </c>
    </row>
    <row r="13" spans="1:32">
      <c r="A13" s="19"/>
      <c r="B13" s="13" t="s">
        <v>707</v>
      </c>
      <c r="C13" s="14">
        <v>0.23</v>
      </c>
      <c r="D13" s="14">
        <v>0.21</v>
      </c>
      <c r="E13" s="14">
        <v>0.24</v>
      </c>
      <c r="F13" s="14">
        <v>0.16</v>
      </c>
      <c r="G13" s="14">
        <v>0.32</v>
      </c>
      <c r="H13" s="14">
        <v>0.2</v>
      </c>
      <c r="I13" s="14">
        <v>0.2</v>
      </c>
      <c r="J13" s="14">
        <v>0.22</v>
      </c>
      <c r="K13" s="14">
        <v>0.21</v>
      </c>
      <c r="L13" s="14">
        <v>0.33</v>
      </c>
      <c r="M13" s="14">
        <v>0.2</v>
      </c>
      <c r="N13" s="14">
        <v>0.41</v>
      </c>
      <c r="O13" s="14">
        <v>0.19</v>
      </c>
      <c r="P13" s="14">
        <v>0.22</v>
      </c>
      <c r="Q13" s="14">
        <v>0.2</v>
      </c>
      <c r="R13" s="14">
        <v>0.27</v>
      </c>
      <c r="S13" s="14">
        <v>0.22</v>
      </c>
      <c r="T13" s="14">
        <v>0.25</v>
      </c>
      <c r="U13" s="14">
        <v>0.14000000000000001</v>
      </c>
      <c r="V13" s="14">
        <v>0.22</v>
      </c>
      <c r="W13" s="14">
        <v>0.21</v>
      </c>
      <c r="X13" s="14">
        <v>0.14000000000000001</v>
      </c>
      <c r="Y13" s="14">
        <v>0.34</v>
      </c>
      <c r="Z13" s="14">
        <v>0.18</v>
      </c>
      <c r="AA13" s="14">
        <v>0.15</v>
      </c>
      <c r="AB13" s="14">
        <v>0.12</v>
      </c>
      <c r="AC13" s="14">
        <v>0.22</v>
      </c>
      <c r="AD13" s="14">
        <v>0.28999999999999998</v>
      </c>
      <c r="AE13" s="14">
        <v>0.3</v>
      </c>
      <c r="AF13" s="14">
        <v>0.39</v>
      </c>
    </row>
    <row r="14" spans="1:32">
      <c r="A14" s="19"/>
      <c r="B14" s="11" t="s">
        <v>490</v>
      </c>
      <c r="C14" s="12">
        <v>14838</v>
      </c>
      <c r="D14" s="12">
        <v>609</v>
      </c>
      <c r="E14" s="12">
        <v>501</v>
      </c>
      <c r="F14" s="12">
        <v>661</v>
      </c>
      <c r="G14" s="12">
        <v>469</v>
      </c>
      <c r="H14" s="12">
        <v>757</v>
      </c>
      <c r="I14" s="12">
        <v>925</v>
      </c>
      <c r="J14" s="12">
        <v>168</v>
      </c>
      <c r="K14" s="12">
        <v>611</v>
      </c>
      <c r="L14" s="12">
        <v>514</v>
      </c>
      <c r="M14" s="12">
        <v>607</v>
      </c>
      <c r="N14" s="12">
        <v>419</v>
      </c>
      <c r="O14" s="12">
        <v>555</v>
      </c>
      <c r="P14" s="12">
        <v>565</v>
      </c>
      <c r="Q14" s="12">
        <v>619</v>
      </c>
      <c r="R14" s="12">
        <v>283</v>
      </c>
      <c r="S14" s="12">
        <v>533</v>
      </c>
      <c r="T14" s="12">
        <v>569</v>
      </c>
      <c r="U14" s="12">
        <v>292</v>
      </c>
      <c r="V14" s="12">
        <v>591</v>
      </c>
      <c r="W14" s="12">
        <v>307</v>
      </c>
      <c r="X14" s="12">
        <v>599</v>
      </c>
      <c r="Y14" s="12">
        <v>518</v>
      </c>
      <c r="Z14" s="12">
        <v>641</v>
      </c>
      <c r="AA14" s="12">
        <v>673</v>
      </c>
      <c r="AB14" s="12">
        <v>534</v>
      </c>
      <c r="AC14" s="12">
        <v>547</v>
      </c>
      <c r="AD14" s="12">
        <v>545</v>
      </c>
      <c r="AE14" s="12">
        <v>530</v>
      </c>
      <c r="AF14" s="12">
        <v>457</v>
      </c>
    </row>
    <row r="15" spans="1:32">
      <c r="A15" s="19"/>
      <c r="B15" s="13" t="s">
        <v>491</v>
      </c>
      <c r="C15" s="14">
        <v>0.56000000000000005</v>
      </c>
      <c r="D15" s="14">
        <v>0.6</v>
      </c>
      <c r="E15" s="14">
        <v>0.48</v>
      </c>
      <c r="F15" s="14">
        <v>0.62</v>
      </c>
      <c r="G15" s="14">
        <v>0.46</v>
      </c>
      <c r="H15" s="14">
        <v>0.61</v>
      </c>
      <c r="I15" s="14">
        <v>0.61</v>
      </c>
      <c r="J15" s="14">
        <v>0.56000000000000005</v>
      </c>
      <c r="K15" s="14">
        <v>0.61</v>
      </c>
      <c r="L15" s="14">
        <v>0.51</v>
      </c>
      <c r="M15" s="14">
        <v>0.6</v>
      </c>
      <c r="N15" s="14">
        <v>0.41</v>
      </c>
      <c r="O15" s="14">
        <v>0.56000000000000005</v>
      </c>
      <c r="P15" s="14">
        <v>0.56000000000000005</v>
      </c>
      <c r="Q15" s="14">
        <v>0.6</v>
      </c>
      <c r="R15" s="14">
        <v>0.56000000000000005</v>
      </c>
      <c r="S15" s="14">
        <v>0.53</v>
      </c>
      <c r="T15" s="14">
        <v>0.56000000000000005</v>
      </c>
      <c r="U15" s="14">
        <v>0.57999999999999996</v>
      </c>
      <c r="V15" s="14">
        <v>0.57999999999999996</v>
      </c>
      <c r="W15" s="14">
        <v>0.61</v>
      </c>
      <c r="X15" s="14">
        <v>0.59</v>
      </c>
      <c r="Y15" s="14">
        <v>0.52</v>
      </c>
      <c r="Z15" s="14">
        <v>0.63</v>
      </c>
      <c r="AA15" s="14">
        <v>0.65</v>
      </c>
      <c r="AB15" s="14">
        <v>0.52</v>
      </c>
      <c r="AC15" s="14">
        <v>0.55000000000000004</v>
      </c>
      <c r="AD15" s="14">
        <v>0.54</v>
      </c>
      <c r="AE15" s="14">
        <v>0.53</v>
      </c>
      <c r="AF15" s="14">
        <v>0.44</v>
      </c>
    </row>
    <row r="16" spans="1:32">
      <c r="A16" s="19"/>
      <c r="B16" s="11" t="s">
        <v>492</v>
      </c>
      <c r="C16" s="12">
        <v>2884</v>
      </c>
      <c r="D16" s="12">
        <v>128</v>
      </c>
      <c r="E16" s="12">
        <v>141</v>
      </c>
      <c r="F16" s="12">
        <v>172</v>
      </c>
      <c r="G16" s="12">
        <v>71</v>
      </c>
      <c r="H16" s="12">
        <v>118</v>
      </c>
      <c r="I16" s="12">
        <v>160</v>
      </c>
      <c r="J16" s="12">
        <v>42</v>
      </c>
      <c r="K16" s="12">
        <v>88</v>
      </c>
      <c r="L16" s="12">
        <v>32</v>
      </c>
      <c r="M16" s="12">
        <v>115</v>
      </c>
      <c r="N16" s="12">
        <v>66</v>
      </c>
      <c r="O16" s="12">
        <v>103</v>
      </c>
      <c r="P16" s="12">
        <v>163</v>
      </c>
      <c r="Q16" s="12">
        <v>122</v>
      </c>
      <c r="R16" s="12">
        <v>39</v>
      </c>
      <c r="S16" s="12">
        <v>108</v>
      </c>
      <c r="T16" s="12">
        <v>75</v>
      </c>
      <c r="U16" s="12">
        <v>36</v>
      </c>
      <c r="V16" s="12">
        <v>151</v>
      </c>
      <c r="W16" s="12">
        <v>36</v>
      </c>
      <c r="X16" s="12">
        <v>133</v>
      </c>
      <c r="Y16" s="12">
        <v>58</v>
      </c>
      <c r="Z16" s="12">
        <v>138</v>
      </c>
      <c r="AA16" s="12">
        <v>33</v>
      </c>
      <c r="AB16" s="12">
        <v>229</v>
      </c>
      <c r="AC16" s="12">
        <v>151</v>
      </c>
      <c r="AD16" s="12">
        <v>117</v>
      </c>
      <c r="AE16" s="12">
        <v>111</v>
      </c>
      <c r="AF16" s="12">
        <v>52</v>
      </c>
    </row>
    <row r="17" spans="1:32">
      <c r="A17" s="19"/>
      <c r="B17" s="13" t="s">
        <v>493</v>
      </c>
      <c r="C17" s="14">
        <v>0.11</v>
      </c>
      <c r="D17" s="14">
        <v>0.13</v>
      </c>
      <c r="E17" s="14">
        <v>0.13</v>
      </c>
      <c r="F17" s="14">
        <v>0.16</v>
      </c>
      <c r="G17" s="14">
        <v>7.0000000000000007E-2</v>
      </c>
      <c r="H17" s="14">
        <v>0.1</v>
      </c>
      <c r="I17" s="14">
        <v>0.1</v>
      </c>
      <c r="J17" s="14">
        <v>0.14000000000000001</v>
      </c>
      <c r="K17" s="14">
        <v>0.09</v>
      </c>
      <c r="L17" s="14">
        <v>0.03</v>
      </c>
      <c r="M17" s="14">
        <v>0.12</v>
      </c>
      <c r="N17" s="14">
        <v>7.0000000000000007E-2</v>
      </c>
      <c r="O17" s="14">
        <v>0.1</v>
      </c>
      <c r="P17" s="14">
        <v>0.16</v>
      </c>
      <c r="Q17" s="14">
        <v>0.12</v>
      </c>
      <c r="R17" s="14">
        <v>0.08</v>
      </c>
      <c r="S17" s="14">
        <v>0.11</v>
      </c>
      <c r="T17" s="14">
        <v>7.0000000000000007E-2</v>
      </c>
      <c r="U17" s="14">
        <v>7.0000000000000007E-2</v>
      </c>
      <c r="V17" s="14">
        <v>0.15</v>
      </c>
      <c r="W17" s="14">
        <v>7.0000000000000007E-2</v>
      </c>
      <c r="X17" s="14">
        <v>0.13</v>
      </c>
      <c r="Y17" s="14">
        <v>0.06</v>
      </c>
      <c r="Z17" s="14">
        <v>0.14000000000000001</v>
      </c>
      <c r="AA17" s="14">
        <v>0.03</v>
      </c>
      <c r="AB17" s="14">
        <v>0.22</v>
      </c>
      <c r="AC17" s="14">
        <v>0.15</v>
      </c>
      <c r="AD17" s="14">
        <v>0.12</v>
      </c>
      <c r="AE17" s="14">
        <v>0.11</v>
      </c>
      <c r="AF17" s="14">
        <v>0.05</v>
      </c>
    </row>
    <row r="18" spans="1:32">
      <c r="A18" s="19"/>
      <c r="B18" s="11" t="s">
        <v>494</v>
      </c>
      <c r="C18" s="12">
        <v>476</v>
      </c>
      <c r="D18" s="12">
        <v>14</v>
      </c>
      <c r="E18" s="12">
        <v>33</v>
      </c>
      <c r="F18" s="12">
        <v>12</v>
      </c>
      <c r="G18" s="12">
        <v>15</v>
      </c>
      <c r="H18" s="12">
        <v>17</v>
      </c>
      <c r="I18" s="12">
        <v>23</v>
      </c>
      <c r="J18" s="12">
        <v>5</v>
      </c>
      <c r="K18" s="12">
        <v>15</v>
      </c>
      <c r="L18" s="12">
        <v>10</v>
      </c>
      <c r="M18" s="12">
        <v>40</v>
      </c>
      <c r="N18" s="12">
        <v>11</v>
      </c>
      <c r="O18" s="12">
        <v>20</v>
      </c>
      <c r="P18" s="12">
        <v>12</v>
      </c>
      <c r="Q18" s="12">
        <v>14</v>
      </c>
      <c r="R18" s="12">
        <v>7</v>
      </c>
      <c r="S18" s="12">
        <v>9</v>
      </c>
      <c r="T18" s="12">
        <v>5</v>
      </c>
      <c r="U18" s="12">
        <v>6</v>
      </c>
      <c r="V18" s="12">
        <v>26</v>
      </c>
      <c r="W18" s="12">
        <v>13</v>
      </c>
      <c r="X18" s="12">
        <v>14</v>
      </c>
      <c r="Y18" s="12">
        <v>10</v>
      </c>
      <c r="Z18" s="12">
        <v>26</v>
      </c>
      <c r="AA18" s="12">
        <v>7</v>
      </c>
      <c r="AB18" s="12">
        <v>65</v>
      </c>
      <c r="AC18" s="12">
        <v>40</v>
      </c>
      <c r="AD18" s="12">
        <v>10</v>
      </c>
      <c r="AE18" s="12">
        <v>13</v>
      </c>
      <c r="AF18" s="12">
        <v>8</v>
      </c>
    </row>
    <row r="19" spans="1:32">
      <c r="A19" s="19"/>
      <c r="B19" s="13" t="s">
        <v>708</v>
      </c>
      <c r="C19" s="14">
        <v>0.02</v>
      </c>
      <c r="D19" s="14">
        <v>0.01</v>
      </c>
      <c r="E19" s="14">
        <v>0.03</v>
      </c>
      <c r="F19" s="14">
        <v>0.01</v>
      </c>
      <c r="G19" s="14">
        <v>0.02</v>
      </c>
      <c r="H19" s="14">
        <v>0.01</v>
      </c>
      <c r="I19" s="14">
        <v>0.02</v>
      </c>
      <c r="J19" s="14">
        <v>0.02</v>
      </c>
      <c r="K19" s="14">
        <v>0.01</v>
      </c>
      <c r="L19" s="14">
        <v>0.01</v>
      </c>
      <c r="M19" s="14">
        <v>0.04</v>
      </c>
      <c r="N19" s="14">
        <v>0.01</v>
      </c>
      <c r="O19" s="14">
        <v>0.02</v>
      </c>
      <c r="P19" s="14">
        <v>0.01</v>
      </c>
      <c r="Q19" s="14">
        <v>0.01</v>
      </c>
      <c r="R19" s="14">
        <v>0.01</v>
      </c>
      <c r="S19" s="14">
        <v>0.01</v>
      </c>
      <c r="T19" s="14">
        <v>0.01</v>
      </c>
      <c r="U19" s="14">
        <v>0.01</v>
      </c>
      <c r="V19" s="14">
        <v>0.02</v>
      </c>
      <c r="W19" s="14">
        <v>0.03</v>
      </c>
      <c r="X19" s="14">
        <v>0.02</v>
      </c>
      <c r="Y19" s="14">
        <v>0.01</v>
      </c>
      <c r="Z19" s="14">
        <v>0.02</v>
      </c>
      <c r="AA19" s="14">
        <v>0.01</v>
      </c>
      <c r="AB19" s="14">
        <v>0.06</v>
      </c>
      <c r="AC19" s="14">
        <v>0.04</v>
      </c>
      <c r="AD19" s="14">
        <v>0.01</v>
      </c>
      <c r="AE19" s="14">
        <v>0.01</v>
      </c>
      <c r="AF19" s="14">
        <v>0.01</v>
      </c>
    </row>
    <row r="20" spans="1:32">
      <c r="A20" s="19"/>
      <c r="B20" s="11" t="s">
        <v>386</v>
      </c>
      <c r="C20" s="12">
        <v>2248</v>
      </c>
      <c r="D20" s="12">
        <v>50</v>
      </c>
      <c r="E20" s="12">
        <v>125</v>
      </c>
      <c r="F20" s="12">
        <v>47</v>
      </c>
      <c r="G20" s="12">
        <v>132</v>
      </c>
      <c r="H20" s="12">
        <v>96</v>
      </c>
      <c r="I20" s="12">
        <v>113</v>
      </c>
      <c r="J20" s="12">
        <v>17</v>
      </c>
      <c r="K20" s="12">
        <v>76</v>
      </c>
      <c r="L20" s="12">
        <v>118</v>
      </c>
      <c r="M20" s="12">
        <v>44</v>
      </c>
      <c r="N20" s="12">
        <v>103</v>
      </c>
      <c r="O20" s="12">
        <v>133</v>
      </c>
      <c r="P20" s="12">
        <v>44</v>
      </c>
      <c r="Q20" s="12">
        <v>71</v>
      </c>
      <c r="R20" s="12">
        <v>39</v>
      </c>
      <c r="S20" s="12">
        <v>136</v>
      </c>
      <c r="T20" s="12">
        <v>117</v>
      </c>
      <c r="U20" s="12">
        <v>101</v>
      </c>
      <c r="V20" s="12">
        <v>30</v>
      </c>
      <c r="W20" s="12">
        <v>39</v>
      </c>
      <c r="X20" s="12">
        <v>122</v>
      </c>
      <c r="Y20" s="12">
        <v>76</v>
      </c>
      <c r="Z20" s="12">
        <v>28</v>
      </c>
      <c r="AA20" s="12">
        <v>170</v>
      </c>
      <c r="AB20" s="12">
        <v>85</v>
      </c>
      <c r="AC20" s="12">
        <v>42</v>
      </c>
      <c r="AD20" s="12">
        <v>39</v>
      </c>
      <c r="AE20" s="12">
        <v>52</v>
      </c>
      <c r="AF20" s="12">
        <v>117</v>
      </c>
    </row>
    <row r="21" spans="1:32">
      <c r="A21" s="19"/>
      <c r="B21" s="13" t="s">
        <v>399</v>
      </c>
      <c r="C21" s="14">
        <v>0.08</v>
      </c>
      <c r="D21" s="14">
        <v>0.05</v>
      </c>
      <c r="E21" s="14">
        <v>0.12</v>
      </c>
      <c r="F21" s="14">
        <v>0.05</v>
      </c>
      <c r="G21" s="14">
        <v>0.13</v>
      </c>
      <c r="H21" s="14">
        <v>0.08</v>
      </c>
      <c r="I21" s="14">
        <v>7.0000000000000007E-2</v>
      </c>
      <c r="J21" s="14">
        <v>0.06</v>
      </c>
      <c r="K21" s="14">
        <v>0.08</v>
      </c>
      <c r="L21" s="14">
        <v>0.12</v>
      </c>
      <c r="M21" s="14">
        <v>0.04</v>
      </c>
      <c r="N21" s="14">
        <v>0.1</v>
      </c>
      <c r="O21" s="14">
        <v>0.13</v>
      </c>
      <c r="P21" s="14">
        <v>0.05</v>
      </c>
      <c r="Q21" s="14">
        <v>7.0000000000000007E-2</v>
      </c>
      <c r="R21" s="14">
        <v>0.08</v>
      </c>
      <c r="S21" s="14">
        <v>0.13</v>
      </c>
      <c r="T21" s="14">
        <v>0.11</v>
      </c>
      <c r="U21" s="14">
        <v>0.2</v>
      </c>
      <c r="V21" s="14">
        <v>0.03</v>
      </c>
      <c r="W21" s="14">
        <v>0.08</v>
      </c>
      <c r="X21" s="14">
        <v>0.12</v>
      </c>
      <c r="Y21" s="14">
        <v>7.0000000000000007E-2</v>
      </c>
      <c r="Z21" s="14">
        <v>0.03</v>
      </c>
      <c r="AA21" s="14">
        <v>0.16</v>
      </c>
      <c r="AB21" s="14">
        <v>0.08</v>
      </c>
      <c r="AC21" s="14">
        <v>0.04</v>
      </c>
      <c r="AD21" s="14">
        <v>0.04</v>
      </c>
      <c r="AE21" s="14">
        <v>0.05</v>
      </c>
      <c r="AF21" s="14">
        <v>0.11</v>
      </c>
    </row>
    <row r="22" spans="1:32">
      <c r="A22" s="19"/>
      <c r="B22" s="11" t="s">
        <v>496</v>
      </c>
      <c r="C22" s="12">
        <v>20844</v>
      </c>
      <c r="D22" s="12">
        <v>829</v>
      </c>
      <c r="E22" s="12">
        <v>748</v>
      </c>
      <c r="F22" s="12">
        <v>834</v>
      </c>
      <c r="G22" s="12">
        <v>799</v>
      </c>
      <c r="H22" s="12">
        <v>998</v>
      </c>
      <c r="I22" s="12">
        <v>1233</v>
      </c>
      <c r="J22" s="12">
        <v>234</v>
      </c>
      <c r="K22" s="12">
        <v>827</v>
      </c>
      <c r="L22" s="12">
        <v>846</v>
      </c>
      <c r="M22" s="12">
        <v>808</v>
      </c>
      <c r="N22" s="12">
        <v>830</v>
      </c>
      <c r="O22" s="12">
        <v>749</v>
      </c>
      <c r="P22" s="12">
        <v>785</v>
      </c>
      <c r="Q22" s="12">
        <v>823</v>
      </c>
      <c r="R22" s="12">
        <v>417</v>
      </c>
      <c r="S22" s="12">
        <v>750</v>
      </c>
      <c r="T22" s="12">
        <v>826</v>
      </c>
      <c r="U22" s="12">
        <v>365</v>
      </c>
      <c r="V22" s="12">
        <v>819</v>
      </c>
      <c r="W22" s="12">
        <v>413</v>
      </c>
      <c r="X22" s="12">
        <v>740</v>
      </c>
      <c r="Y22" s="12">
        <v>859</v>
      </c>
      <c r="Z22" s="12">
        <v>826</v>
      </c>
      <c r="AA22" s="12">
        <v>827</v>
      </c>
      <c r="AB22" s="12">
        <v>662</v>
      </c>
      <c r="AC22" s="12">
        <v>771</v>
      </c>
      <c r="AD22" s="12">
        <v>838</v>
      </c>
      <c r="AE22" s="12">
        <v>824</v>
      </c>
      <c r="AF22" s="12">
        <v>854</v>
      </c>
    </row>
    <row r="23" spans="1:32">
      <c r="A23" s="19"/>
      <c r="B23" s="13" t="s">
        <v>497</v>
      </c>
      <c r="C23" s="14">
        <v>0.79</v>
      </c>
      <c r="D23" s="14">
        <v>0.81</v>
      </c>
      <c r="E23" s="14">
        <v>0.72</v>
      </c>
      <c r="F23" s="14">
        <v>0.78</v>
      </c>
      <c r="G23" s="14">
        <v>0.78</v>
      </c>
      <c r="H23" s="14">
        <v>0.81</v>
      </c>
      <c r="I23" s="14">
        <v>0.81</v>
      </c>
      <c r="J23" s="14">
        <v>0.78</v>
      </c>
      <c r="K23" s="14">
        <v>0.82000000000000006</v>
      </c>
      <c r="L23" s="14">
        <v>0.84</v>
      </c>
      <c r="M23" s="14">
        <v>0.8</v>
      </c>
      <c r="N23" s="14">
        <v>0.82000000000000006</v>
      </c>
      <c r="O23" s="14">
        <v>0.75</v>
      </c>
      <c r="P23" s="14">
        <v>0.78</v>
      </c>
      <c r="Q23" s="14">
        <v>0.8</v>
      </c>
      <c r="R23" s="14">
        <v>0.83000000000000007</v>
      </c>
      <c r="S23" s="14">
        <v>0.75</v>
      </c>
      <c r="T23" s="14">
        <v>0.81</v>
      </c>
      <c r="U23" s="14">
        <v>0.72</v>
      </c>
      <c r="V23" s="14">
        <v>0.8</v>
      </c>
      <c r="W23" s="14">
        <v>0.82000000000000006</v>
      </c>
      <c r="X23" s="14">
        <v>0.73</v>
      </c>
      <c r="Y23" s="14">
        <v>0.86</v>
      </c>
      <c r="Z23" s="14">
        <v>0.81</v>
      </c>
      <c r="AA23" s="14">
        <v>0.8</v>
      </c>
      <c r="AB23" s="14">
        <v>0.64</v>
      </c>
      <c r="AC23" s="14">
        <v>0.77</v>
      </c>
      <c r="AD23" s="14">
        <v>0.83000000000000007</v>
      </c>
      <c r="AE23" s="14">
        <v>0.83000000000000007</v>
      </c>
      <c r="AF23" s="14">
        <v>0.83000000000000007</v>
      </c>
    </row>
    <row r="24" spans="1:32">
      <c r="A24" s="19"/>
      <c r="B24" s="11" t="s">
        <v>498</v>
      </c>
      <c r="C24" s="12">
        <v>3360</v>
      </c>
      <c r="D24" s="12">
        <v>142</v>
      </c>
      <c r="E24" s="12">
        <v>174</v>
      </c>
      <c r="F24" s="12">
        <v>184</v>
      </c>
      <c r="G24" s="12">
        <v>86</v>
      </c>
      <c r="H24" s="12">
        <v>135</v>
      </c>
      <c r="I24" s="12">
        <v>183</v>
      </c>
      <c r="J24" s="12">
        <v>47</v>
      </c>
      <c r="K24" s="12">
        <v>103</v>
      </c>
      <c r="L24" s="12">
        <v>42</v>
      </c>
      <c r="M24" s="12">
        <v>155</v>
      </c>
      <c r="N24" s="12">
        <v>77</v>
      </c>
      <c r="O24" s="12">
        <v>123</v>
      </c>
      <c r="P24" s="12">
        <v>175</v>
      </c>
      <c r="Q24" s="12">
        <v>136</v>
      </c>
      <c r="R24" s="12">
        <v>46</v>
      </c>
      <c r="S24" s="12">
        <v>117</v>
      </c>
      <c r="T24" s="12">
        <v>80</v>
      </c>
      <c r="U24" s="12">
        <v>42</v>
      </c>
      <c r="V24" s="12">
        <v>177</v>
      </c>
      <c r="W24" s="12">
        <v>49</v>
      </c>
      <c r="X24" s="12">
        <v>147</v>
      </c>
      <c r="Y24" s="12">
        <v>68</v>
      </c>
      <c r="Z24" s="12">
        <v>164</v>
      </c>
      <c r="AA24" s="12">
        <v>40</v>
      </c>
      <c r="AB24" s="12">
        <v>294</v>
      </c>
      <c r="AC24" s="12">
        <v>191</v>
      </c>
      <c r="AD24" s="12">
        <v>127</v>
      </c>
      <c r="AE24" s="12">
        <v>124</v>
      </c>
      <c r="AF24" s="12">
        <v>60</v>
      </c>
    </row>
    <row r="25" spans="1:32">
      <c r="A25" s="19"/>
      <c r="B25" s="13" t="s">
        <v>499</v>
      </c>
      <c r="C25" s="14">
        <v>0.13</v>
      </c>
      <c r="D25" s="14">
        <v>0.14000000000000001</v>
      </c>
      <c r="E25" s="14">
        <v>0.16</v>
      </c>
      <c r="F25" s="14">
        <v>0.17</v>
      </c>
      <c r="G25" s="14">
        <v>0.09</v>
      </c>
      <c r="H25" s="14">
        <v>0.11</v>
      </c>
      <c r="I25" s="14">
        <v>0.12</v>
      </c>
      <c r="J25" s="14">
        <v>0.16</v>
      </c>
      <c r="K25" s="14">
        <v>0.1</v>
      </c>
      <c r="L25" s="14">
        <v>0.04</v>
      </c>
      <c r="M25" s="14">
        <v>0.16</v>
      </c>
      <c r="N25" s="14">
        <v>0.08</v>
      </c>
      <c r="O25" s="14">
        <v>0.12</v>
      </c>
      <c r="P25" s="14">
        <v>0.17</v>
      </c>
      <c r="Q25" s="14">
        <v>0.13</v>
      </c>
      <c r="R25" s="14">
        <v>0.09</v>
      </c>
      <c r="S25" s="14">
        <v>0.12</v>
      </c>
      <c r="T25" s="14">
        <v>0.08</v>
      </c>
      <c r="U25" s="14">
        <v>0.08</v>
      </c>
      <c r="V25" s="14">
        <v>0.17</v>
      </c>
      <c r="W25" s="14">
        <v>0.1</v>
      </c>
      <c r="X25" s="14">
        <v>0.15</v>
      </c>
      <c r="Y25" s="14">
        <v>7.0000000000000007E-2</v>
      </c>
      <c r="Z25" s="14">
        <v>0.16</v>
      </c>
      <c r="AA25" s="14">
        <v>0.04</v>
      </c>
      <c r="AB25" s="14">
        <v>0.28000000000000003</v>
      </c>
      <c r="AC25" s="14">
        <v>0.19</v>
      </c>
      <c r="AD25" s="14">
        <v>0.13</v>
      </c>
      <c r="AE25" s="14">
        <v>0.12</v>
      </c>
      <c r="AF25" s="14">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721</v>
      </c>
      <c r="C3" s="17"/>
      <c r="D3" s="17"/>
      <c r="E3" s="17"/>
      <c r="F3" s="17"/>
      <c r="H3" s="17" t="s">
        <v>722</v>
      </c>
      <c r="I3" s="17"/>
      <c r="J3" s="17"/>
      <c r="K3" s="17"/>
      <c r="L3" s="17"/>
    </row>
    <row r="4" spans="1:32" ht="27" customHeight="1">
      <c r="B4" s="17" t="s">
        <v>723</v>
      </c>
      <c r="C4" s="17"/>
      <c r="D4" s="17"/>
      <c r="E4" s="17"/>
      <c r="F4" s="17"/>
      <c r="H4" s="17" t="s">
        <v>724</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HYPERLINK("#Content!A57","&lt;&lt;Back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6158</v>
      </c>
      <c r="D12" s="12">
        <v>120</v>
      </c>
      <c r="E12" s="12">
        <v>340</v>
      </c>
      <c r="F12" s="12">
        <v>200</v>
      </c>
      <c r="G12" s="12">
        <v>157</v>
      </c>
      <c r="H12" s="12">
        <v>290</v>
      </c>
      <c r="I12" s="12">
        <v>355</v>
      </c>
      <c r="J12" s="12">
        <v>65</v>
      </c>
      <c r="K12" s="12">
        <v>267</v>
      </c>
      <c r="L12" s="12">
        <v>300</v>
      </c>
      <c r="M12" s="12">
        <v>194</v>
      </c>
      <c r="N12" s="12">
        <v>469</v>
      </c>
      <c r="O12" s="12">
        <v>197</v>
      </c>
      <c r="P12" s="12">
        <v>140</v>
      </c>
      <c r="Q12" s="12">
        <v>193</v>
      </c>
      <c r="R12" s="12">
        <v>269</v>
      </c>
      <c r="S12" s="12">
        <v>423</v>
      </c>
      <c r="T12" s="12">
        <v>474</v>
      </c>
      <c r="U12" s="12">
        <v>72</v>
      </c>
      <c r="V12" s="12">
        <v>179</v>
      </c>
      <c r="W12" s="12">
        <v>184</v>
      </c>
      <c r="X12" s="12">
        <v>106</v>
      </c>
      <c r="Y12" s="12">
        <v>241</v>
      </c>
      <c r="Z12" s="12">
        <v>183</v>
      </c>
      <c r="AA12" s="12">
        <v>132</v>
      </c>
      <c r="AB12" s="12">
        <v>136</v>
      </c>
      <c r="AC12" s="12">
        <v>248</v>
      </c>
      <c r="AD12" s="12">
        <v>368</v>
      </c>
      <c r="AE12" s="12">
        <v>438</v>
      </c>
      <c r="AF12" s="12">
        <v>280</v>
      </c>
    </row>
    <row r="13" spans="1:32">
      <c r="A13" s="19"/>
      <c r="B13" s="13" t="s">
        <v>707</v>
      </c>
      <c r="C13" s="14">
        <v>0.23</v>
      </c>
      <c r="D13" s="14">
        <v>0.12</v>
      </c>
      <c r="E13" s="14">
        <v>0.33</v>
      </c>
      <c r="F13" s="14">
        <v>0.19</v>
      </c>
      <c r="G13" s="14">
        <v>0.16</v>
      </c>
      <c r="H13" s="14">
        <v>0.24</v>
      </c>
      <c r="I13" s="14">
        <v>0.23</v>
      </c>
      <c r="J13" s="14">
        <v>0.22</v>
      </c>
      <c r="K13" s="14">
        <v>0.26</v>
      </c>
      <c r="L13" s="14">
        <v>0.3</v>
      </c>
      <c r="M13" s="14">
        <v>0.19</v>
      </c>
      <c r="N13" s="14">
        <v>0.46</v>
      </c>
      <c r="O13" s="14">
        <v>0.2</v>
      </c>
      <c r="P13" s="14">
        <v>0.14000000000000001</v>
      </c>
      <c r="Q13" s="14">
        <v>0.19</v>
      </c>
      <c r="R13" s="14">
        <v>0.54</v>
      </c>
      <c r="S13" s="14">
        <v>0.42</v>
      </c>
      <c r="T13" s="14">
        <v>0.46</v>
      </c>
      <c r="U13" s="14">
        <v>0.14000000000000001</v>
      </c>
      <c r="V13" s="14">
        <v>0.17</v>
      </c>
      <c r="W13" s="14">
        <v>0.37</v>
      </c>
      <c r="X13" s="14">
        <v>0.11</v>
      </c>
      <c r="Y13" s="14">
        <v>0.24</v>
      </c>
      <c r="Z13" s="14">
        <v>0.18</v>
      </c>
      <c r="AA13" s="14">
        <v>0.13</v>
      </c>
      <c r="AB13" s="14">
        <v>0.13</v>
      </c>
      <c r="AC13" s="14">
        <v>0.25</v>
      </c>
      <c r="AD13" s="14">
        <v>0.37</v>
      </c>
      <c r="AE13" s="14">
        <v>0.44</v>
      </c>
      <c r="AF13" s="14">
        <v>0.27</v>
      </c>
    </row>
    <row r="14" spans="1:32">
      <c r="A14" s="19"/>
      <c r="B14" s="11" t="s">
        <v>490</v>
      </c>
      <c r="C14" s="12">
        <v>11686</v>
      </c>
      <c r="D14" s="12">
        <v>436</v>
      </c>
      <c r="E14" s="12">
        <v>452</v>
      </c>
      <c r="F14" s="12">
        <v>548</v>
      </c>
      <c r="G14" s="12">
        <v>307</v>
      </c>
      <c r="H14" s="12">
        <v>504</v>
      </c>
      <c r="I14" s="12">
        <v>615</v>
      </c>
      <c r="J14" s="12">
        <v>112</v>
      </c>
      <c r="K14" s="12">
        <v>501</v>
      </c>
      <c r="L14" s="12">
        <v>460</v>
      </c>
      <c r="M14" s="12">
        <v>517</v>
      </c>
      <c r="N14" s="12">
        <v>313</v>
      </c>
      <c r="O14" s="12">
        <v>467</v>
      </c>
      <c r="P14" s="12">
        <v>510</v>
      </c>
      <c r="Q14" s="12">
        <v>540</v>
      </c>
      <c r="R14" s="12">
        <v>180</v>
      </c>
      <c r="S14" s="12">
        <v>428</v>
      </c>
      <c r="T14" s="12">
        <v>428</v>
      </c>
      <c r="U14" s="12">
        <v>238</v>
      </c>
      <c r="V14" s="12">
        <v>482</v>
      </c>
      <c r="W14" s="12">
        <v>239</v>
      </c>
      <c r="X14" s="12">
        <v>398</v>
      </c>
      <c r="Y14" s="12">
        <v>316</v>
      </c>
      <c r="Z14" s="12">
        <v>594</v>
      </c>
      <c r="AA14" s="12">
        <v>520</v>
      </c>
      <c r="AB14" s="12">
        <v>443</v>
      </c>
      <c r="AC14" s="12">
        <v>465</v>
      </c>
      <c r="AD14" s="12">
        <v>454</v>
      </c>
      <c r="AE14" s="12">
        <v>330</v>
      </c>
      <c r="AF14" s="12">
        <v>381</v>
      </c>
    </row>
    <row r="15" spans="1:32">
      <c r="A15" s="19"/>
      <c r="B15" s="13" t="s">
        <v>491</v>
      </c>
      <c r="C15" s="14">
        <v>0.44</v>
      </c>
      <c r="D15" s="14">
        <v>0.43</v>
      </c>
      <c r="E15" s="14">
        <v>0.43</v>
      </c>
      <c r="F15" s="14">
        <v>0.52</v>
      </c>
      <c r="G15" s="14">
        <v>0.3</v>
      </c>
      <c r="H15" s="14">
        <v>0.41</v>
      </c>
      <c r="I15" s="14">
        <v>0.4</v>
      </c>
      <c r="J15" s="14">
        <v>0.38</v>
      </c>
      <c r="K15" s="14">
        <v>0.5</v>
      </c>
      <c r="L15" s="14">
        <v>0.46</v>
      </c>
      <c r="M15" s="14">
        <v>0.51</v>
      </c>
      <c r="N15" s="14">
        <v>0.31</v>
      </c>
      <c r="O15" s="14">
        <v>0.46</v>
      </c>
      <c r="P15" s="14">
        <v>0.51</v>
      </c>
      <c r="Q15" s="14">
        <v>0.52</v>
      </c>
      <c r="R15" s="14">
        <v>0.36</v>
      </c>
      <c r="S15" s="14">
        <v>0.43</v>
      </c>
      <c r="T15" s="14">
        <v>0.42</v>
      </c>
      <c r="U15" s="14">
        <v>0.47</v>
      </c>
      <c r="V15" s="14">
        <v>0.47</v>
      </c>
      <c r="W15" s="14">
        <v>0.47</v>
      </c>
      <c r="X15" s="14">
        <v>0.39</v>
      </c>
      <c r="Y15" s="14">
        <v>0.32</v>
      </c>
      <c r="Z15" s="14">
        <v>0.57999999999999996</v>
      </c>
      <c r="AA15" s="14">
        <v>0.5</v>
      </c>
      <c r="AB15" s="14">
        <v>0.43</v>
      </c>
      <c r="AC15" s="14">
        <v>0.46</v>
      </c>
      <c r="AD15" s="14">
        <v>0.45</v>
      </c>
      <c r="AE15" s="14">
        <v>0.33</v>
      </c>
      <c r="AF15" s="14">
        <v>0.37</v>
      </c>
    </row>
    <row r="16" spans="1:32">
      <c r="A16" s="19"/>
      <c r="B16" s="11" t="s">
        <v>492</v>
      </c>
      <c r="C16" s="12">
        <v>4211</v>
      </c>
      <c r="D16" s="12">
        <v>332</v>
      </c>
      <c r="E16" s="12">
        <v>111</v>
      </c>
      <c r="F16" s="12">
        <v>225</v>
      </c>
      <c r="G16" s="12">
        <v>238</v>
      </c>
      <c r="H16" s="12">
        <v>183</v>
      </c>
      <c r="I16" s="12">
        <v>249</v>
      </c>
      <c r="J16" s="12">
        <v>66</v>
      </c>
      <c r="K16" s="12">
        <v>142</v>
      </c>
      <c r="L16" s="12">
        <v>52</v>
      </c>
      <c r="M16" s="12">
        <v>122</v>
      </c>
      <c r="N16" s="12">
        <v>49</v>
      </c>
      <c r="O16" s="12">
        <v>126</v>
      </c>
      <c r="P16" s="12">
        <v>242</v>
      </c>
      <c r="Q16" s="12">
        <v>179</v>
      </c>
      <c r="R16" s="12">
        <v>21</v>
      </c>
      <c r="S16" s="12">
        <v>71</v>
      </c>
      <c r="T16" s="12">
        <v>49</v>
      </c>
      <c r="U16" s="12">
        <v>82</v>
      </c>
      <c r="V16" s="12">
        <v>220</v>
      </c>
      <c r="W16" s="12">
        <v>44</v>
      </c>
      <c r="X16" s="12">
        <v>312</v>
      </c>
      <c r="Y16" s="12">
        <v>220</v>
      </c>
      <c r="Z16" s="12">
        <v>158</v>
      </c>
      <c r="AA16" s="12">
        <v>157</v>
      </c>
      <c r="AB16" s="12">
        <v>273</v>
      </c>
      <c r="AC16" s="12">
        <v>171</v>
      </c>
      <c r="AD16" s="12">
        <v>121</v>
      </c>
      <c r="AE16" s="12">
        <v>104</v>
      </c>
      <c r="AF16" s="12">
        <v>188</v>
      </c>
    </row>
    <row r="17" spans="1:32">
      <c r="A17" s="19"/>
      <c r="B17" s="13" t="s">
        <v>493</v>
      </c>
      <c r="C17" s="14">
        <v>0.16</v>
      </c>
      <c r="D17" s="14">
        <v>0.32</v>
      </c>
      <c r="E17" s="14">
        <v>0.11</v>
      </c>
      <c r="F17" s="14">
        <v>0.21</v>
      </c>
      <c r="G17" s="14">
        <v>0.23</v>
      </c>
      <c r="H17" s="14">
        <v>0.15</v>
      </c>
      <c r="I17" s="14">
        <v>0.17</v>
      </c>
      <c r="J17" s="14">
        <v>0.22</v>
      </c>
      <c r="K17" s="14">
        <v>0.14000000000000001</v>
      </c>
      <c r="L17" s="14">
        <v>0.05</v>
      </c>
      <c r="M17" s="14">
        <v>0.12</v>
      </c>
      <c r="N17" s="14">
        <v>0.05</v>
      </c>
      <c r="O17" s="14">
        <v>0.12</v>
      </c>
      <c r="P17" s="14">
        <v>0.24</v>
      </c>
      <c r="Q17" s="14">
        <v>0.17</v>
      </c>
      <c r="R17" s="14">
        <v>0.04</v>
      </c>
      <c r="S17" s="14">
        <v>7.0000000000000007E-2</v>
      </c>
      <c r="T17" s="14">
        <v>0.05</v>
      </c>
      <c r="U17" s="14">
        <v>0.16</v>
      </c>
      <c r="V17" s="14">
        <v>0.22</v>
      </c>
      <c r="W17" s="14">
        <v>0.09</v>
      </c>
      <c r="X17" s="14">
        <v>0.31</v>
      </c>
      <c r="Y17" s="14">
        <v>0.22</v>
      </c>
      <c r="Z17" s="14">
        <v>0.16</v>
      </c>
      <c r="AA17" s="14">
        <v>0.15</v>
      </c>
      <c r="AB17" s="14">
        <v>0.26</v>
      </c>
      <c r="AC17" s="14">
        <v>0.17</v>
      </c>
      <c r="AD17" s="14">
        <v>0.12</v>
      </c>
      <c r="AE17" s="14">
        <v>0.1</v>
      </c>
      <c r="AF17" s="14">
        <v>0.18</v>
      </c>
    </row>
    <row r="18" spans="1:32">
      <c r="A18" s="19"/>
      <c r="B18" s="11" t="s">
        <v>494</v>
      </c>
      <c r="C18" s="12">
        <v>1146</v>
      </c>
      <c r="D18" s="12">
        <v>71</v>
      </c>
      <c r="E18" s="12">
        <v>22</v>
      </c>
      <c r="F18" s="12">
        <v>45</v>
      </c>
      <c r="G18" s="12">
        <v>119</v>
      </c>
      <c r="H18" s="12">
        <v>55</v>
      </c>
      <c r="I18" s="12">
        <v>81</v>
      </c>
      <c r="J18" s="12">
        <v>26</v>
      </c>
      <c r="K18" s="12">
        <v>28</v>
      </c>
      <c r="L18" s="12">
        <v>6</v>
      </c>
      <c r="M18" s="12">
        <v>58</v>
      </c>
      <c r="N18" s="12">
        <v>26</v>
      </c>
      <c r="O18" s="12">
        <v>27</v>
      </c>
      <c r="P18" s="12">
        <v>46</v>
      </c>
      <c r="Q18" s="12">
        <v>11</v>
      </c>
      <c r="R18" s="12">
        <v>6</v>
      </c>
      <c r="S18" s="12">
        <v>6</v>
      </c>
      <c r="T18" s="12">
        <v>7</v>
      </c>
      <c r="U18" s="12">
        <v>15</v>
      </c>
      <c r="V18" s="12">
        <v>115</v>
      </c>
      <c r="W18" s="12">
        <v>9</v>
      </c>
      <c r="X18" s="12">
        <v>100</v>
      </c>
      <c r="Y18" s="12">
        <v>133</v>
      </c>
      <c r="Z18" s="12">
        <v>45</v>
      </c>
      <c r="AA18" s="12">
        <v>8</v>
      </c>
      <c r="AB18" s="12">
        <v>90</v>
      </c>
      <c r="AC18" s="12">
        <v>74</v>
      </c>
      <c r="AD18" s="12">
        <v>20</v>
      </c>
      <c r="AE18" s="12">
        <v>26</v>
      </c>
      <c r="AF18" s="12">
        <v>50</v>
      </c>
    </row>
    <row r="19" spans="1:32">
      <c r="A19" s="19"/>
      <c r="B19" s="13" t="s">
        <v>708</v>
      </c>
      <c r="C19" s="14">
        <v>0.05</v>
      </c>
      <c r="D19" s="14">
        <v>7.0000000000000007E-2</v>
      </c>
      <c r="E19" s="14">
        <v>0.02</v>
      </c>
      <c r="F19" s="14">
        <v>0.04</v>
      </c>
      <c r="G19" s="14">
        <v>0.12</v>
      </c>
      <c r="H19" s="14">
        <v>0.04</v>
      </c>
      <c r="I19" s="14">
        <v>0.05</v>
      </c>
      <c r="J19" s="14">
        <v>0.09</v>
      </c>
      <c r="K19" s="14">
        <v>0.03</v>
      </c>
      <c r="L19" s="15" t="s">
        <v>375</v>
      </c>
      <c r="M19" s="14">
        <v>0.06</v>
      </c>
      <c r="N19" s="14">
        <v>0.03</v>
      </c>
      <c r="O19" s="14">
        <v>0.03</v>
      </c>
      <c r="P19" s="14">
        <v>0.05</v>
      </c>
      <c r="Q19" s="14">
        <v>0.01</v>
      </c>
      <c r="R19" s="14">
        <v>0.01</v>
      </c>
      <c r="S19" s="14">
        <v>0.01</v>
      </c>
      <c r="T19" s="14">
        <v>0.01</v>
      </c>
      <c r="U19" s="14">
        <v>0.03</v>
      </c>
      <c r="V19" s="14">
        <v>0.11</v>
      </c>
      <c r="W19" s="14">
        <v>0.02</v>
      </c>
      <c r="X19" s="14">
        <v>0.1</v>
      </c>
      <c r="Y19" s="14">
        <v>0.13</v>
      </c>
      <c r="Z19" s="14">
        <v>0.04</v>
      </c>
      <c r="AA19" s="14">
        <v>0.01</v>
      </c>
      <c r="AB19" s="14">
        <v>0.09</v>
      </c>
      <c r="AC19" s="14">
        <v>7.0000000000000007E-2</v>
      </c>
      <c r="AD19" s="14">
        <v>0.02</v>
      </c>
      <c r="AE19" s="14">
        <v>0.03</v>
      </c>
      <c r="AF19" s="14">
        <v>0.05</v>
      </c>
    </row>
    <row r="20" spans="1:32">
      <c r="A20" s="19"/>
      <c r="B20" s="11" t="s">
        <v>386</v>
      </c>
      <c r="C20" s="12">
        <v>3252</v>
      </c>
      <c r="D20" s="12">
        <v>63</v>
      </c>
      <c r="E20" s="12">
        <v>120</v>
      </c>
      <c r="F20" s="12">
        <v>46</v>
      </c>
      <c r="G20" s="12">
        <v>195</v>
      </c>
      <c r="H20" s="12">
        <v>199</v>
      </c>
      <c r="I20" s="12">
        <v>227</v>
      </c>
      <c r="J20" s="12">
        <v>28</v>
      </c>
      <c r="K20" s="12">
        <v>68</v>
      </c>
      <c r="L20" s="12">
        <v>188</v>
      </c>
      <c r="M20" s="12">
        <v>116</v>
      </c>
      <c r="N20" s="12">
        <v>154</v>
      </c>
      <c r="O20" s="12">
        <v>187</v>
      </c>
      <c r="P20" s="12">
        <v>65</v>
      </c>
      <c r="Q20" s="12">
        <v>108</v>
      </c>
      <c r="R20" s="12">
        <v>24</v>
      </c>
      <c r="S20" s="12">
        <v>76</v>
      </c>
      <c r="T20" s="12">
        <v>66</v>
      </c>
      <c r="U20" s="12">
        <v>101</v>
      </c>
      <c r="V20" s="12">
        <v>30</v>
      </c>
      <c r="W20" s="12">
        <v>27</v>
      </c>
      <c r="X20" s="12">
        <v>95</v>
      </c>
      <c r="Y20" s="12">
        <v>93</v>
      </c>
      <c r="Z20" s="12">
        <v>37</v>
      </c>
      <c r="AA20" s="12">
        <v>220</v>
      </c>
      <c r="AB20" s="12">
        <v>99</v>
      </c>
      <c r="AC20" s="12">
        <v>47</v>
      </c>
      <c r="AD20" s="12">
        <v>40</v>
      </c>
      <c r="AE20" s="12">
        <v>103</v>
      </c>
      <c r="AF20" s="12">
        <v>133</v>
      </c>
    </row>
    <row r="21" spans="1:32">
      <c r="A21" s="19"/>
      <c r="B21" s="13" t="s">
        <v>399</v>
      </c>
      <c r="C21" s="14">
        <v>0.12</v>
      </c>
      <c r="D21" s="14">
        <v>0.06</v>
      </c>
      <c r="E21" s="14">
        <v>0.11</v>
      </c>
      <c r="F21" s="14">
        <v>0.04</v>
      </c>
      <c r="G21" s="14">
        <v>0.19</v>
      </c>
      <c r="H21" s="14">
        <v>0.16</v>
      </c>
      <c r="I21" s="14">
        <v>0.15</v>
      </c>
      <c r="J21" s="14">
        <v>0.09</v>
      </c>
      <c r="K21" s="14">
        <v>7.0000000000000007E-2</v>
      </c>
      <c r="L21" s="14">
        <v>0.19</v>
      </c>
      <c r="M21" s="14">
        <v>0.12</v>
      </c>
      <c r="N21" s="14">
        <v>0.15</v>
      </c>
      <c r="O21" s="14">
        <v>0.19</v>
      </c>
      <c r="P21" s="14">
        <v>0.06</v>
      </c>
      <c r="Q21" s="14">
        <v>0.11</v>
      </c>
      <c r="R21" s="14">
        <v>0.05</v>
      </c>
      <c r="S21" s="14">
        <v>7.0000000000000007E-2</v>
      </c>
      <c r="T21" s="14">
        <v>0.06</v>
      </c>
      <c r="U21" s="14">
        <v>0.2</v>
      </c>
      <c r="V21" s="14">
        <v>0.03</v>
      </c>
      <c r="W21" s="14">
        <v>0.05</v>
      </c>
      <c r="X21" s="14">
        <v>0.09</v>
      </c>
      <c r="Y21" s="14">
        <v>0.09</v>
      </c>
      <c r="Z21" s="14">
        <v>0.04</v>
      </c>
      <c r="AA21" s="14">
        <v>0.21</v>
      </c>
      <c r="AB21" s="14">
        <v>0.09</v>
      </c>
      <c r="AC21" s="14">
        <v>0.05</v>
      </c>
      <c r="AD21" s="14">
        <v>0.04</v>
      </c>
      <c r="AE21" s="14">
        <v>0.1</v>
      </c>
      <c r="AF21" s="14">
        <v>0.13</v>
      </c>
    </row>
    <row r="22" spans="1:32">
      <c r="A22" s="19"/>
      <c r="B22" s="11" t="s">
        <v>496</v>
      </c>
      <c r="C22" s="12">
        <v>17844</v>
      </c>
      <c r="D22" s="12">
        <v>556</v>
      </c>
      <c r="E22" s="12">
        <v>792</v>
      </c>
      <c r="F22" s="12">
        <v>748</v>
      </c>
      <c r="G22" s="12">
        <v>464</v>
      </c>
      <c r="H22" s="12">
        <v>794</v>
      </c>
      <c r="I22" s="12">
        <v>970</v>
      </c>
      <c r="J22" s="12">
        <v>177</v>
      </c>
      <c r="K22" s="12">
        <v>768</v>
      </c>
      <c r="L22" s="12">
        <v>760</v>
      </c>
      <c r="M22" s="12">
        <v>711</v>
      </c>
      <c r="N22" s="12">
        <v>782</v>
      </c>
      <c r="O22" s="12">
        <v>664</v>
      </c>
      <c r="P22" s="12">
        <v>650</v>
      </c>
      <c r="Q22" s="12">
        <v>733</v>
      </c>
      <c r="R22" s="12">
        <v>449</v>
      </c>
      <c r="S22" s="12">
        <v>851</v>
      </c>
      <c r="T22" s="12">
        <v>902</v>
      </c>
      <c r="U22" s="12">
        <v>310</v>
      </c>
      <c r="V22" s="12">
        <v>661</v>
      </c>
      <c r="W22" s="12">
        <v>423</v>
      </c>
      <c r="X22" s="12">
        <v>504</v>
      </c>
      <c r="Y22" s="12">
        <v>557</v>
      </c>
      <c r="Z22" s="12">
        <v>777</v>
      </c>
      <c r="AA22" s="12">
        <v>652</v>
      </c>
      <c r="AB22" s="12">
        <v>579</v>
      </c>
      <c r="AC22" s="12">
        <v>713</v>
      </c>
      <c r="AD22" s="12">
        <v>822</v>
      </c>
      <c r="AE22" s="12">
        <v>768</v>
      </c>
      <c r="AF22" s="12">
        <v>661</v>
      </c>
    </row>
    <row r="23" spans="1:32">
      <c r="A23" s="19"/>
      <c r="B23" s="13" t="s">
        <v>497</v>
      </c>
      <c r="C23" s="14">
        <v>0.67</v>
      </c>
      <c r="D23" s="14">
        <v>0.55000000000000004</v>
      </c>
      <c r="E23" s="14">
        <v>0.76</v>
      </c>
      <c r="F23" s="14">
        <v>0.71</v>
      </c>
      <c r="G23" s="14">
        <v>0.46</v>
      </c>
      <c r="H23" s="14">
        <v>0.65</v>
      </c>
      <c r="I23" s="14">
        <v>0.63</v>
      </c>
      <c r="J23" s="14">
        <v>0.6</v>
      </c>
      <c r="K23" s="14">
        <v>0.76</v>
      </c>
      <c r="L23" s="14">
        <v>0.76</v>
      </c>
      <c r="M23" s="14">
        <v>0.70000000000000007</v>
      </c>
      <c r="N23" s="14">
        <v>0.77</v>
      </c>
      <c r="O23" s="14">
        <v>0.66</v>
      </c>
      <c r="P23" s="14">
        <v>0.65</v>
      </c>
      <c r="Q23" s="14">
        <v>0.71</v>
      </c>
      <c r="R23" s="14">
        <v>0.9</v>
      </c>
      <c r="S23" s="14">
        <v>0.85</v>
      </c>
      <c r="T23" s="14">
        <v>0.88</v>
      </c>
      <c r="U23" s="14">
        <v>0.61</v>
      </c>
      <c r="V23" s="14">
        <v>0.64</v>
      </c>
      <c r="W23" s="14">
        <v>0.84</v>
      </c>
      <c r="X23" s="14">
        <v>0.5</v>
      </c>
      <c r="Y23" s="14">
        <v>0.56000000000000005</v>
      </c>
      <c r="Z23" s="14">
        <v>0.76</v>
      </c>
      <c r="AA23" s="14">
        <v>0.63</v>
      </c>
      <c r="AB23" s="14">
        <v>0.56000000000000005</v>
      </c>
      <c r="AC23" s="14">
        <v>0.71</v>
      </c>
      <c r="AD23" s="14">
        <v>0.82000000000000006</v>
      </c>
      <c r="AE23" s="14">
        <v>0.77</v>
      </c>
      <c r="AF23" s="14">
        <v>0.64</v>
      </c>
    </row>
    <row r="24" spans="1:32">
      <c r="A24" s="19"/>
      <c r="B24" s="11" t="s">
        <v>498</v>
      </c>
      <c r="C24" s="12">
        <v>5357</v>
      </c>
      <c r="D24" s="12">
        <v>403</v>
      </c>
      <c r="E24" s="12">
        <v>133</v>
      </c>
      <c r="F24" s="12">
        <v>270</v>
      </c>
      <c r="G24" s="12">
        <v>357</v>
      </c>
      <c r="H24" s="12">
        <v>238</v>
      </c>
      <c r="I24" s="12">
        <v>330</v>
      </c>
      <c r="J24" s="12">
        <v>92</v>
      </c>
      <c r="K24" s="12">
        <v>170</v>
      </c>
      <c r="L24" s="12">
        <v>58</v>
      </c>
      <c r="M24" s="12">
        <v>180</v>
      </c>
      <c r="N24" s="12">
        <v>75</v>
      </c>
      <c r="O24" s="12">
        <v>153</v>
      </c>
      <c r="P24" s="12">
        <v>288</v>
      </c>
      <c r="Q24" s="12">
        <v>190</v>
      </c>
      <c r="R24" s="12">
        <v>27</v>
      </c>
      <c r="S24" s="12">
        <v>77</v>
      </c>
      <c r="T24" s="12">
        <v>56</v>
      </c>
      <c r="U24" s="12">
        <v>97</v>
      </c>
      <c r="V24" s="12">
        <v>335</v>
      </c>
      <c r="W24" s="12">
        <v>53</v>
      </c>
      <c r="X24" s="12">
        <v>412</v>
      </c>
      <c r="Y24" s="12">
        <v>353</v>
      </c>
      <c r="Z24" s="12">
        <v>203</v>
      </c>
      <c r="AA24" s="12">
        <v>165</v>
      </c>
      <c r="AB24" s="12">
        <v>363</v>
      </c>
      <c r="AC24" s="12">
        <v>245</v>
      </c>
      <c r="AD24" s="12">
        <v>141</v>
      </c>
      <c r="AE24" s="12">
        <v>130</v>
      </c>
      <c r="AF24" s="12">
        <v>238</v>
      </c>
    </row>
    <row r="25" spans="1:32">
      <c r="A25" s="19"/>
      <c r="B25" s="13" t="s">
        <v>499</v>
      </c>
      <c r="C25" s="14">
        <v>0.21</v>
      </c>
      <c r="D25" s="14">
        <v>0.39</v>
      </c>
      <c r="E25" s="14">
        <v>0.13</v>
      </c>
      <c r="F25" s="14">
        <v>0.25</v>
      </c>
      <c r="G25" s="14">
        <v>0.35</v>
      </c>
      <c r="H25" s="14">
        <v>0.19</v>
      </c>
      <c r="I25" s="14">
        <v>0.22</v>
      </c>
      <c r="J25" s="14">
        <v>0.31</v>
      </c>
      <c r="K25" s="14">
        <v>0.17</v>
      </c>
      <c r="L25" s="14">
        <v>0.05</v>
      </c>
      <c r="M25" s="14">
        <v>0.18</v>
      </c>
      <c r="N25" s="14">
        <v>0.08</v>
      </c>
      <c r="O25" s="14">
        <v>0.15</v>
      </c>
      <c r="P25" s="14">
        <v>0.28999999999999998</v>
      </c>
      <c r="Q25" s="14">
        <v>0.18</v>
      </c>
      <c r="R25" s="14">
        <v>0.05</v>
      </c>
      <c r="S25" s="14">
        <v>0.08</v>
      </c>
      <c r="T25" s="14">
        <v>0.06</v>
      </c>
      <c r="U25" s="14">
        <v>0.19</v>
      </c>
      <c r="V25" s="14">
        <v>0.33</v>
      </c>
      <c r="W25" s="14">
        <v>0.11</v>
      </c>
      <c r="X25" s="14">
        <v>0.41</v>
      </c>
      <c r="Y25" s="14">
        <v>0.35</v>
      </c>
      <c r="Z25" s="14">
        <v>0.2</v>
      </c>
      <c r="AA25" s="14">
        <v>0.16</v>
      </c>
      <c r="AB25" s="14">
        <v>0.35</v>
      </c>
      <c r="AC25" s="14">
        <v>0.24</v>
      </c>
      <c r="AD25" s="14">
        <v>0.14000000000000001</v>
      </c>
      <c r="AE25" s="14">
        <v>0.13</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725</v>
      </c>
      <c r="C3" s="17"/>
      <c r="D3" s="17"/>
      <c r="E3" s="17"/>
      <c r="F3" s="17"/>
      <c r="H3" s="17" t="s">
        <v>726</v>
      </c>
      <c r="I3" s="17"/>
      <c r="J3" s="17"/>
      <c r="K3" s="17"/>
      <c r="L3" s="17"/>
    </row>
    <row r="4" spans="1:32" ht="27" customHeight="1">
      <c r="B4" s="17" t="s">
        <v>727</v>
      </c>
      <c r="C4" s="17"/>
      <c r="D4" s="17"/>
      <c r="E4" s="17"/>
      <c r="F4" s="17"/>
      <c r="H4" s="17" t="s">
        <v>728</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HYPERLINK("#Content!A58","&lt;&lt;Back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5041</v>
      </c>
      <c r="D12" s="12">
        <v>119</v>
      </c>
      <c r="E12" s="12">
        <v>174</v>
      </c>
      <c r="F12" s="12">
        <v>166</v>
      </c>
      <c r="G12" s="12">
        <v>306</v>
      </c>
      <c r="H12" s="12">
        <v>235</v>
      </c>
      <c r="I12" s="12">
        <v>286</v>
      </c>
      <c r="J12" s="12">
        <v>51</v>
      </c>
      <c r="K12" s="12">
        <v>204</v>
      </c>
      <c r="L12" s="12">
        <v>284</v>
      </c>
      <c r="M12" s="12">
        <v>171</v>
      </c>
      <c r="N12" s="12">
        <v>306</v>
      </c>
      <c r="O12" s="12">
        <v>180</v>
      </c>
      <c r="P12" s="12">
        <v>175</v>
      </c>
      <c r="Q12" s="12">
        <v>195</v>
      </c>
      <c r="R12" s="12">
        <v>266</v>
      </c>
      <c r="S12" s="12">
        <v>279</v>
      </c>
      <c r="T12" s="12">
        <v>275</v>
      </c>
      <c r="U12" s="12">
        <v>78</v>
      </c>
      <c r="V12" s="12">
        <v>148</v>
      </c>
      <c r="W12" s="12">
        <v>158</v>
      </c>
      <c r="X12" s="12">
        <v>116</v>
      </c>
      <c r="Y12" s="12">
        <v>298</v>
      </c>
      <c r="Z12" s="12">
        <v>156</v>
      </c>
      <c r="AA12" s="12">
        <v>86</v>
      </c>
      <c r="AB12" s="12">
        <v>99</v>
      </c>
      <c r="AC12" s="12">
        <v>241</v>
      </c>
      <c r="AD12" s="12">
        <v>278</v>
      </c>
      <c r="AE12" s="12">
        <v>257</v>
      </c>
      <c r="AF12" s="12">
        <v>149</v>
      </c>
    </row>
    <row r="13" spans="1:32">
      <c r="A13" s="19"/>
      <c r="B13" s="13" t="s">
        <v>707</v>
      </c>
      <c r="C13" s="14">
        <v>0.19</v>
      </c>
      <c r="D13" s="14">
        <v>0.12</v>
      </c>
      <c r="E13" s="14">
        <v>0.17</v>
      </c>
      <c r="F13" s="14">
        <v>0.15</v>
      </c>
      <c r="G13" s="14">
        <v>0.3</v>
      </c>
      <c r="H13" s="14">
        <v>0.19</v>
      </c>
      <c r="I13" s="14">
        <v>0.19</v>
      </c>
      <c r="J13" s="14">
        <v>0.17</v>
      </c>
      <c r="K13" s="14">
        <v>0.2</v>
      </c>
      <c r="L13" s="14">
        <v>0.28000000000000003</v>
      </c>
      <c r="M13" s="14">
        <v>0.17</v>
      </c>
      <c r="N13" s="14">
        <v>0.3</v>
      </c>
      <c r="O13" s="14">
        <v>0.18</v>
      </c>
      <c r="P13" s="14">
        <v>0.17</v>
      </c>
      <c r="Q13" s="14">
        <v>0.19</v>
      </c>
      <c r="R13" s="14">
        <v>0.53</v>
      </c>
      <c r="S13" s="14">
        <v>0.28000000000000003</v>
      </c>
      <c r="T13" s="14">
        <v>0.27</v>
      </c>
      <c r="U13" s="14">
        <v>0.15</v>
      </c>
      <c r="V13" s="14">
        <v>0.15</v>
      </c>
      <c r="W13" s="14">
        <v>0.32</v>
      </c>
      <c r="X13" s="14">
        <v>0.11</v>
      </c>
      <c r="Y13" s="14">
        <v>0.3</v>
      </c>
      <c r="Z13" s="14">
        <v>0.15</v>
      </c>
      <c r="AA13" s="14">
        <v>0.08</v>
      </c>
      <c r="AB13" s="14">
        <v>0.1</v>
      </c>
      <c r="AC13" s="14">
        <v>0.24</v>
      </c>
      <c r="AD13" s="14">
        <v>0.28000000000000003</v>
      </c>
      <c r="AE13" s="14">
        <v>0.26</v>
      </c>
      <c r="AF13" s="14">
        <v>0.14000000000000001</v>
      </c>
    </row>
    <row r="14" spans="1:32">
      <c r="A14" s="19"/>
      <c r="B14" s="11" t="s">
        <v>490</v>
      </c>
      <c r="C14" s="12">
        <v>11864</v>
      </c>
      <c r="D14" s="12">
        <v>424</v>
      </c>
      <c r="E14" s="12">
        <v>406</v>
      </c>
      <c r="F14" s="12">
        <v>513</v>
      </c>
      <c r="G14" s="12">
        <v>394</v>
      </c>
      <c r="H14" s="12">
        <v>507</v>
      </c>
      <c r="I14" s="12">
        <v>658</v>
      </c>
      <c r="J14" s="12">
        <v>151</v>
      </c>
      <c r="K14" s="12">
        <v>487</v>
      </c>
      <c r="L14" s="12">
        <v>398</v>
      </c>
      <c r="M14" s="12">
        <v>528</v>
      </c>
      <c r="N14" s="12">
        <v>323</v>
      </c>
      <c r="O14" s="12">
        <v>472</v>
      </c>
      <c r="P14" s="12">
        <v>506</v>
      </c>
      <c r="Q14" s="12">
        <v>568</v>
      </c>
      <c r="R14" s="12">
        <v>165</v>
      </c>
      <c r="S14" s="12">
        <v>464</v>
      </c>
      <c r="T14" s="12">
        <v>457</v>
      </c>
      <c r="U14" s="12">
        <v>272</v>
      </c>
      <c r="V14" s="12">
        <v>465</v>
      </c>
      <c r="W14" s="12">
        <v>267</v>
      </c>
      <c r="X14" s="12">
        <v>407</v>
      </c>
      <c r="Y14" s="12">
        <v>374</v>
      </c>
      <c r="Z14" s="12">
        <v>567</v>
      </c>
      <c r="AA14" s="12">
        <v>404</v>
      </c>
      <c r="AB14" s="12">
        <v>462</v>
      </c>
      <c r="AC14" s="12">
        <v>487</v>
      </c>
      <c r="AD14" s="12">
        <v>473</v>
      </c>
      <c r="AE14" s="12">
        <v>379</v>
      </c>
      <c r="AF14" s="12">
        <v>316</v>
      </c>
    </row>
    <row r="15" spans="1:32">
      <c r="A15" s="19"/>
      <c r="B15" s="13" t="s">
        <v>491</v>
      </c>
      <c r="C15" s="14">
        <v>0.45</v>
      </c>
      <c r="D15" s="14">
        <v>0.41</v>
      </c>
      <c r="E15" s="14">
        <v>0.39</v>
      </c>
      <c r="F15" s="14">
        <v>0.48</v>
      </c>
      <c r="G15" s="14">
        <v>0.39</v>
      </c>
      <c r="H15" s="14">
        <v>0.41</v>
      </c>
      <c r="I15" s="14">
        <v>0.43</v>
      </c>
      <c r="J15" s="14">
        <v>0.51</v>
      </c>
      <c r="K15" s="14">
        <v>0.48</v>
      </c>
      <c r="L15" s="14">
        <v>0.4</v>
      </c>
      <c r="M15" s="14">
        <v>0.52</v>
      </c>
      <c r="N15" s="14">
        <v>0.32</v>
      </c>
      <c r="O15" s="14">
        <v>0.47</v>
      </c>
      <c r="P15" s="14">
        <v>0.5</v>
      </c>
      <c r="Q15" s="14">
        <v>0.55000000000000004</v>
      </c>
      <c r="R15" s="14">
        <v>0.33</v>
      </c>
      <c r="S15" s="14">
        <v>0.46</v>
      </c>
      <c r="T15" s="14">
        <v>0.45</v>
      </c>
      <c r="U15" s="14">
        <v>0.53</v>
      </c>
      <c r="V15" s="14">
        <v>0.45</v>
      </c>
      <c r="W15" s="14">
        <v>0.53</v>
      </c>
      <c r="X15" s="14">
        <v>0.4</v>
      </c>
      <c r="Y15" s="14">
        <v>0.37</v>
      </c>
      <c r="Z15" s="14">
        <v>0.56000000000000005</v>
      </c>
      <c r="AA15" s="14">
        <v>0.39</v>
      </c>
      <c r="AB15" s="14">
        <v>0.44</v>
      </c>
      <c r="AC15" s="14">
        <v>0.48</v>
      </c>
      <c r="AD15" s="14">
        <v>0.47</v>
      </c>
      <c r="AE15" s="14">
        <v>0.38</v>
      </c>
      <c r="AF15" s="14">
        <v>0.31</v>
      </c>
    </row>
    <row r="16" spans="1:32">
      <c r="A16" s="19"/>
      <c r="B16" s="11" t="s">
        <v>492</v>
      </c>
      <c r="C16" s="12">
        <v>4225</v>
      </c>
      <c r="D16" s="12">
        <v>308</v>
      </c>
      <c r="E16" s="12">
        <v>149</v>
      </c>
      <c r="F16" s="12">
        <v>242</v>
      </c>
      <c r="G16" s="12">
        <v>72</v>
      </c>
      <c r="H16" s="12">
        <v>220</v>
      </c>
      <c r="I16" s="12">
        <v>276</v>
      </c>
      <c r="J16" s="12">
        <v>56</v>
      </c>
      <c r="K16" s="12">
        <v>133</v>
      </c>
      <c r="L16" s="12">
        <v>75</v>
      </c>
      <c r="M16" s="12">
        <v>139</v>
      </c>
      <c r="N16" s="12">
        <v>92</v>
      </c>
      <c r="O16" s="12">
        <v>116</v>
      </c>
      <c r="P16" s="12">
        <v>197</v>
      </c>
      <c r="Q16" s="12">
        <v>142</v>
      </c>
      <c r="R16" s="12">
        <v>39</v>
      </c>
      <c r="S16" s="12">
        <v>106</v>
      </c>
      <c r="T16" s="12">
        <v>80</v>
      </c>
      <c r="U16" s="12">
        <v>54</v>
      </c>
      <c r="V16" s="12">
        <v>260</v>
      </c>
      <c r="W16" s="12">
        <v>46</v>
      </c>
      <c r="X16" s="12">
        <v>279</v>
      </c>
      <c r="Y16" s="12">
        <v>148</v>
      </c>
      <c r="Z16" s="12">
        <v>152</v>
      </c>
      <c r="AA16" s="12">
        <v>257</v>
      </c>
      <c r="AB16" s="12">
        <v>255</v>
      </c>
      <c r="AC16" s="12">
        <v>166</v>
      </c>
      <c r="AD16" s="12">
        <v>136</v>
      </c>
      <c r="AE16" s="12">
        <v>143</v>
      </c>
      <c r="AF16" s="12">
        <v>206</v>
      </c>
    </row>
    <row r="17" spans="1:32">
      <c r="A17" s="19"/>
      <c r="B17" s="13" t="s">
        <v>493</v>
      </c>
      <c r="C17" s="14">
        <v>0.16</v>
      </c>
      <c r="D17" s="14">
        <v>0.3</v>
      </c>
      <c r="E17" s="14">
        <v>0.14000000000000001</v>
      </c>
      <c r="F17" s="14">
        <v>0.23</v>
      </c>
      <c r="G17" s="14">
        <v>7.0000000000000007E-2</v>
      </c>
      <c r="H17" s="14">
        <v>0.18</v>
      </c>
      <c r="I17" s="14">
        <v>0.18</v>
      </c>
      <c r="J17" s="14">
        <v>0.19</v>
      </c>
      <c r="K17" s="14">
        <v>0.13</v>
      </c>
      <c r="L17" s="14">
        <v>7.0000000000000007E-2</v>
      </c>
      <c r="M17" s="14">
        <v>0.14000000000000001</v>
      </c>
      <c r="N17" s="14">
        <v>0.09</v>
      </c>
      <c r="O17" s="14">
        <v>0.12</v>
      </c>
      <c r="P17" s="14">
        <v>0.2</v>
      </c>
      <c r="Q17" s="14">
        <v>0.14000000000000001</v>
      </c>
      <c r="R17" s="14">
        <v>0.08</v>
      </c>
      <c r="S17" s="14">
        <v>0.11</v>
      </c>
      <c r="T17" s="14">
        <v>0.08</v>
      </c>
      <c r="U17" s="14">
        <v>0.11</v>
      </c>
      <c r="V17" s="14">
        <v>0.25</v>
      </c>
      <c r="W17" s="14">
        <v>0.09</v>
      </c>
      <c r="X17" s="14">
        <v>0.28000000000000003</v>
      </c>
      <c r="Y17" s="14">
        <v>0.15</v>
      </c>
      <c r="Z17" s="14">
        <v>0.15</v>
      </c>
      <c r="AA17" s="14">
        <v>0.25</v>
      </c>
      <c r="AB17" s="14">
        <v>0.24</v>
      </c>
      <c r="AC17" s="14">
        <v>0.17</v>
      </c>
      <c r="AD17" s="14">
        <v>0.13</v>
      </c>
      <c r="AE17" s="14">
        <v>0.14000000000000001</v>
      </c>
      <c r="AF17" s="14">
        <v>0.2</v>
      </c>
    </row>
    <row r="18" spans="1:32">
      <c r="A18" s="19"/>
      <c r="B18" s="11" t="s">
        <v>494</v>
      </c>
      <c r="C18" s="12">
        <v>992</v>
      </c>
      <c r="D18" s="12">
        <v>47</v>
      </c>
      <c r="E18" s="12">
        <v>36</v>
      </c>
      <c r="F18" s="12">
        <v>39</v>
      </c>
      <c r="G18" s="12">
        <v>15</v>
      </c>
      <c r="H18" s="12">
        <v>38</v>
      </c>
      <c r="I18" s="12">
        <v>54</v>
      </c>
      <c r="J18" s="12">
        <v>16</v>
      </c>
      <c r="K18" s="12">
        <v>26</v>
      </c>
      <c r="L18" s="12">
        <v>13</v>
      </c>
      <c r="M18" s="12">
        <v>39</v>
      </c>
      <c r="N18" s="12">
        <v>67</v>
      </c>
      <c r="O18" s="12">
        <v>20</v>
      </c>
      <c r="P18" s="12">
        <v>48</v>
      </c>
      <c r="Q18" s="12">
        <v>15</v>
      </c>
      <c r="R18" s="12">
        <v>9</v>
      </c>
      <c r="S18" s="12">
        <v>5</v>
      </c>
      <c r="T18" s="12">
        <v>14</v>
      </c>
      <c r="U18" s="12">
        <v>5</v>
      </c>
      <c r="V18" s="12">
        <v>103</v>
      </c>
      <c r="W18" s="12">
        <v>7</v>
      </c>
      <c r="X18" s="12">
        <v>35</v>
      </c>
      <c r="Y18" s="12">
        <v>77</v>
      </c>
      <c r="Z18" s="12">
        <v>48</v>
      </c>
      <c r="AA18" s="12">
        <v>5</v>
      </c>
      <c r="AB18" s="12">
        <v>72</v>
      </c>
      <c r="AC18" s="12">
        <v>37</v>
      </c>
      <c r="AD18" s="12">
        <v>28</v>
      </c>
      <c r="AE18" s="12">
        <v>18</v>
      </c>
      <c r="AF18" s="12">
        <v>71</v>
      </c>
    </row>
    <row r="19" spans="1:32">
      <c r="A19" s="19"/>
      <c r="B19" s="13" t="s">
        <v>708</v>
      </c>
      <c r="C19" s="14">
        <v>0.04</v>
      </c>
      <c r="D19" s="14">
        <v>0.05</v>
      </c>
      <c r="E19" s="14">
        <v>0.03</v>
      </c>
      <c r="F19" s="14">
        <v>0.04</v>
      </c>
      <c r="G19" s="14">
        <v>0.01</v>
      </c>
      <c r="H19" s="14">
        <v>0.03</v>
      </c>
      <c r="I19" s="14">
        <v>0.04</v>
      </c>
      <c r="J19" s="14">
        <v>0.05</v>
      </c>
      <c r="K19" s="14">
        <v>0.03</v>
      </c>
      <c r="L19" s="14">
        <v>0.01</v>
      </c>
      <c r="M19" s="14">
        <v>0.04</v>
      </c>
      <c r="N19" s="14">
        <v>7.0000000000000007E-2</v>
      </c>
      <c r="O19" s="14">
        <v>0.02</v>
      </c>
      <c r="P19" s="14">
        <v>0.05</v>
      </c>
      <c r="Q19" s="14">
        <v>0.01</v>
      </c>
      <c r="R19" s="14">
        <v>0.02</v>
      </c>
      <c r="S19" s="15" t="s">
        <v>375</v>
      </c>
      <c r="T19" s="14">
        <v>0.01</v>
      </c>
      <c r="U19" s="14">
        <v>0.01</v>
      </c>
      <c r="V19" s="14">
        <v>0.1</v>
      </c>
      <c r="W19" s="14">
        <v>0.01</v>
      </c>
      <c r="X19" s="14">
        <v>0.04</v>
      </c>
      <c r="Y19" s="14">
        <v>0.08</v>
      </c>
      <c r="Z19" s="14">
        <v>0.05</v>
      </c>
      <c r="AA19" s="14">
        <v>0.01</v>
      </c>
      <c r="AB19" s="14">
        <v>7.0000000000000007E-2</v>
      </c>
      <c r="AC19" s="14">
        <v>0.04</v>
      </c>
      <c r="AD19" s="14">
        <v>0.03</v>
      </c>
      <c r="AE19" s="14">
        <v>0.02</v>
      </c>
      <c r="AF19" s="14">
        <v>7.0000000000000007E-2</v>
      </c>
    </row>
    <row r="20" spans="1:32">
      <c r="A20" s="19"/>
      <c r="B20" s="11" t="s">
        <v>386</v>
      </c>
      <c r="C20" s="12">
        <v>4330</v>
      </c>
      <c r="D20" s="12">
        <v>123</v>
      </c>
      <c r="E20" s="12">
        <v>281</v>
      </c>
      <c r="F20" s="12">
        <v>105</v>
      </c>
      <c r="G20" s="12">
        <v>229</v>
      </c>
      <c r="H20" s="12">
        <v>230</v>
      </c>
      <c r="I20" s="12">
        <v>253</v>
      </c>
      <c r="J20" s="12">
        <v>23</v>
      </c>
      <c r="K20" s="12">
        <v>157</v>
      </c>
      <c r="L20" s="12">
        <v>236</v>
      </c>
      <c r="M20" s="12">
        <v>129</v>
      </c>
      <c r="N20" s="12">
        <v>224</v>
      </c>
      <c r="O20" s="12">
        <v>215</v>
      </c>
      <c r="P20" s="12">
        <v>77</v>
      </c>
      <c r="Q20" s="12">
        <v>112</v>
      </c>
      <c r="R20" s="12">
        <v>23</v>
      </c>
      <c r="S20" s="12">
        <v>150</v>
      </c>
      <c r="T20" s="12">
        <v>198</v>
      </c>
      <c r="U20" s="12">
        <v>100</v>
      </c>
      <c r="V20" s="12">
        <v>51</v>
      </c>
      <c r="W20" s="12">
        <v>25</v>
      </c>
      <c r="X20" s="12">
        <v>173</v>
      </c>
      <c r="Y20" s="12">
        <v>106</v>
      </c>
      <c r="Z20" s="12">
        <v>93</v>
      </c>
      <c r="AA20" s="12">
        <v>284</v>
      </c>
      <c r="AB20" s="12">
        <v>153</v>
      </c>
      <c r="AC20" s="12">
        <v>75</v>
      </c>
      <c r="AD20" s="12">
        <v>88</v>
      </c>
      <c r="AE20" s="12">
        <v>203</v>
      </c>
      <c r="AF20" s="12">
        <v>289</v>
      </c>
    </row>
    <row r="21" spans="1:32">
      <c r="A21" s="19"/>
      <c r="B21" s="13" t="s">
        <v>399</v>
      </c>
      <c r="C21" s="14">
        <v>0.16</v>
      </c>
      <c r="D21" s="14">
        <v>0.12</v>
      </c>
      <c r="E21" s="14">
        <v>0.27</v>
      </c>
      <c r="F21" s="14">
        <v>0.1</v>
      </c>
      <c r="G21" s="14">
        <v>0.23</v>
      </c>
      <c r="H21" s="14">
        <v>0.19</v>
      </c>
      <c r="I21" s="14">
        <v>0.16</v>
      </c>
      <c r="J21" s="14">
        <v>0.08</v>
      </c>
      <c r="K21" s="14">
        <v>0.16</v>
      </c>
      <c r="L21" s="14">
        <v>0.24</v>
      </c>
      <c r="M21" s="14">
        <v>0.13</v>
      </c>
      <c r="N21" s="14">
        <v>0.22</v>
      </c>
      <c r="O21" s="14">
        <v>0.21</v>
      </c>
      <c r="P21" s="14">
        <v>0.08</v>
      </c>
      <c r="Q21" s="14">
        <v>0.11</v>
      </c>
      <c r="R21" s="14">
        <v>0.04</v>
      </c>
      <c r="S21" s="14">
        <v>0.15</v>
      </c>
      <c r="T21" s="14">
        <v>0.19</v>
      </c>
      <c r="U21" s="14">
        <v>0.2</v>
      </c>
      <c r="V21" s="14">
        <v>0.05</v>
      </c>
      <c r="W21" s="14">
        <v>0.05</v>
      </c>
      <c r="X21" s="14">
        <v>0.17</v>
      </c>
      <c r="Y21" s="14">
        <v>0.1</v>
      </c>
      <c r="Z21" s="14">
        <v>0.09</v>
      </c>
      <c r="AA21" s="14">
        <v>0.27</v>
      </c>
      <c r="AB21" s="14">
        <v>0.15</v>
      </c>
      <c r="AC21" s="14">
        <v>7.0000000000000007E-2</v>
      </c>
      <c r="AD21" s="14">
        <v>0.09</v>
      </c>
      <c r="AE21" s="14">
        <v>0.2</v>
      </c>
      <c r="AF21" s="14">
        <v>0.28000000000000003</v>
      </c>
    </row>
    <row r="22" spans="1:32">
      <c r="A22" s="19"/>
      <c r="B22" s="11" t="s">
        <v>496</v>
      </c>
      <c r="C22" s="12">
        <v>16905</v>
      </c>
      <c r="D22" s="12">
        <v>543</v>
      </c>
      <c r="E22" s="12">
        <v>580</v>
      </c>
      <c r="F22" s="12">
        <v>679</v>
      </c>
      <c r="G22" s="12">
        <v>700</v>
      </c>
      <c r="H22" s="12">
        <v>742</v>
      </c>
      <c r="I22" s="12">
        <v>944</v>
      </c>
      <c r="J22" s="12">
        <v>202</v>
      </c>
      <c r="K22" s="12">
        <v>691</v>
      </c>
      <c r="L22" s="12">
        <v>682</v>
      </c>
      <c r="M22" s="12">
        <v>699</v>
      </c>
      <c r="N22" s="12">
        <v>629</v>
      </c>
      <c r="O22" s="12">
        <v>652</v>
      </c>
      <c r="P22" s="12">
        <v>681</v>
      </c>
      <c r="Q22" s="12">
        <v>763</v>
      </c>
      <c r="R22" s="12">
        <v>431</v>
      </c>
      <c r="S22" s="12">
        <v>743</v>
      </c>
      <c r="T22" s="12">
        <v>732</v>
      </c>
      <c r="U22" s="12">
        <v>350</v>
      </c>
      <c r="V22" s="12">
        <v>613</v>
      </c>
      <c r="W22" s="12">
        <v>425</v>
      </c>
      <c r="X22" s="12">
        <v>523</v>
      </c>
      <c r="Y22" s="12">
        <v>672</v>
      </c>
      <c r="Z22" s="12">
        <v>723</v>
      </c>
      <c r="AA22" s="12">
        <v>490</v>
      </c>
      <c r="AB22" s="12">
        <v>561</v>
      </c>
      <c r="AC22" s="12">
        <v>728</v>
      </c>
      <c r="AD22" s="12">
        <v>751</v>
      </c>
      <c r="AE22" s="12">
        <v>636</v>
      </c>
      <c r="AF22" s="12">
        <v>465</v>
      </c>
    </row>
    <row r="23" spans="1:32">
      <c r="A23" s="19"/>
      <c r="B23" s="13" t="s">
        <v>497</v>
      </c>
      <c r="C23" s="14">
        <v>0.64</v>
      </c>
      <c r="D23" s="14">
        <v>0.53</v>
      </c>
      <c r="E23" s="14">
        <v>0.56000000000000005</v>
      </c>
      <c r="F23" s="14">
        <v>0.63</v>
      </c>
      <c r="G23" s="14">
        <v>0.69000000000000006</v>
      </c>
      <c r="H23" s="14">
        <v>0.6</v>
      </c>
      <c r="I23" s="14">
        <v>0.62</v>
      </c>
      <c r="J23" s="14">
        <v>0.68</v>
      </c>
      <c r="K23" s="14">
        <v>0.68</v>
      </c>
      <c r="L23" s="14">
        <v>0.68</v>
      </c>
      <c r="M23" s="14">
        <v>0.69000000000000006</v>
      </c>
      <c r="N23" s="14">
        <v>0.62</v>
      </c>
      <c r="O23" s="14">
        <v>0.65</v>
      </c>
      <c r="P23" s="14">
        <v>0.67</v>
      </c>
      <c r="Q23" s="14">
        <v>0.74</v>
      </c>
      <c r="R23" s="14">
        <v>0.86</v>
      </c>
      <c r="S23" s="14">
        <v>0.74</v>
      </c>
      <c r="T23" s="14">
        <v>0.72</v>
      </c>
      <c r="U23" s="14">
        <v>0.68</v>
      </c>
      <c r="V23" s="14">
        <v>0.6</v>
      </c>
      <c r="W23" s="14">
        <v>0.85</v>
      </c>
      <c r="X23" s="14">
        <v>0.51</v>
      </c>
      <c r="Y23" s="14">
        <v>0.67</v>
      </c>
      <c r="Z23" s="14">
        <v>0.71</v>
      </c>
      <c r="AA23" s="14">
        <v>0.47</v>
      </c>
      <c r="AB23" s="14">
        <v>0.54</v>
      </c>
      <c r="AC23" s="14">
        <v>0.72</v>
      </c>
      <c r="AD23" s="14">
        <v>0.75</v>
      </c>
      <c r="AE23" s="14">
        <v>0.64</v>
      </c>
      <c r="AF23" s="14">
        <v>0.45</v>
      </c>
    </row>
    <row r="24" spans="1:32">
      <c r="A24" s="19"/>
      <c r="B24" s="11" t="s">
        <v>498</v>
      </c>
      <c r="C24" s="12">
        <v>5217</v>
      </c>
      <c r="D24" s="12">
        <v>355</v>
      </c>
      <c r="E24" s="12">
        <v>185</v>
      </c>
      <c r="F24" s="12">
        <v>281</v>
      </c>
      <c r="G24" s="12">
        <v>87</v>
      </c>
      <c r="H24" s="12">
        <v>258</v>
      </c>
      <c r="I24" s="12">
        <v>330</v>
      </c>
      <c r="J24" s="12">
        <v>72</v>
      </c>
      <c r="K24" s="12">
        <v>159</v>
      </c>
      <c r="L24" s="12">
        <v>88</v>
      </c>
      <c r="M24" s="12">
        <v>178</v>
      </c>
      <c r="N24" s="12">
        <v>159</v>
      </c>
      <c r="O24" s="12">
        <v>136</v>
      </c>
      <c r="P24" s="12">
        <v>245</v>
      </c>
      <c r="Q24" s="12">
        <v>157</v>
      </c>
      <c r="R24" s="12">
        <v>48</v>
      </c>
      <c r="S24" s="12">
        <v>111</v>
      </c>
      <c r="T24" s="12">
        <v>94</v>
      </c>
      <c r="U24" s="12">
        <v>59</v>
      </c>
      <c r="V24" s="12">
        <v>363</v>
      </c>
      <c r="W24" s="12">
        <v>53</v>
      </c>
      <c r="X24" s="12">
        <v>314</v>
      </c>
      <c r="Y24" s="12">
        <v>225</v>
      </c>
      <c r="Z24" s="12">
        <v>200</v>
      </c>
      <c r="AA24" s="12">
        <v>262</v>
      </c>
      <c r="AB24" s="12">
        <v>327</v>
      </c>
      <c r="AC24" s="12">
        <v>203</v>
      </c>
      <c r="AD24" s="12">
        <v>164</v>
      </c>
      <c r="AE24" s="12">
        <v>161</v>
      </c>
      <c r="AF24" s="12">
        <v>277</v>
      </c>
    </row>
    <row r="25" spans="1:32">
      <c r="A25" s="19"/>
      <c r="B25" s="13" t="s">
        <v>499</v>
      </c>
      <c r="C25" s="14">
        <v>0.2</v>
      </c>
      <c r="D25" s="14">
        <v>0.35</v>
      </c>
      <c r="E25" s="14">
        <v>0.17</v>
      </c>
      <c r="F25" s="14">
        <v>0.27</v>
      </c>
      <c r="G25" s="14">
        <v>0.08</v>
      </c>
      <c r="H25" s="14">
        <v>0.21</v>
      </c>
      <c r="I25" s="14">
        <v>0.22</v>
      </c>
      <c r="J25" s="14">
        <v>0.24</v>
      </c>
      <c r="K25" s="14">
        <v>0.16</v>
      </c>
      <c r="L25" s="14">
        <v>0.08</v>
      </c>
      <c r="M25" s="14">
        <v>0.18</v>
      </c>
      <c r="N25" s="14">
        <v>0.16</v>
      </c>
      <c r="O25" s="14">
        <v>0.14000000000000001</v>
      </c>
      <c r="P25" s="14">
        <v>0.25</v>
      </c>
      <c r="Q25" s="14">
        <v>0.15</v>
      </c>
      <c r="R25" s="14">
        <v>0.1</v>
      </c>
      <c r="S25" s="14">
        <v>0.11</v>
      </c>
      <c r="T25" s="14">
        <v>0.09</v>
      </c>
      <c r="U25" s="14">
        <v>0.12</v>
      </c>
      <c r="V25" s="14">
        <v>0.35</v>
      </c>
      <c r="W25" s="14">
        <v>0.1</v>
      </c>
      <c r="X25" s="14">
        <v>0.32</v>
      </c>
      <c r="Y25" s="14">
        <v>0.23</v>
      </c>
      <c r="Z25" s="14">
        <v>0.2</v>
      </c>
      <c r="AA25" s="14">
        <v>0.26</v>
      </c>
      <c r="AB25" s="14">
        <v>0.31</v>
      </c>
      <c r="AC25" s="14">
        <v>0.21</v>
      </c>
      <c r="AD25" s="14">
        <v>0.16</v>
      </c>
      <c r="AE25" s="14">
        <v>0.16</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729</v>
      </c>
      <c r="C3" s="17"/>
      <c r="D3" s="17"/>
      <c r="E3" s="17"/>
      <c r="F3" s="17"/>
      <c r="H3" s="17" t="s">
        <v>730</v>
      </c>
      <c r="I3" s="17"/>
      <c r="J3" s="17"/>
      <c r="K3" s="17"/>
      <c r="L3" s="17"/>
    </row>
    <row r="4" spans="1:32" ht="27" customHeight="1">
      <c r="B4" s="17" t="s">
        <v>731</v>
      </c>
      <c r="C4" s="17"/>
      <c r="D4" s="17"/>
      <c r="E4" s="17"/>
      <c r="F4" s="17"/>
      <c r="H4" s="17" t="s">
        <v>732</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HYPERLINK("#Content!A59","&lt;&lt;Back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3200</v>
      </c>
      <c r="D12" s="12">
        <v>100</v>
      </c>
      <c r="E12" s="12">
        <v>160</v>
      </c>
      <c r="F12" s="12">
        <v>140</v>
      </c>
      <c r="G12" s="12">
        <v>98</v>
      </c>
      <c r="H12" s="12">
        <v>139</v>
      </c>
      <c r="I12" s="12">
        <v>174</v>
      </c>
      <c r="J12" s="12">
        <v>34</v>
      </c>
      <c r="K12" s="12">
        <v>91</v>
      </c>
      <c r="L12" s="12">
        <v>136</v>
      </c>
      <c r="M12" s="12">
        <v>134</v>
      </c>
      <c r="N12" s="12">
        <v>100</v>
      </c>
      <c r="O12" s="12">
        <v>111</v>
      </c>
      <c r="P12" s="12">
        <v>125</v>
      </c>
      <c r="Q12" s="12">
        <v>155</v>
      </c>
      <c r="R12" s="12">
        <v>68</v>
      </c>
      <c r="S12" s="12">
        <v>100</v>
      </c>
      <c r="T12" s="12">
        <v>134</v>
      </c>
      <c r="U12" s="12">
        <v>36</v>
      </c>
      <c r="V12" s="12">
        <v>173</v>
      </c>
      <c r="W12" s="12">
        <v>65</v>
      </c>
      <c r="X12" s="12">
        <v>81</v>
      </c>
      <c r="Y12" s="12">
        <v>205</v>
      </c>
      <c r="Z12" s="12">
        <v>166</v>
      </c>
      <c r="AA12" s="12">
        <v>66</v>
      </c>
      <c r="AB12" s="12">
        <v>81</v>
      </c>
      <c r="AC12" s="12">
        <v>156</v>
      </c>
      <c r="AD12" s="12">
        <v>140</v>
      </c>
      <c r="AE12" s="12">
        <v>157</v>
      </c>
      <c r="AF12" s="12">
        <v>82</v>
      </c>
    </row>
    <row r="13" spans="1:32">
      <c r="A13" s="19"/>
      <c r="B13" s="13" t="s">
        <v>707</v>
      </c>
      <c r="C13" s="14">
        <v>0.12</v>
      </c>
      <c r="D13" s="14">
        <v>0.1</v>
      </c>
      <c r="E13" s="14">
        <v>0.15</v>
      </c>
      <c r="F13" s="14">
        <v>0.13</v>
      </c>
      <c r="G13" s="14">
        <v>0.1</v>
      </c>
      <c r="H13" s="14">
        <v>0.11</v>
      </c>
      <c r="I13" s="14">
        <v>0.11</v>
      </c>
      <c r="J13" s="14">
        <v>0.11</v>
      </c>
      <c r="K13" s="14">
        <v>0.09</v>
      </c>
      <c r="L13" s="14">
        <v>0.13</v>
      </c>
      <c r="M13" s="14">
        <v>0.13</v>
      </c>
      <c r="N13" s="14">
        <v>0.1</v>
      </c>
      <c r="O13" s="14">
        <v>0.11</v>
      </c>
      <c r="P13" s="14">
        <v>0.12</v>
      </c>
      <c r="Q13" s="14">
        <v>0.15</v>
      </c>
      <c r="R13" s="14">
        <v>0.14000000000000001</v>
      </c>
      <c r="S13" s="14">
        <v>0.1</v>
      </c>
      <c r="T13" s="14">
        <v>0.13</v>
      </c>
      <c r="U13" s="14">
        <v>7.0000000000000007E-2</v>
      </c>
      <c r="V13" s="14">
        <v>0.17</v>
      </c>
      <c r="W13" s="14">
        <v>0.13</v>
      </c>
      <c r="X13" s="14">
        <v>0.08</v>
      </c>
      <c r="Y13" s="14">
        <v>0.2</v>
      </c>
      <c r="Z13" s="14">
        <v>0.16</v>
      </c>
      <c r="AA13" s="14">
        <v>0.06</v>
      </c>
      <c r="AB13" s="14">
        <v>0.08</v>
      </c>
      <c r="AC13" s="14">
        <v>0.16</v>
      </c>
      <c r="AD13" s="14">
        <v>0.14000000000000001</v>
      </c>
      <c r="AE13" s="14">
        <v>0.16</v>
      </c>
      <c r="AF13" s="14">
        <v>0.08</v>
      </c>
    </row>
    <row r="14" spans="1:32">
      <c r="A14" s="19"/>
      <c r="B14" s="11" t="s">
        <v>490</v>
      </c>
      <c r="C14" s="12">
        <v>10194</v>
      </c>
      <c r="D14" s="12">
        <v>498</v>
      </c>
      <c r="E14" s="12">
        <v>416</v>
      </c>
      <c r="F14" s="12">
        <v>460</v>
      </c>
      <c r="G14" s="12">
        <v>298</v>
      </c>
      <c r="H14" s="12">
        <v>426</v>
      </c>
      <c r="I14" s="12">
        <v>521</v>
      </c>
      <c r="J14" s="12">
        <v>94</v>
      </c>
      <c r="K14" s="12">
        <v>309</v>
      </c>
      <c r="L14" s="12">
        <v>312</v>
      </c>
      <c r="M14" s="12">
        <v>384</v>
      </c>
      <c r="N14" s="12">
        <v>261</v>
      </c>
      <c r="O14" s="12">
        <v>363</v>
      </c>
      <c r="P14" s="12">
        <v>528</v>
      </c>
      <c r="Q14" s="12">
        <v>470</v>
      </c>
      <c r="R14" s="12">
        <v>172</v>
      </c>
      <c r="S14" s="12">
        <v>375</v>
      </c>
      <c r="T14" s="12">
        <v>368</v>
      </c>
      <c r="U14" s="12">
        <v>206</v>
      </c>
      <c r="V14" s="12">
        <v>471</v>
      </c>
      <c r="W14" s="12">
        <v>194</v>
      </c>
      <c r="X14" s="12">
        <v>375</v>
      </c>
      <c r="Y14" s="12">
        <v>302</v>
      </c>
      <c r="Z14" s="12">
        <v>509</v>
      </c>
      <c r="AA14" s="12">
        <v>478</v>
      </c>
      <c r="AB14" s="12">
        <v>453</v>
      </c>
      <c r="AC14" s="12">
        <v>481</v>
      </c>
      <c r="AD14" s="12">
        <v>427</v>
      </c>
      <c r="AE14" s="12">
        <v>449</v>
      </c>
      <c r="AF14" s="12">
        <v>372</v>
      </c>
    </row>
    <row r="15" spans="1:32">
      <c r="A15" s="19"/>
      <c r="B15" s="13" t="s">
        <v>491</v>
      </c>
      <c r="C15" s="14">
        <v>0.38</v>
      </c>
      <c r="D15" s="14">
        <v>0.49</v>
      </c>
      <c r="E15" s="14">
        <v>0.4</v>
      </c>
      <c r="F15" s="14">
        <v>0.43</v>
      </c>
      <c r="G15" s="14">
        <v>0.28999999999999998</v>
      </c>
      <c r="H15" s="14">
        <v>0.35</v>
      </c>
      <c r="I15" s="14">
        <v>0.34</v>
      </c>
      <c r="J15" s="14">
        <v>0.32</v>
      </c>
      <c r="K15" s="14">
        <v>0.31</v>
      </c>
      <c r="L15" s="14">
        <v>0.31</v>
      </c>
      <c r="M15" s="14">
        <v>0.38</v>
      </c>
      <c r="N15" s="14">
        <v>0.26</v>
      </c>
      <c r="O15" s="14">
        <v>0.36</v>
      </c>
      <c r="P15" s="14">
        <v>0.53</v>
      </c>
      <c r="Q15" s="14">
        <v>0.46</v>
      </c>
      <c r="R15" s="14">
        <v>0.34</v>
      </c>
      <c r="S15" s="14">
        <v>0.37</v>
      </c>
      <c r="T15" s="14">
        <v>0.36</v>
      </c>
      <c r="U15" s="14">
        <v>0.41</v>
      </c>
      <c r="V15" s="14">
        <v>0.46</v>
      </c>
      <c r="W15" s="14">
        <v>0.39</v>
      </c>
      <c r="X15" s="14">
        <v>0.37</v>
      </c>
      <c r="Y15" s="14">
        <v>0.3</v>
      </c>
      <c r="Z15" s="14">
        <v>0.5</v>
      </c>
      <c r="AA15" s="14">
        <v>0.46</v>
      </c>
      <c r="AB15" s="14">
        <v>0.43</v>
      </c>
      <c r="AC15" s="14">
        <v>0.48</v>
      </c>
      <c r="AD15" s="14">
        <v>0.43</v>
      </c>
      <c r="AE15" s="14">
        <v>0.45</v>
      </c>
      <c r="AF15" s="14">
        <v>0.36</v>
      </c>
    </row>
    <row r="16" spans="1:32">
      <c r="A16" s="19"/>
      <c r="B16" s="11" t="s">
        <v>492</v>
      </c>
      <c r="C16" s="12">
        <v>7566</v>
      </c>
      <c r="D16" s="12">
        <v>323</v>
      </c>
      <c r="E16" s="12">
        <v>251</v>
      </c>
      <c r="F16" s="12">
        <v>341</v>
      </c>
      <c r="G16" s="12">
        <v>336</v>
      </c>
      <c r="H16" s="12">
        <v>383</v>
      </c>
      <c r="I16" s="12">
        <v>498</v>
      </c>
      <c r="J16" s="12">
        <v>115</v>
      </c>
      <c r="K16" s="12">
        <v>364</v>
      </c>
      <c r="L16" s="12">
        <v>281</v>
      </c>
      <c r="M16" s="12">
        <v>320</v>
      </c>
      <c r="N16" s="12">
        <v>287</v>
      </c>
      <c r="O16" s="12">
        <v>272</v>
      </c>
      <c r="P16" s="12">
        <v>246</v>
      </c>
      <c r="Q16" s="12">
        <v>273</v>
      </c>
      <c r="R16" s="12">
        <v>146</v>
      </c>
      <c r="S16" s="12">
        <v>284</v>
      </c>
      <c r="T16" s="12">
        <v>303</v>
      </c>
      <c r="U16" s="12">
        <v>149</v>
      </c>
      <c r="V16" s="12">
        <v>282</v>
      </c>
      <c r="W16" s="12">
        <v>115</v>
      </c>
      <c r="X16" s="12">
        <v>344</v>
      </c>
      <c r="Y16" s="12">
        <v>270</v>
      </c>
      <c r="Z16" s="12">
        <v>244</v>
      </c>
      <c r="AA16" s="12">
        <v>192</v>
      </c>
      <c r="AB16" s="12">
        <v>313</v>
      </c>
      <c r="AC16" s="12">
        <v>245</v>
      </c>
      <c r="AD16" s="12">
        <v>307</v>
      </c>
      <c r="AE16" s="12">
        <v>258</v>
      </c>
      <c r="AF16" s="12">
        <v>294</v>
      </c>
    </row>
    <row r="17" spans="1:32">
      <c r="A17" s="19"/>
      <c r="B17" s="13" t="s">
        <v>493</v>
      </c>
      <c r="C17" s="14">
        <v>0.28999999999999998</v>
      </c>
      <c r="D17" s="14">
        <v>0.31</v>
      </c>
      <c r="E17" s="14">
        <v>0.24</v>
      </c>
      <c r="F17" s="14">
        <v>0.32</v>
      </c>
      <c r="G17" s="14">
        <v>0.33</v>
      </c>
      <c r="H17" s="14">
        <v>0.31</v>
      </c>
      <c r="I17" s="14">
        <v>0.33</v>
      </c>
      <c r="J17" s="14">
        <v>0.39</v>
      </c>
      <c r="K17" s="14">
        <v>0.36</v>
      </c>
      <c r="L17" s="14">
        <v>0.28000000000000003</v>
      </c>
      <c r="M17" s="14">
        <v>0.32</v>
      </c>
      <c r="N17" s="14">
        <v>0.28000000000000003</v>
      </c>
      <c r="O17" s="14">
        <v>0.27</v>
      </c>
      <c r="P17" s="14">
        <v>0.24</v>
      </c>
      <c r="Q17" s="14">
        <v>0.26</v>
      </c>
      <c r="R17" s="14">
        <v>0.28999999999999998</v>
      </c>
      <c r="S17" s="14">
        <v>0.28000000000000003</v>
      </c>
      <c r="T17" s="14">
        <v>0.3</v>
      </c>
      <c r="U17" s="14">
        <v>0.28999999999999998</v>
      </c>
      <c r="V17" s="14">
        <v>0.27</v>
      </c>
      <c r="W17" s="14">
        <v>0.23</v>
      </c>
      <c r="X17" s="14">
        <v>0.34</v>
      </c>
      <c r="Y17" s="14">
        <v>0.27</v>
      </c>
      <c r="Z17" s="14">
        <v>0.24</v>
      </c>
      <c r="AA17" s="14">
        <v>0.19</v>
      </c>
      <c r="AB17" s="14">
        <v>0.3</v>
      </c>
      <c r="AC17" s="14">
        <v>0.24</v>
      </c>
      <c r="AD17" s="14">
        <v>0.3</v>
      </c>
      <c r="AE17" s="14">
        <v>0.26</v>
      </c>
      <c r="AF17" s="14">
        <v>0.28999999999999998</v>
      </c>
    </row>
    <row r="18" spans="1:32">
      <c r="A18" s="19"/>
      <c r="B18" s="11" t="s">
        <v>494</v>
      </c>
      <c r="C18" s="12">
        <v>2109</v>
      </c>
      <c r="D18" s="12">
        <v>48</v>
      </c>
      <c r="E18" s="12">
        <v>46</v>
      </c>
      <c r="F18" s="12">
        <v>40</v>
      </c>
      <c r="G18" s="12">
        <v>119</v>
      </c>
      <c r="H18" s="12">
        <v>103</v>
      </c>
      <c r="I18" s="12">
        <v>139</v>
      </c>
      <c r="J18" s="12">
        <v>36</v>
      </c>
      <c r="K18" s="12">
        <v>128</v>
      </c>
      <c r="L18" s="12">
        <v>76</v>
      </c>
      <c r="M18" s="12">
        <v>86</v>
      </c>
      <c r="N18" s="12">
        <v>188</v>
      </c>
      <c r="O18" s="12">
        <v>61</v>
      </c>
      <c r="P18" s="12">
        <v>46</v>
      </c>
      <c r="Q18" s="12">
        <v>39</v>
      </c>
      <c r="R18" s="12">
        <v>62</v>
      </c>
      <c r="S18" s="12">
        <v>79</v>
      </c>
      <c r="T18" s="12">
        <v>91</v>
      </c>
      <c r="U18" s="12">
        <v>29</v>
      </c>
      <c r="V18" s="12">
        <v>74</v>
      </c>
      <c r="W18" s="12">
        <v>53</v>
      </c>
      <c r="X18" s="12">
        <v>60</v>
      </c>
      <c r="Y18" s="12">
        <v>139</v>
      </c>
      <c r="Z18" s="12">
        <v>49</v>
      </c>
      <c r="AA18" s="12">
        <v>33</v>
      </c>
      <c r="AB18" s="12">
        <v>70</v>
      </c>
      <c r="AC18" s="12">
        <v>73</v>
      </c>
      <c r="AD18" s="12">
        <v>47</v>
      </c>
      <c r="AE18" s="12">
        <v>46</v>
      </c>
      <c r="AF18" s="12">
        <v>144</v>
      </c>
    </row>
    <row r="19" spans="1:32">
      <c r="A19" s="19"/>
      <c r="B19" s="13" t="s">
        <v>708</v>
      </c>
      <c r="C19" s="14">
        <v>0.08</v>
      </c>
      <c r="D19" s="14">
        <v>0.05</v>
      </c>
      <c r="E19" s="14">
        <v>0.04</v>
      </c>
      <c r="F19" s="14">
        <v>0.04</v>
      </c>
      <c r="G19" s="14">
        <v>0.12</v>
      </c>
      <c r="H19" s="14">
        <v>0.08</v>
      </c>
      <c r="I19" s="14">
        <v>0.09</v>
      </c>
      <c r="J19" s="14">
        <v>0.12</v>
      </c>
      <c r="K19" s="14">
        <v>0.13</v>
      </c>
      <c r="L19" s="14">
        <v>0.08</v>
      </c>
      <c r="M19" s="14">
        <v>0.09</v>
      </c>
      <c r="N19" s="14">
        <v>0.19</v>
      </c>
      <c r="O19" s="14">
        <v>0.06</v>
      </c>
      <c r="P19" s="14">
        <v>0.05</v>
      </c>
      <c r="Q19" s="14">
        <v>0.04</v>
      </c>
      <c r="R19" s="14">
        <v>0.12</v>
      </c>
      <c r="S19" s="14">
        <v>0.08</v>
      </c>
      <c r="T19" s="14">
        <v>0.09</v>
      </c>
      <c r="U19" s="14">
        <v>0.06</v>
      </c>
      <c r="V19" s="14">
        <v>7.0000000000000007E-2</v>
      </c>
      <c r="W19" s="14">
        <v>0.1</v>
      </c>
      <c r="X19" s="14">
        <v>0.06</v>
      </c>
      <c r="Y19" s="14">
        <v>0.14000000000000001</v>
      </c>
      <c r="Z19" s="14">
        <v>0.05</v>
      </c>
      <c r="AA19" s="14">
        <v>0.03</v>
      </c>
      <c r="AB19" s="14">
        <v>7.0000000000000007E-2</v>
      </c>
      <c r="AC19" s="14">
        <v>7.0000000000000007E-2</v>
      </c>
      <c r="AD19" s="14">
        <v>0.05</v>
      </c>
      <c r="AE19" s="14">
        <v>0.04</v>
      </c>
      <c r="AF19" s="14">
        <v>0.14000000000000001</v>
      </c>
    </row>
    <row r="20" spans="1:32">
      <c r="A20" s="19"/>
      <c r="B20" s="11" t="s">
        <v>386</v>
      </c>
      <c r="C20" s="12">
        <v>3383</v>
      </c>
      <c r="D20" s="12">
        <v>52</v>
      </c>
      <c r="E20" s="12">
        <v>173</v>
      </c>
      <c r="F20" s="12">
        <v>83</v>
      </c>
      <c r="G20" s="12">
        <v>164</v>
      </c>
      <c r="H20" s="12">
        <v>178</v>
      </c>
      <c r="I20" s="12">
        <v>195</v>
      </c>
      <c r="J20" s="12">
        <v>17</v>
      </c>
      <c r="K20" s="12">
        <v>115</v>
      </c>
      <c r="L20" s="12">
        <v>202</v>
      </c>
      <c r="M20" s="12">
        <v>82</v>
      </c>
      <c r="N20" s="12">
        <v>175</v>
      </c>
      <c r="O20" s="12">
        <v>196</v>
      </c>
      <c r="P20" s="12">
        <v>57</v>
      </c>
      <c r="Q20" s="12">
        <v>95</v>
      </c>
      <c r="R20" s="12">
        <v>53</v>
      </c>
      <c r="S20" s="12">
        <v>166</v>
      </c>
      <c r="T20" s="12">
        <v>127</v>
      </c>
      <c r="U20" s="12">
        <v>88</v>
      </c>
      <c r="V20" s="12">
        <v>27</v>
      </c>
      <c r="W20" s="12">
        <v>75</v>
      </c>
      <c r="X20" s="12">
        <v>150</v>
      </c>
      <c r="Y20" s="12">
        <v>88</v>
      </c>
      <c r="Z20" s="12">
        <v>47</v>
      </c>
      <c r="AA20" s="12">
        <v>267</v>
      </c>
      <c r="AB20" s="12">
        <v>124</v>
      </c>
      <c r="AC20" s="12">
        <v>51</v>
      </c>
      <c r="AD20" s="12">
        <v>82</v>
      </c>
      <c r="AE20" s="12">
        <v>92</v>
      </c>
      <c r="AF20" s="12">
        <v>139</v>
      </c>
    </row>
    <row r="21" spans="1:32">
      <c r="A21" s="19"/>
      <c r="B21" s="13" t="s">
        <v>399</v>
      </c>
      <c r="C21" s="14">
        <v>0.13</v>
      </c>
      <c r="D21" s="14">
        <v>0.05</v>
      </c>
      <c r="E21" s="14">
        <v>0.17</v>
      </c>
      <c r="F21" s="14">
        <v>0.08</v>
      </c>
      <c r="G21" s="14">
        <v>0.16</v>
      </c>
      <c r="H21" s="14">
        <v>0.15</v>
      </c>
      <c r="I21" s="14">
        <v>0.13</v>
      </c>
      <c r="J21" s="14">
        <v>0.06</v>
      </c>
      <c r="K21" s="14">
        <v>0.11</v>
      </c>
      <c r="L21" s="14">
        <v>0.2</v>
      </c>
      <c r="M21" s="14">
        <v>0.08</v>
      </c>
      <c r="N21" s="14">
        <v>0.17</v>
      </c>
      <c r="O21" s="14">
        <v>0.2</v>
      </c>
      <c r="P21" s="14">
        <v>0.06</v>
      </c>
      <c r="Q21" s="14">
        <v>0.09</v>
      </c>
      <c r="R21" s="14">
        <v>0.11</v>
      </c>
      <c r="S21" s="14">
        <v>0.17</v>
      </c>
      <c r="T21" s="14">
        <v>0.12</v>
      </c>
      <c r="U21" s="14">
        <v>0.17</v>
      </c>
      <c r="V21" s="14">
        <v>0.03</v>
      </c>
      <c r="W21" s="14">
        <v>0.15</v>
      </c>
      <c r="X21" s="14">
        <v>0.15</v>
      </c>
      <c r="Y21" s="14">
        <v>0.09</v>
      </c>
      <c r="Z21" s="14">
        <v>0.05</v>
      </c>
      <c r="AA21" s="14">
        <v>0.26</v>
      </c>
      <c r="AB21" s="14">
        <v>0.12</v>
      </c>
      <c r="AC21" s="14">
        <v>0.05</v>
      </c>
      <c r="AD21" s="14">
        <v>0.08</v>
      </c>
      <c r="AE21" s="14">
        <v>0.09</v>
      </c>
      <c r="AF21" s="14">
        <v>0.13</v>
      </c>
    </row>
    <row r="22" spans="1:32">
      <c r="A22" s="19"/>
      <c r="B22" s="11" t="s">
        <v>496</v>
      </c>
      <c r="C22" s="12">
        <v>13394</v>
      </c>
      <c r="D22" s="12">
        <v>598</v>
      </c>
      <c r="E22" s="12">
        <v>576</v>
      </c>
      <c r="F22" s="12">
        <v>600</v>
      </c>
      <c r="G22" s="12">
        <v>396</v>
      </c>
      <c r="H22" s="12">
        <v>565</v>
      </c>
      <c r="I22" s="12">
        <v>695</v>
      </c>
      <c r="J22" s="12">
        <v>128</v>
      </c>
      <c r="K22" s="12">
        <v>400</v>
      </c>
      <c r="L22" s="12">
        <v>448</v>
      </c>
      <c r="M22" s="12">
        <v>518</v>
      </c>
      <c r="N22" s="12">
        <v>361</v>
      </c>
      <c r="O22" s="12">
        <v>474</v>
      </c>
      <c r="P22" s="12">
        <v>653</v>
      </c>
      <c r="Q22" s="12">
        <v>625</v>
      </c>
      <c r="R22" s="12">
        <v>240</v>
      </c>
      <c r="S22" s="12">
        <v>475</v>
      </c>
      <c r="T22" s="12">
        <v>502</v>
      </c>
      <c r="U22" s="12">
        <v>242</v>
      </c>
      <c r="V22" s="12">
        <v>644</v>
      </c>
      <c r="W22" s="12">
        <v>259</v>
      </c>
      <c r="X22" s="12">
        <v>456</v>
      </c>
      <c r="Y22" s="12">
        <v>507</v>
      </c>
      <c r="Z22" s="12">
        <v>675</v>
      </c>
      <c r="AA22" s="12">
        <v>544</v>
      </c>
      <c r="AB22" s="12">
        <v>534</v>
      </c>
      <c r="AC22" s="12">
        <v>637</v>
      </c>
      <c r="AD22" s="12">
        <v>567</v>
      </c>
      <c r="AE22" s="12">
        <v>606</v>
      </c>
      <c r="AF22" s="12">
        <v>454</v>
      </c>
    </row>
    <row r="23" spans="1:32">
      <c r="A23" s="19"/>
      <c r="B23" s="13" t="s">
        <v>497</v>
      </c>
      <c r="C23" s="14">
        <v>0.5</v>
      </c>
      <c r="D23" s="14">
        <v>0.59</v>
      </c>
      <c r="E23" s="14">
        <v>0.55000000000000004</v>
      </c>
      <c r="F23" s="14">
        <v>0.56000000000000005</v>
      </c>
      <c r="G23" s="14">
        <v>0.39</v>
      </c>
      <c r="H23" s="14">
        <v>0.46</v>
      </c>
      <c r="I23" s="14">
        <v>0.45</v>
      </c>
      <c r="J23" s="14">
        <v>0.43</v>
      </c>
      <c r="K23" s="14">
        <v>0.4</v>
      </c>
      <c r="L23" s="14">
        <v>0.44</v>
      </c>
      <c r="M23" s="14">
        <v>0.51</v>
      </c>
      <c r="N23" s="14">
        <v>0.36</v>
      </c>
      <c r="O23" s="14">
        <v>0.47</v>
      </c>
      <c r="P23" s="14">
        <v>0.65</v>
      </c>
      <c r="Q23" s="14">
        <v>0.61</v>
      </c>
      <c r="R23" s="14">
        <v>0.48</v>
      </c>
      <c r="S23" s="14">
        <v>0.47</v>
      </c>
      <c r="T23" s="14">
        <v>0.49</v>
      </c>
      <c r="U23" s="14">
        <v>0.48</v>
      </c>
      <c r="V23" s="14">
        <v>0.63</v>
      </c>
      <c r="W23" s="14">
        <v>0.52</v>
      </c>
      <c r="X23" s="14">
        <v>0.45</v>
      </c>
      <c r="Y23" s="14">
        <v>0.5</v>
      </c>
      <c r="Z23" s="14">
        <v>0.66</v>
      </c>
      <c r="AA23" s="14">
        <v>0.52</v>
      </c>
      <c r="AB23" s="14">
        <v>0.51</v>
      </c>
      <c r="AC23" s="14">
        <v>0.64</v>
      </c>
      <c r="AD23" s="14">
        <v>0.57000000000000006</v>
      </c>
      <c r="AE23" s="14">
        <v>0.61</v>
      </c>
      <c r="AF23" s="14">
        <v>0.44</v>
      </c>
    </row>
    <row r="24" spans="1:32">
      <c r="A24" s="19"/>
      <c r="B24" s="11" t="s">
        <v>498</v>
      </c>
      <c r="C24" s="12">
        <v>9675</v>
      </c>
      <c r="D24" s="12">
        <v>371</v>
      </c>
      <c r="E24" s="12">
        <v>297</v>
      </c>
      <c r="F24" s="12">
        <v>381</v>
      </c>
      <c r="G24" s="12">
        <v>455</v>
      </c>
      <c r="H24" s="12">
        <v>486</v>
      </c>
      <c r="I24" s="12">
        <v>637</v>
      </c>
      <c r="J24" s="12">
        <v>151</v>
      </c>
      <c r="K24" s="12">
        <v>492</v>
      </c>
      <c r="L24" s="12">
        <v>357</v>
      </c>
      <c r="M24" s="12">
        <v>406</v>
      </c>
      <c r="N24" s="12">
        <v>475</v>
      </c>
      <c r="O24" s="12">
        <v>333</v>
      </c>
      <c r="P24" s="12">
        <v>292</v>
      </c>
      <c r="Q24" s="12">
        <v>312</v>
      </c>
      <c r="R24" s="12">
        <v>208</v>
      </c>
      <c r="S24" s="12">
        <v>363</v>
      </c>
      <c r="T24" s="12">
        <v>394</v>
      </c>
      <c r="U24" s="12">
        <v>178</v>
      </c>
      <c r="V24" s="12">
        <v>356</v>
      </c>
      <c r="W24" s="12">
        <v>168</v>
      </c>
      <c r="X24" s="12">
        <v>404</v>
      </c>
      <c r="Y24" s="12">
        <v>409</v>
      </c>
      <c r="Z24" s="12">
        <v>293</v>
      </c>
      <c r="AA24" s="12">
        <v>225</v>
      </c>
      <c r="AB24" s="12">
        <v>383</v>
      </c>
      <c r="AC24" s="12">
        <v>318</v>
      </c>
      <c r="AD24" s="12">
        <v>354</v>
      </c>
      <c r="AE24" s="12">
        <v>304</v>
      </c>
      <c r="AF24" s="12">
        <v>438</v>
      </c>
    </row>
    <row r="25" spans="1:32">
      <c r="A25" s="19"/>
      <c r="B25" s="13" t="s">
        <v>499</v>
      </c>
      <c r="C25" s="14">
        <v>0.37</v>
      </c>
      <c r="D25" s="14">
        <v>0.36</v>
      </c>
      <c r="E25" s="14">
        <v>0.28000000000000003</v>
      </c>
      <c r="F25" s="14">
        <v>0.36</v>
      </c>
      <c r="G25" s="14">
        <v>0.45</v>
      </c>
      <c r="H25" s="14">
        <v>0.39</v>
      </c>
      <c r="I25" s="14">
        <v>0.42</v>
      </c>
      <c r="J25" s="14">
        <v>0.51</v>
      </c>
      <c r="K25" s="14">
        <v>0.49</v>
      </c>
      <c r="L25" s="14">
        <v>0.36</v>
      </c>
      <c r="M25" s="14">
        <v>0.41</v>
      </c>
      <c r="N25" s="14">
        <v>0.47</v>
      </c>
      <c r="O25" s="14">
        <v>0.33</v>
      </c>
      <c r="P25" s="14">
        <v>0.28999999999999998</v>
      </c>
      <c r="Q25" s="14">
        <v>0.3</v>
      </c>
      <c r="R25" s="14">
        <v>0.41</v>
      </c>
      <c r="S25" s="14">
        <v>0.36</v>
      </c>
      <c r="T25" s="14">
        <v>0.39</v>
      </c>
      <c r="U25" s="14">
        <v>0.35</v>
      </c>
      <c r="V25" s="14">
        <v>0.34</v>
      </c>
      <c r="W25" s="14">
        <v>0.33</v>
      </c>
      <c r="X25" s="14">
        <v>0.4</v>
      </c>
      <c r="Y25" s="14">
        <v>0.41</v>
      </c>
      <c r="Z25" s="14">
        <v>0.28999999999999998</v>
      </c>
      <c r="AA25" s="14">
        <v>0.22</v>
      </c>
      <c r="AB25" s="14">
        <v>0.37</v>
      </c>
      <c r="AC25" s="14">
        <v>0.31</v>
      </c>
      <c r="AD25" s="14">
        <v>0.35</v>
      </c>
      <c r="AE25" s="14">
        <v>0.3</v>
      </c>
      <c r="AF25" s="14">
        <v>0.43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733</v>
      </c>
      <c r="C3" s="17"/>
      <c r="D3" s="17"/>
      <c r="E3" s="17"/>
      <c r="F3" s="17"/>
      <c r="H3" s="17" t="s">
        <v>734</v>
      </c>
      <c r="I3" s="17"/>
      <c r="J3" s="17"/>
      <c r="K3" s="17"/>
      <c r="L3" s="17"/>
    </row>
    <row r="4" spans="1:32" ht="27" customHeight="1">
      <c r="B4" s="17" t="s">
        <v>735</v>
      </c>
      <c r="C4" s="17"/>
      <c r="D4" s="17"/>
      <c r="E4" s="17"/>
      <c r="F4" s="17"/>
      <c r="H4" s="17" t="s">
        <v>736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3250</v>
      </c>
      <c r="D12" s="12">
        <v>87</v>
      </c>
      <c r="E12" s="12">
        <v>157</v>
      </c>
      <c r="F12" s="12">
        <v>132</v>
      </c>
      <c r="G12" s="12">
        <v>92</v>
      </c>
      <c r="H12" s="12">
        <v>155</v>
      </c>
      <c r="I12" s="12">
        <v>195</v>
      </c>
      <c r="J12" s="12">
        <v>40</v>
      </c>
      <c r="K12" s="12">
        <v>68</v>
      </c>
      <c r="L12" s="12">
        <v>125</v>
      </c>
      <c r="M12" s="12">
        <v>130</v>
      </c>
      <c r="N12" s="12">
        <v>104</v>
      </c>
      <c r="O12" s="12">
        <v>109</v>
      </c>
      <c r="P12" s="12">
        <v>144</v>
      </c>
      <c r="Q12" s="12">
        <v>166</v>
      </c>
      <c r="R12" s="12">
        <v>41</v>
      </c>
      <c r="S12" s="12">
        <v>95</v>
      </c>
      <c r="T12" s="12">
        <v>112</v>
      </c>
      <c r="U12" s="12">
        <v>25</v>
      </c>
      <c r="V12" s="12">
        <v>168</v>
      </c>
      <c r="W12" s="12">
        <v>64</v>
      </c>
      <c r="X12" s="12">
        <v>60</v>
      </c>
      <c r="Y12" s="12">
        <v>217</v>
      </c>
      <c r="Z12" s="12">
        <v>150</v>
      </c>
      <c r="AA12" s="12">
        <v>71</v>
      </c>
      <c r="AB12" s="12">
        <v>115</v>
      </c>
      <c r="AC12" s="12">
        <v>189</v>
      </c>
      <c r="AD12" s="12">
        <v>169</v>
      </c>
      <c r="AE12" s="12">
        <v>117</v>
      </c>
      <c r="AF12" s="12">
        <v>46</v>
      </c>
    </row>
    <row r="13" spans="1:32">
      <c r="A13" s="19"/>
      <c r="B13" s="13" t="s">
        <v>707</v>
      </c>
      <c r="C13" s="14">
        <v>0.12</v>
      </c>
      <c r="D13" s="14">
        <v>0.09</v>
      </c>
      <c r="E13" s="14">
        <v>0.15</v>
      </c>
      <c r="F13" s="14">
        <v>0.12</v>
      </c>
      <c r="G13" s="14">
        <v>0.09</v>
      </c>
      <c r="H13" s="14">
        <v>0.13</v>
      </c>
      <c r="I13" s="14">
        <v>0.13</v>
      </c>
      <c r="J13" s="14">
        <v>0.14000000000000001</v>
      </c>
      <c r="K13" s="14">
        <v>7.0000000000000007E-2</v>
      </c>
      <c r="L13" s="14">
        <v>0.12</v>
      </c>
      <c r="M13" s="14">
        <v>0.13</v>
      </c>
      <c r="N13" s="14">
        <v>0.1</v>
      </c>
      <c r="O13" s="14">
        <v>0.11</v>
      </c>
      <c r="P13" s="14">
        <v>0.14000000000000001</v>
      </c>
      <c r="Q13" s="14">
        <v>0.16</v>
      </c>
      <c r="R13" s="14">
        <v>0.09</v>
      </c>
      <c r="S13" s="14">
        <v>0.1</v>
      </c>
      <c r="T13" s="14">
        <v>0.11</v>
      </c>
      <c r="U13" s="14">
        <v>0.05</v>
      </c>
      <c r="V13" s="14">
        <v>0.16</v>
      </c>
      <c r="W13" s="14">
        <v>0.13</v>
      </c>
      <c r="X13" s="14">
        <v>0.06</v>
      </c>
      <c r="Y13" s="14">
        <v>0.22</v>
      </c>
      <c r="Z13" s="14">
        <v>0.15</v>
      </c>
      <c r="AA13" s="14">
        <v>7.0000000000000007E-2</v>
      </c>
      <c r="AB13" s="14">
        <v>0.11</v>
      </c>
      <c r="AC13" s="14">
        <v>0.19</v>
      </c>
      <c r="AD13" s="14">
        <v>0.17</v>
      </c>
      <c r="AE13" s="14">
        <v>0.12</v>
      </c>
      <c r="AF13" s="14">
        <v>0.04</v>
      </c>
    </row>
    <row r="14" spans="1:32">
      <c r="A14" s="19"/>
      <c r="B14" s="11" t="s">
        <v>490</v>
      </c>
      <c r="C14" s="12">
        <v>10114</v>
      </c>
      <c r="D14" s="12">
        <v>454</v>
      </c>
      <c r="E14" s="12">
        <v>429</v>
      </c>
      <c r="F14" s="12">
        <v>428</v>
      </c>
      <c r="G14" s="12">
        <v>349</v>
      </c>
      <c r="H14" s="12">
        <v>471</v>
      </c>
      <c r="I14" s="12">
        <v>573</v>
      </c>
      <c r="J14" s="12">
        <v>102</v>
      </c>
      <c r="K14" s="12">
        <v>246</v>
      </c>
      <c r="L14" s="12">
        <v>320</v>
      </c>
      <c r="M14" s="12">
        <v>352</v>
      </c>
      <c r="N14" s="12">
        <v>254</v>
      </c>
      <c r="O14" s="12">
        <v>345</v>
      </c>
      <c r="P14" s="12">
        <v>500</v>
      </c>
      <c r="Q14" s="12">
        <v>457</v>
      </c>
      <c r="R14" s="12">
        <v>197</v>
      </c>
      <c r="S14" s="12">
        <v>333</v>
      </c>
      <c r="T14" s="12">
        <v>320</v>
      </c>
      <c r="U14" s="12">
        <v>197</v>
      </c>
      <c r="V14" s="12">
        <v>451</v>
      </c>
      <c r="W14" s="12">
        <v>220</v>
      </c>
      <c r="X14" s="12">
        <v>393</v>
      </c>
      <c r="Y14" s="12">
        <v>299</v>
      </c>
      <c r="Z14" s="12">
        <v>512</v>
      </c>
      <c r="AA14" s="12">
        <v>499</v>
      </c>
      <c r="AB14" s="12">
        <v>446</v>
      </c>
      <c r="AC14" s="12">
        <v>467</v>
      </c>
      <c r="AD14" s="12">
        <v>399</v>
      </c>
      <c r="AE14" s="12">
        <v>401</v>
      </c>
      <c r="AF14" s="12">
        <v>305</v>
      </c>
    </row>
    <row r="15" spans="1:32">
      <c r="A15" s="19"/>
      <c r="B15" s="13" t="s">
        <v>491</v>
      </c>
      <c r="C15" s="14">
        <v>0.38</v>
      </c>
      <c r="D15" s="14">
        <v>0.44</v>
      </c>
      <c r="E15" s="14">
        <v>0.41</v>
      </c>
      <c r="F15" s="14">
        <v>0.4</v>
      </c>
      <c r="G15" s="14">
        <v>0.34</v>
      </c>
      <c r="H15" s="14">
        <v>0.38</v>
      </c>
      <c r="I15" s="14">
        <v>0.37</v>
      </c>
      <c r="J15" s="14">
        <v>0.34</v>
      </c>
      <c r="K15" s="14">
        <v>0.25</v>
      </c>
      <c r="L15" s="14">
        <v>0.32</v>
      </c>
      <c r="M15" s="14">
        <v>0.35</v>
      </c>
      <c r="N15" s="14">
        <v>0.25</v>
      </c>
      <c r="O15" s="14">
        <v>0.34</v>
      </c>
      <c r="P15" s="14">
        <v>0.5</v>
      </c>
      <c r="Q15" s="14">
        <v>0.44</v>
      </c>
      <c r="R15" s="14">
        <v>0.39</v>
      </c>
      <c r="S15" s="14">
        <v>0.33</v>
      </c>
      <c r="T15" s="14">
        <v>0.31</v>
      </c>
      <c r="U15" s="14">
        <v>0.39</v>
      </c>
      <c r="V15" s="14">
        <v>0.44</v>
      </c>
      <c r="W15" s="14">
        <v>0.44</v>
      </c>
      <c r="X15" s="14">
        <v>0.39</v>
      </c>
      <c r="Y15" s="14">
        <v>0.3</v>
      </c>
      <c r="Z15" s="14">
        <v>0.5</v>
      </c>
      <c r="AA15" s="14">
        <v>0.48</v>
      </c>
      <c r="AB15" s="14">
        <v>0.43</v>
      </c>
      <c r="AC15" s="14">
        <v>0.46</v>
      </c>
      <c r="AD15" s="14">
        <v>0.4</v>
      </c>
      <c r="AE15" s="14">
        <v>0.4</v>
      </c>
      <c r="AF15" s="14">
        <v>0.3</v>
      </c>
    </row>
    <row r="16" spans="1:32">
      <c r="A16" s="19"/>
      <c r="B16" s="11" t="s">
        <v>492</v>
      </c>
      <c r="C16" s="12">
        <v>7537</v>
      </c>
      <c r="D16" s="12">
        <v>348</v>
      </c>
      <c r="E16" s="12">
        <v>230</v>
      </c>
      <c r="F16" s="12">
        <v>368</v>
      </c>
      <c r="G16" s="12">
        <v>333</v>
      </c>
      <c r="H16" s="12">
        <v>380</v>
      </c>
      <c r="I16" s="12">
        <v>484</v>
      </c>
      <c r="J16" s="12">
        <v>104</v>
      </c>
      <c r="K16" s="12">
        <v>376</v>
      </c>
      <c r="L16" s="12">
        <v>282</v>
      </c>
      <c r="M16" s="12">
        <v>339</v>
      </c>
      <c r="N16" s="12">
        <v>265</v>
      </c>
      <c r="O16" s="12">
        <v>282</v>
      </c>
      <c r="P16" s="12">
        <v>261</v>
      </c>
      <c r="Q16" s="12">
        <v>251</v>
      </c>
      <c r="R16" s="12">
        <v>146</v>
      </c>
      <c r="S16" s="12">
        <v>335</v>
      </c>
      <c r="T16" s="12">
        <v>387</v>
      </c>
      <c r="U16" s="12">
        <v>157</v>
      </c>
      <c r="V16" s="12">
        <v>286</v>
      </c>
      <c r="W16" s="12">
        <v>118</v>
      </c>
      <c r="X16" s="12">
        <v>367</v>
      </c>
      <c r="Y16" s="12">
        <v>254</v>
      </c>
      <c r="Z16" s="12">
        <v>263</v>
      </c>
      <c r="AA16" s="12">
        <v>178</v>
      </c>
      <c r="AB16" s="12">
        <v>302</v>
      </c>
      <c r="AC16" s="12">
        <v>227</v>
      </c>
      <c r="AD16" s="12">
        <v>291</v>
      </c>
      <c r="AE16" s="12">
        <v>303</v>
      </c>
      <c r="AF16" s="12">
        <v>320</v>
      </c>
    </row>
    <row r="17" spans="1:32">
      <c r="A17" s="19"/>
      <c r="B17" s="13" t="s">
        <v>493</v>
      </c>
      <c r="C17" s="14">
        <v>0.28999999999999998</v>
      </c>
      <c r="D17" s="14">
        <v>0.34</v>
      </c>
      <c r="E17" s="14">
        <v>0.22</v>
      </c>
      <c r="F17" s="14">
        <v>0.35</v>
      </c>
      <c r="G17" s="14">
        <v>0.33</v>
      </c>
      <c r="H17" s="14">
        <v>0.31</v>
      </c>
      <c r="I17" s="14">
        <v>0.32</v>
      </c>
      <c r="J17" s="14">
        <v>0.35</v>
      </c>
      <c r="K17" s="14">
        <v>0.37</v>
      </c>
      <c r="L17" s="14">
        <v>0.28000000000000003</v>
      </c>
      <c r="M17" s="14">
        <v>0.34</v>
      </c>
      <c r="N17" s="14">
        <v>0.26</v>
      </c>
      <c r="O17" s="14">
        <v>0.28000000000000003</v>
      </c>
      <c r="P17" s="14">
        <v>0.26</v>
      </c>
      <c r="Q17" s="14">
        <v>0.25</v>
      </c>
      <c r="R17" s="14">
        <v>0.28999999999999998</v>
      </c>
      <c r="S17" s="14">
        <v>0.33</v>
      </c>
      <c r="T17" s="14">
        <v>0.38</v>
      </c>
      <c r="U17" s="14">
        <v>0.31</v>
      </c>
      <c r="V17" s="14">
        <v>0.28000000000000003</v>
      </c>
      <c r="W17" s="14">
        <v>0.24</v>
      </c>
      <c r="X17" s="14">
        <v>0.36</v>
      </c>
      <c r="Y17" s="14">
        <v>0.25</v>
      </c>
      <c r="Z17" s="14">
        <v>0.26</v>
      </c>
      <c r="AA17" s="14">
        <v>0.17</v>
      </c>
      <c r="AB17" s="14">
        <v>0.28999999999999998</v>
      </c>
      <c r="AC17" s="14">
        <v>0.23</v>
      </c>
      <c r="AD17" s="14">
        <v>0.28999999999999998</v>
      </c>
      <c r="AE17" s="14">
        <v>0.3</v>
      </c>
      <c r="AF17" s="14">
        <v>0.31</v>
      </c>
    </row>
    <row r="18" spans="1:32">
      <c r="A18" s="19"/>
      <c r="B18" s="11" t="s">
        <v>494</v>
      </c>
      <c r="C18" s="12">
        <v>2332</v>
      </c>
      <c r="D18" s="12">
        <v>65</v>
      </c>
      <c r="E18" s="12">
        <v>60</v>
      </c>
      <c r="F18" s="12">
        <v>55</v>
      </c>
      <c r="G18" s="12">
        <v>95</v>
      </c>
      <c r="H18" s="12">
        <v>115</v>
      </c>
      <c r="I18" s="12">
        <v>149</v>
      </c>
      <c r="J18" s="12">
        <v>34</v>
      </c>
      <c r="K18" s="12">
        <v>183</v>
      </c>
      <c r="L18" s="12">
        <v>80</v>
      </c>
      <c r="M18" s="12">
        <v>80</v>
      </c>
      <c r="N18" s="12">
        <v>172</v>
      </c>
      <c r="O18" s="12">
        <v>85</v>
      </c>
      <c r="P18" s="12">
        <v>35</v>
      </c>
      <c r="Q18" s="12">
        <v>52</v>
      </c>
      <c r="R18" s="12">
        <v>55</v>
      </c>
      <c r="S18" s="12">
        <v>101</v>
      </c>
      <c r="T18" s="12">
        <v>88</v>
      </c>
      <c r="U18" s="12">
        <v>34</v>
      </c>
      <c r="V18" s="12">
        <v>91</v>
      </c>
      <c r="W18" s="12">
        <v>58</v>
      </c>
      <c r="X18" s="12">
        <v>46</v>
      </c>
      <c r="Y18" s="12">
        <v>172</v>
      </c>
      <c r="Z18" s="12">
        <v>61</v>
      </c>
      <c r="AA18" s="12">
        <v>30</v>
      </c>
      <c r="AB18" s="12">
        <v>54</v>
      </c>
      <c r="AC18" s="12">
        <v>86</v>
      </c>
      <c r="AD18" s="12">
        <v>61</v>
      </c>
      <c r="AE18" s="12">
        <v>79</v>
      </c>
      <c r="AF18" s="12">
        <v>215</v>
      </c>
    </row>
    <row r="19" spans="1:32">
      <c r="A19" s="19"/>
      <c r="B19" s="13" t="s">
        <v>708</v>
      </c>
      <c r="C19" s="14">
        <v>0.09</v>
      </c>
      <c r="D19" s="14">
        <v>0.06</v>
      </c>
      <c r="E19" s="14">
        <v>0.06</v>
      </c>
      <c r="F19" s="14">
        <v>0.05</v>
      </c>
      <c r="G19" s="14">
        <v>0.09</v>
      </c>
      <c r="H19" s="14">
        <v>0.09</v>
      </c>
      <c r="I19" s="14">
        <v>0.1</v>
      </c>
      <c r="J19" s="14">
        <v>0.11</v>
      </c>
      <c r="K19" s="14">
        <v>0.18</v>
      </c>
      <c r="L19" s="14">
        <v>0.08</v>
      </c>
      <c r="M19" s="14">
        <v>0.08</v>
      </c>
      <c r="N19" s="14">
        <v>0.17</v>
      </c>
      <c r="O19" s="14">
        <v>0.09</v>
      </c>
      <c r="P19" s="14">
        <v>0.04</v>
      </c>
      <c r="Q19" s="14">
        <v>0.05</v>
      </c>
      <c r="R19" s="14">
        <v>0.11</v>
      </c>
      <c r="S19" s="14">
        <v>0.1</v>
      </c>
      <c r="T19" s="14">
        <v>0.09</v>
      </c>
      <c r="U19" s="14">
        <v>7.0000000000000007E-2</v>
      </c>
      <c r="V19" s="14">
        <v>0.09</v>
      </c>
      <c r="W19" s="14">
        <v>0.11</v>
      </c>
      <c r="X19" s="14">
        <v>0.05</v>
      </c>
      <c r="Y19" s="14">
        <v>0.17</v>
      </c>
      <c r="Z19" s="14">
        <v>0.06</v>
      </c>
      <c r="AA19" s="14">
        <v>0.03</v>
      </c>
      <c r="AB19" s="14">
        <v>0.05</v>
      </c>
      <c r="AC19" s="14">
        <v>0.09</v>
      </c>
      <c r="AD19" s="14">
        <v>0.06</v>
      </c>
      <c r="AE19" s="14">
        <v>0.08</v>
      </c>
      <c r="AF19" s="14">
        <v>0.21</v>
      </c>
    </row>
    <row r="20" spans="1:32">
      <c r="A20" s="19"/>
      <c r="B20" s="11" t="s">
        <v>386</v>
      </c>
      <c r="C20" s="12">
        <v>3220</v>
      </c>
      <c r="D20" s="12">
        <v>68</v>
      </c>
      <c r="E20" s="12">
        <v>171</v>
      </c>
      <c r="F20" s="12">
        <v>82</v>
      </c>
      <c r="G20" s="12">
        <v>147</v>
      </c>
      <c r="H20" s="12">
        <v>108</v>
      </c>
      <c r="I20" s="12">
        <v>126</v>
      </c>
      <c r="J20" s="12">
        <v>18</v>
      </c>
      <c r="K20" s="12">
        <v>133</v>
      </c>
      <c r="L20" s="12">
        <v>199</v>
      </c>
      <c r="M20" s="12">
        <v>106</v>
      </c>
      <c r="N20" s="12">
        <v>216</v>
      </c>
      <c r="O20" s="12">
        <v>184</v>
      </c>
      <c r="P20" s="12">
        <v>62</v>
      </c>
      <c r="Q20" s="12">
        <v>105</v>
      </c>
      <c r="R20" s="12">
        <v>61</v>
      </c>
      <c r="S20" s="12">
        <v>139</v>
      </c>
      <c r="T20" s="12">
        <v>115</v>
      </c>
      <c r="U20" s="12">
        <v>94</v>
      </c>
      <c r="V20" s="12">
        <v>29</v>
      </c>
      <c r="W20" s="12">
        <v>42</v>
      </c>
      <c r="X20" s="12">
        <v>143</v>
      </c>
      <c r="Y20" s="12">
        <v>61</v>
      </c>
      <c r="Z20" s="12">
        <v>29</v>
      </c>
      <c r="AA20" s="12">
        <v>260</v>
      </c>
      <c r="AB20" s="12">
        <v>124</v>
      </c>
      <c r="AC20" s="12">
        <v>35</v>
      </c>
      <c r="AD20" s="12">
        <v>83</v>
      </c>
      <c r="AE20" s="12">
        <v>101</v>
      </c>
      <c r="AF20" s="12">
        <v>144</v>
      </c>
    </row>
    <row r="21" spans="1:32">
      <c r="A21" s="19"/>
      <c r="B21" s="13" t="s">
        <v>399</v>
      </c>
      <c r="C21" s="14">
        <v>0.12</v>
      </c>
      <c r="D21" s="14">
        <v>7.0000000000000007E-2</v>
      </c>
      <c r="E21" s="14">
        <v>0.16</v>
      </c>
      <c r="F21" s="14">
        <v>0.08</v>
      </c>
      <c r="G21" s="14">
        <v>0.15</v>
      </c>
      <c r="H21" s="14">
        <v>0.09</v>
      </c>
      <c r="I21" s="14">
        <v>0.08</v>
      </c>
      <c r="J21" s="14">
        <v>0.06</v>
      </c>
      <c r="K21" s="14">
        <v>0.13</v>
      </c>
      <c r="L21" s="14">
        <v>0.2</v>
      </c>
      <c r="M21" s="14">
        <v>0.1</v>
      </c>
      <c r="N21" s="14">
        <v>0.22</v>
      </c>
      <c r="O21" s="14">
        <v>0.18</v>
      </c>
      <c r="P21" s="14">
        <v>0.06</v>
      </c>
      <c r="Q21" s="14">
        <v>0.1</v>
      </c>
      <c r="R21" s="14">
        <v>0.12</v>
      </c>
      <c r="S21" s="14">
        <v>0.14000000000000001</v>
      </c>
      <c r="T21" s="14">
        <v>0.11</v>
      </c>
      <c r="U21" s="14">
        <v>0.18</v>
      </c>
      <c r="V21" s="14">
        <v>0.03</v>
      </c>
      <c r="W21" s="14">
        <v>0.08</v>
      </c>
      <c r="X21" s="14">
        <v>0.14000000000000001</v>
      </c>
      <c r="Y21" s="14">
        <v>0.06</v>
      </c>
      <c r="Z21" s="14">
        <v>0.03</v>
      </c>
      <c r="AA21" s="14">
        <v>0.25</v>
      </c>
      <c r="AB21" s="14">
        <v>0.12</v>
      </c>
      <c r="AC21" s="14">
        <v>0.03</v>
      </c>
      <c r="AD21" s="14">
        <v>0.08</v>
      </c>
      <c r="AE21" s="14">
        <v>0.1</v>
      </c>
      <c r="AF21" s="14">
        <v>0.14000000000000001</v>
      </c>
    </row>
    <row r="22" spans="1:32">
      <c r="A22" s="19"/>
      <c r="B22" s="11" t="s">
        <v>496</v>
      </c>
      <c r="C22" s="12">
        <v>13364</v>
      </c>
      <c r="D22" s="12">
        <v>541</v>
      </c>
      <c r="E22" s="12">
        <v>586</v>
      </c>
      <c r="F22" s="12">
        <v>560</v>
      </c>
      <c r="G22" s="12">
        <v>441</v>
      </c>
      <c r="H22" s="12">
        <v>626</v>
      </c>
      <c r="I22" s="12">
        <v>768</v>
      </c>
      <c r="J22" s="12">
        <v>142</v>
      </c>
      <c r="K22" s="12">
        <v>314</v>
      </c>
      <c r="L22" s="12">
        <v>445</v>
      </c>
      <c r="M22" s="12">
        <v>482</v>
      </c>
      <c r="N22" s="12">
        <v>358</v>
      </c>
      <c r="O22" s="12">
        <v>454</v>
      </c>
      <c r="P22" s="12">
        <v>644</v>
      </c>
      <c r="Q22" s="12">
        <v>623</v>
      </c>
      <c r="R22" s="12">
        <v>238</v>
      </c>
      <c r="S22" s="12">
        <v>428</v>
      </c>
      <c r="T22" s="12">
        <v>432</v>
      </c>
      <c r="U22" s="12">
        <v>222</v>
      </c>
      <c r="V22" s="12">
        <v>619</v>
      </c>
      <c r="W22" s="12">
        <v>284</v>
      </c>
      <c r="X22" s="12">
        <v>453</v>
      </c>
      <c r="Y22" s="12">
        <v>516</v>
      </c>
      <c r="Z22" s="12">
        <v>662</v>
      </c>
      <c r="AA22" s="12">
        <v>570</v>
      </c>
      <c r="AB22" s="12">
        <v>561</v>
      </c>
      <c r="AC22" s="12">
        <v>656</v>
      </c>
      <c r="AD22" s="12">
        <v>568</v>
      </c>
      <c r="AE22" s="12">
        <v>518</v>
      </c>
      <c r="AF22" s="12">
        <v>351</v>
      </c>
    </row>
    <row r="23" spans="1:32">
      <c r="A23" s="19"/>
      <c r="B23" s="13" t="s">
        <v>497</v>
      </c>
      <c r="C23" s="14">
        <v>0.5</v>
      </c>
      <c r="D23" s="14">
        <v>0.53</v>
      </c>
      <c r="E23" s="14">
        <v>0.56000000000000005</v>
      </c>
      <c r="F23" s="14">
        <v>0.52</v>
      </c>
      <c r="G23" s="14">
        <v>0.43</v>
      </c>
      <c r="H23" s="14">
        <v>0.51</v>
      </c>
      <c r="I23" s="14">
        <v>0.5</v>
      </c>
      <c r="J23" s="14">
        <v>0.48</v>
      </c>
      <c r="K23" s="14">
        <v>0.32</v>
      </c>
      <c r="L23" s="14">
        <v>0.44</v>
      </c>
      <c r="M23" s="14">
        <v>0.48</v>
      </c>
      <c r="N23" s="14">
        <v>0.35</v>
      </c>
      <c r="O23" s="14">
        <v>0.45</v>
      </c>
      <c r="P23" s="14">
        <v>0.64</v>
      </c>
      <c r="Q23" s="14">
        <v>0.6</v>
      </c>
      <c r="R23" s="14">
        <v>0.48</v>
      </c>
      <c r="S23" s="14">
        <v>0.43</v>
      </c>
      <c r="T23" s="14">
        <v>0.42</v>
      </c>
      <c r="U23" s="14">
        <v>0.44</v>
      </c>
      <c r="V23" s="14">
        <v>0.6</v>
      </c>
      <c r="W23" s="14">
        <v>0.57000000000000006</v>
      </c>
      <c r="X23" s="14">
        <v>0.45</v>
      </c>
      <c r="Y23" s="14">
        <v>0.52</v>
      </c>
      <c r="Z23" s="14">
        <v>0.65</v>
      </c>
      <c r="AA23" s="14">
        <v>0.55000000000000004</v>
      </c>
      <c r="AB23" s="14">
        <v>0.54</v>
      </c>
      <c r="AC23" s="14">
        <v>0.65</v>
      </c>
      <c r="AD23" s="14">
        <v>0.57000000000000006</v>
      </c>
      <c r="AE23" s="14">
        <v>0.52</v>
      </c>
      <c r="AF23" s="14">
        <v>0.34</v>
      </c>
    </row>
    <row r="24" spans="1:32">
      <c r="A24" s="19"/>
      <c r="B24" s="11" t="s">
        <v>498</v>
      </c>
      <c r="C24" s="12">
        <v>9869</v>
      </c>
      <c r="D24" s="12">
        <v>413</v>
      </c>
      <c r="E24" s="12">
        <v>290</v>
      </c>
      <c r="F24" s="12">
        <v>423</v>
      </c>
      <c r="G24" s="12">
        <v>428</v>
      </c>
      <c r="H24" s="12">
        <v>495</v>
      </c>
      <c r="I24" s="12">
        <v>633</v>
      </c>
      <c r="J24" s="12">
        <v>138</v>
      </c>
      <c r="K24" s="12">
        <v>559</v>
      </c>
      <c r="L24" s="12">
        <v>362</v>
      </c>
      <c r="M24" s="12">
        <v>419</v>
      </c>
      <c r="N24" s="12">
        <v>437</v>
      </c>
      <c r="O24" s="12">
        <v>367</v>
      </c>
      <c r="P24" s="12">
        <v>296</v>
      </c>
      <c r="Q24" s="12">
        <v>303</v>
      </c>
      <c r="R24" s="12">
        <v>201</v>
      </c>
      <c r="S24" s="12">
        <v>436</v>
      </c>
      <c r="T24" s="12">
        <v>475</v>
      </c>
      <c r="U24" s="12">
        <v>191</v>
      </c>
      <c r="V24" s="12">
        <v>377</v>
      </c>
      <c r="W24" s="12">
        <v>176</v>
      </c>
      <c r="X24" s="12">
        <v>413</v>
      </c>
      <c r="Y24" s="12">
        <v>426</v>
      </c>
      <c r="Z24" s="12">
        <v>324</v>
      </c>
      <c r="AA24" s="12">
        <v>208</v>
      </c>
      <c r="AB24" s="12">
        <v>356</v>
      </c>
      <c r="AC24" s="12">
        <v>313</v>
      </c>
      <c r="AD24" s="12">
        <v>352</v>
      </c>
      <c r="AE24" s="12">
        <v>382</v>
      </c>
      <c r="AF24" s="12">
        <v>535</v>
      </c>
    </row>
    <row r="25" spans="1:32">
      <c r="A25" s="19"/>
      <c r="B25" s="13" t="s">
        <v>499</v>
      </c>
      <c r="C25" s="14">
        <v>0.38</v>
      </c>
      <c r="D25" s="14">
        <v>0.4</v>
      </c>
      <c r="E25" s="14">
        <v>0.28000000000000003</v>
      </c>
      <c r="F25" s="14">
        <v>0.4</v>
      </c>
      <c r="G25" s="14">
        <v>0.42</v>
      </c>
      <c r="H25" s="14">
        <v>0.4</v>
      </c>
      <c r="I25" s="14">
        <v>0.42</v>
      </c>
      <c r="J25" s="14">
        <v>0.46</v>
      </c>
      <c r="K25" s="14">
        <v>0.55000000000000004</v>
      </c>
      <c r="L25" s="14">
        <v>0.36</v>
      </c>
      <c r="M25" s="14">
        <v>0.42</v>
      </c>
      <c r="N25" s="14">
        <v>0.43</v>
      </c>
      <c r="O25" s="14">
        <v>0.37</v>
      </c>
      <c r="P25" s="14">
        <v>0.3</v>
      </c>
      <c r="Q25" s="14">
        <v>0.3</v>
      </c>
      <c r="R25" s="14">
        <v>0.4</v>
      </c>
      <c r="S25" s="14">
        <v>0.43</v>
      </c>
      <c r="T25" s="14">
        <v>0.47</v>
      </c>
      <c r="U25" s="14">
        <v>0.38</v>
      </c>
      <c r="V25" s="14">
        <v>0.37</v>
      </c>
      <c r="W25" s="14">
        <v>0.35</v>
      </c>
      <c r="X25" s="14">
        <v>0.41</v>
      </c>
      <c r="Y25" s="14">
        <v>0.42</v>
      </c>
      <c r="Z25" s="14">
        <v>0.32</v>
      </c>
      <c r="AA25" s="14">
        <v>0.2</v>
      </c>
      <c r="AB25" s="14">
        <v>0.34</v>
      </c>
      <c r="AC25" s="14">
        <v>0.32</v>
      </c>
      <c r="AD25" s="14">
        <v>0.35</v>
      </c>
      <c r="AE25" s="14">
        <v>0.38</v>
      </c>
      <c r="AF25" s="14">
        <v>0.52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737</v>
      </c>
      <c r="C3" s="17"/>
      <c r="D3" s="17"/>
      <c r="E3" s="17"/>
      <c r="F3" s="17"/>
      <c r="H3" s="17" t="s">
        <v>738</v>
      </c>
      <c r="I3" s="17"/>
      <c r="J3" s="17"/>
      <c r="K3" s="17"/>
      <c r="L3" s="17"/>
    </row>
    <row r="4" spans="1:32" ht="27" customHeight="1">
      <c r="B4" s="17" t="s">
        <v>739</v>
      </c>
      <c r="C4" s="17"/>
      <c r="D4" s="17"/>
      <c r="E4" s="17"/>
      <c r="F4" s="17"/>
      <c r="H4" s="17" t="s">
        <v>740</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9016</v>
      </c>
      <c r="D12" s="12">
        <v>325</v>
      </c>
      <c r="E12" s="12">
        <v>301</v>
      </c>
      <c r="F12" s="12">
        <v>222</v>
      </c>
      <c r="G12" s="12">
        <v>510</v>
      </c>
      <c r="H12" s="12">
        <v>478</v>
      </c>
      <c r="I12" s="12">
        <v>606</v>
      </c>
      <c r="J12" s="12">
        <v>128</v>
      </c>
      <c r="K12" s="12">
        <v>332</v>
      </c>
      <c r="L12" s="12">
        <v>424</v>
      </c>
      <c r="M12" s="12">
        <v>305</v>
      </c>
      <c r="N12" s="12">
        <v>552</v>
      </c>
      <c r="O12" s="12">
        <v>283</v>
      </c>
      <c r="P12" s="12">
        <v>241</v>
      </c>
      <c r="Q12" s="12">
        <v>231</v>
      </c>
      <c r="R12" s="12">
        <v>228</v>
      </c>
      <c r="S12" s="12">
        <v>334</v>
      </c>
      <c r="T12" s="12">
        <v>405</v>
      </c>
      <c r="U12" s="12">
        <v>127</v>
      </c>
      <c r="V12" s="12">
        <v>253</v>
      </c>
      <c r="W12" s="12">
        <v>164</v>
      </c>
      <c r="X12" s="12">
        <v>348</v>
      </c>
      <c r="Y12" s="12">
        <v>522</v>
      </c>
      <c r="Z12" s="12">
        <v>295</v>
      </c>
      <c r="AA12" s="12">
        <v>254</v>
      </c>
      <c r="AB12" s="12">
        <v>190</v>
      </c>
      <c r="AC12" s="12">
        <v>256</v>
      </c>
      <c r="AD12" s="12">
        <v>289</v>
      </c>
      <c r="AE12" s="12">
        <v>431</v>
      </c>
      <c r="AF12" s="12">
        <v>601</v>
      </c>
    </row>
    <row r="13" spans="1:32">
      <c r="A13" s="19"/>
      <c r="B13" s="13" t="s">
        <v>707</v>
      </c>
      <c r="C13" s="14">
        <v>0.34</v>
      </c>
      <c r="D13" s="14">
        <v>0.32</v>
      </c>
      <c r="E13" s="14">
        <v>0.28999999999999998</v>
      </c>
      <c r="F13" s="14">
        <v>0.21</v>
      </c>
      <c r="G13" s="14">
        <v>0.5</v>
      </c>
      <c r="H13" s="14">
        <v>0.39</v>
      </c>
      <c r="I13" s="14">
        <v>0.4</v>
      </c>
      <c r="J13" s="14">
        <v>0.43</v>
      </c>
      <c r="K13" s="14">
        <v>0.33</v>
      </c>
      <c r="L13" s="14">
        <v>0.42</v>
      </c>
      <c r="M13" s="14">
        <v>0.3</v>
      </c>
      <c r="N13" s="14">
        <v>0.55000000000000004</v>
      </c>
      <c r="O13" s="14">
        <v>0.28000000000000003</v>
      </c>
      <c r="P13" s="14">
        <v>0.24</v>
      </c>
      <c r="Q13" s="14">
        <v>0.22</v>
      </c>
      <c r="R13" s="14">
        <v>0.45</v>
      </c>
      <c r="S13" s="14">
        <v>0.33</v>
      </c>
      <c r="T13" s="14">
        <v>0.4</v>
      </c>
      <c r="U13" s="14">
        <v>0.25</v>
      </c>
      <c r="V13" s="14">
        <v>0.25</v>
      </c>
      <c r="W13" s="14">
        <v>0.33</v>
      </c>
      <c r="X13" s="14">
        <v>0.35</v>
      </c>
      <c r="Y13" s="14">
        <v>0.52</v>
      </c>
      <c r="Z13" s="14">
        <v>0.28999999999999998</v>
      </c>
      <c r="AA13" s="14">
        <v>0.25</v>
      </c>
      <c r="AB13" s="14">
        <v>0.18</v>
      </c>
      <c r="AC13" s="14">
        <v>0.25</v>
      </c>
      <c r="AD13" s="14">
        <v>0.28999999999999998</v>
      </c>
      <c r="AE13" s="14">
        <v>0.43</v>
      </c>
      <c r="AF13" s="14">
        <v>0.57999999999999996</v>
      </c>
    </row>
    <row r="14" spans="1:32">
      <c r="A14" s="19"/>
      <c r="B14" s="11" t="s">
        <v>490</v>
      </c>
      <c r="C14" s="12">
        <v>13590</v>
      </c>
      <c r="D14" s="12">
        <v>563</v>
      </c>
      <c r="E14" s="12">
        <v>522</v>
      </c>
      <c r="F14" s="12">
        <v>658</v>
      </c>
      <c r="G14" s="12">
        <v>393</v>
      </c>
      <c r="H14" s="12">
        <v>624</v>
      </c>
      <c r="I14" s="12">
        <v>757</v>
      </c>
      <c r="J14" s="12">
        <v>133</v>
      </c>
      <c r="K14" s="12">
        <v>581</v>
      </c>
      <c r="L14" s="12">
        <v>471</v>
      </c>
      <c r="M14" s="12">
        <v>548</v>
      </c>
      <c r="N14" s="12">
        <v>353</v>
      </c>
      <c r="O14" s="12">
        <v>540</v>
      </c>
      <c r="P14" s="12">
        <v>572</v>
      </c>
      <c r="Q14" s="12">
        <v>630</v>
      </c>
      <c r="R14" s="12">
        <v>215</v>
      </c>
      <c r="S14" s="12">
        <v>534</v>
      </c>
      <c r="T14" s="12">
        <v>500</v>
      </c>
      <c r="U14" s="12">
        <v>308</v>
      </c>
      <c r="V14" s="12">
        <v>593</v>
      </c>
      <c r="W14" s="12">
        <v>289</v>
      </c>
      <c r="X14" s="12">
        <v>524</v>
      </c>
      <c r="Y14" s="12">
        <v>417</v>
      </c>
      <c r="Z14" s="12">
        <v>581</v>
      </c>
      <c r="AA14" s="12">
        <v>615</v>
      </c>
      <c r="AB14" s="12">
        <v>548</v>
      </c>
      <c r="AC14" s="12">
        <v>523</v>
      </c>
      <c r="AD14" s="12">
        <v>563</v>
      </c>
      <c r="AE14" s="12">
        <v>432</v>
      </c>
      <c r="AF14" s="12">
        <v>352</v>
      </c>
    </row>
    <row r="15" spans="1:32">
      <c r="A15" s="19"/>
      <c r="B15" s="13" t="s">
        <v>491</v>
      </c>
      <c r="C15" s="14">
        <v>0.51</v>
      </c>
      <c r="D15" s="14">
        <v>0.55000000000000004</v>
      </c>
      <c r="E15" s="14">
        <v>0.5</v>
      </c>
      <c r="F15" s="14">
        <v>0.62</v>
      </c>
      <c r="G15" s="14">
        <v>0.39</v>
      </c>
      <c r="H15" s="14">
        <v>0.51</v>
      </c>
      <c r="I15" s="14">
        <v>0.5</v>
      </c>
      <c r="J15" s="14">
        <v>0.45</v>
      </c>
      <c r="K15" s="14">
        <v>0.57999999999999996</v>
      </c>
      <c r="L15" s="14">
        <v>0.47</v>
      </c>
      <c r="M15" s="14">
        <v>0.54</v>
      </c>
      <c r="N15" s="14">
        <v>0.35</v>
      </c>
      <c r="O15" s="14">
        <v>0.54</v>
      </c>
      <c r="P15" s="14">
        <v>0.57000000000000006</v>
      </c>
      <c r="Q15" s="14">
        <v>0.61</v>
      </c>
      <c r="R15" s="14">
        <v>0.43</v>
      </c>
      <c r="S15" s="14">
        <v>0.53</v>
      </c>
      <c r="T15" s="14">
        <v>0.49</v>
      </c>
      <c r="U15" s="14">
        <v>0.61</v>
      </c>
      <c r="V15" s="14">
        <v>0.57999999999999996</v>
      </c>
      <c r="W15" s="14">
        <v>0.57999999999999996</v>
      </c>
      <c r="X15" s="14">
        <v>0.52</v>
      </c>
      <c r="Y15" s="14">
        <v>0.42</v>
      </c>
      <c r="Z15" s="14">
        <v>0.57000000000000006</v>
      </c>
      <c r="AA15" s="14">
        <v>0.59</v>
      </c>
      <c r="AB15" s="14">
        <v>0.53</v>
      </c>
      <c r="AC15" s="14">
        <v>0.52</v>
      </c>
      <c r="AD15" s="14">
        <v>0.56000000000000005</v>
      </c>
      <c r="AE15" s="14">
        <v>0.43</v>
      </c>
      <c r="AF15" s="14">
        <v>0.34</v>
      </c>
    </row>
    <row r="16" spans="1:32">
      <c r="A16" s="19"/>
      <c r="B16" s="11" t="s">
        <v>492</v>
      </c>
      <c r="C16" s="12">
        <v>1965</v>
      </c>
      <c r="D16" s="12">
        <v>96</v>
      </c>
      <c r="E16" s="12">
        <v>104</v>
      </c>
      <c r="F16" s="12">
        <v>119</v>
      </c>
      <c r="G16" s="12">
        <v>37</v>
      </c>
      <c r="H16" s="12">
        <v>56</v>
      </c>
      <c r="I16" s="12">
        <v>82</v>
      </c>
      <c r="J16" s="12">
        <v>27</v>
      </c>
      <c r="K16" s="12">
        <v>52</v>
      </c>
      <c r="L16" s="12">
        <v>20</v>
      </c>
      <c r="M16" s="12">
        <v>97</v>
      </c>
      <c r="N16" s="12">
        <v>23</v>
      </c>
      <c r="O16" s="12">
        <v>70</v>
      </c>
      <c r="P16" s="12">
        <v>126</v>
      </c>
      <c r="Q16" s="12">
        <v>92</v>
      </c>
      <c r="R16" s="12">
        <v>38</v>
      </c>
      <c r="S16" s="12">
        <v>70</v>
      </c>
      <c r="T16" s="12">
        <v>45</v>
      </c>
      <c r="U16" s="12">
        <v>38</v>
      </c>
      <c r="V16" s="12">
        <v>146</v>
      </c>
      <c r="W16" s="12">
        <v>26</v>
      </c>
      <c r="X16" s="12">
        <v>74</v>
      </c>
      <c r="Y16" s="12">
        <v>33</v>
      </c>
      <c r="Z16" s="12">
        <v>111</v>
      </c>
      <c r="AA16" s="12">
        <v>23</v>
      </c>
      <c r="AB16" s="12">
        <v>192</v>
      </c>
      <c r="AC16" s="12">
        <v>162</v>
      </c>
      <c r="AD16" s="12">
        <v>108</v>
      </c>
      <c r="AE16" s="12">
        <v>99</v>
      </c>
      <c r="AF16" s="12">
        <v>29</v>
      </c>
    </row>
    <row r="17" spans="1:32">
      <c r="A17" s="19"/>
      <c r="B17" s="13" t="s">
        <v>493</v>
      </c>
      <c r="C17" s="14">
        <v>0.08</v>
      </c>
      <c r="D17" s="14">
        <v>0.09</v>
      </c>
      <c r="E17" s="14">
        <v>0.1</v>
      </c>
      <c r="F17" s="14">
        <v>0.11</v>
      </c>
      <c r="G17" s="14">
        <v>0.04</v>
      </c>
      <c r="H17" s="14">
        <v>0.04</v>
      </c>
      <c r="I17" s="14">
        <v>0.05</v>
      </c>
      <c r="J17" s="14">
        <v>0.09</v>
      </c>
      <c r="K17" s="14">
        <v>0.05</v>
      </c>
      <c r="L17" s="14">
        <v>0.02</v>
      </c>
      <c r="M17" s="14">
        <v>0.1</v>
      </c>
      <c r="N17" s="14">
        <v>0.02</v>
      </c>
      <c r="O17" s="14">
        <v>7.0000000000000007E-2</v>
      </c>
      <c r="P17" s="14">
        <v>0.13</v>
      </c>
      <c r="Q17" s="14">
        <v>0.09</v>
      </c>
      <c r="R17" s="14">
        <v>0.08</v>
      </c>
      <c r="S17" s="14">
        <v>7.0000000000000007E-2</v>
      </c>
      <c r="T17" s="14">
        <v>0.04</v>
      </c>
      <c r="U17" s="14">
        <v>7.0000000000000007E-2</v>
      </c>
      <c r="V17" s="14">
        <v>0.14000000000000001</v>
      </c>
      <c r="W17" s="14">
        <v>0.05</v>
      </c>
      <c r="X17" s="14">
        <v>7.0000000000000007E-2</v>
      </c>
      <c r="Y17" s="14">
        <v>0.03</v>
      </c>
      <c r="Z17" s="14">
        <v>0.11</v>
      </c>
      <c r="AA17" s="14">
        <v>0.02</v>
      </c>
      <c r="AB17" s="14">
        <v>0.18</v>
      </c>
      <c r="AC17" s="14">
        <v>0.16</v>
      </c>
      <c r="AD17" s="14">
        <v>0.11</v>
      </c>
      <c r="AE17" s="14">
        <v>0.1</v>
      </c>
      <c r="AF17" s="14">
        <v>0.03</v>
      </c>
    </row>
    <row r="18" spans="1:32">
      <c r="A18" s="19"/>
      <c r="B18" s="11" t="s">
        <v>494</v>
      </c>
      <c r="C18" s="12">
        <v>300</v>
      </c>
      <c r="D18" s="12">
        <v>14</v>
      </c>
      <c r="E18" s="12">
        <v>26</v>
      </c>
      <c r="F18" s="12">
        <v>19</v>
      </c>
      <c r="G18" s="12">
        <v>4</v>
      </c>
      <c r="H18" s="12">
        <v>11</v>
      </c>
      <c r="I18" s="12">
        <v>13</v>
      </c>
      <c r="J18" s="12">
        <v>2</v>
      </c>
      <c r="K18" s="12">
        <v>8</v>
      </c>
      <c r="L18" s="12">
        <v>5</v>
      </c>
      <c r="M18" s="12">
        <v>27</v>
      </c>
      <c r="N18" s="12">
        <v>7</v>
      </c>
      <c r="O18" s="12">
        <v>9</v>
      </c>
      <c r="P18" s="12">
        <v>14</v>
      </c>
      <c r="Q18" s="12">
        <v>8</v>
      </c>
      <c r="R18" s="12">
        <v>7</v>
      </c>
      <c r="S18" s="12">
        <v>6</v>
      </c>
      <c r="T18" s="12">
        <v>3</v>
      </c>
      <c r="U18" s="12">
        <v>3</v>
      </c>
      <c r="V18" s="12">
        <v>15</v>
      </c>
      <c r="W18" s="12">
        <v>2</v>
      </c>
      <c r="X18" s="12">
        <v>11</v>
      </c>
      <c r="Y18" s="12">
        <v>8</v>
      </c>
      <c r="Z18" s="12">
        <v>14</v>
      </c>
      <c r="AA18" s="12">
        <v>7</v>
      </c>
      <c r="AB18" s="12">
        <v>46</v>
      </c>
      <c r="AC18" s="12">
        <v>36</v>
      </c>
      <c r="AD18" s="12">
        <v>5</v>
      </c>
      <c r="AE18" s="12">
        <v>14</v>
      </c>
      <c r="AF18" s="12">
        <v>5</v>
      </c>
    </row>
    <row r="19" spans="1:32">
      <c r="A19" s="19"/>
      <c r="B19" s="13" t="s">
        <v>708</v>
      </c>
      <c r="C19" s="14">
        <v>0.01</v>
      </c>
      <c r="D19" s="14">
        <v>0.01</v>
      </c>
      <c r="E19" s="14">
        <v>0.02</v>
      </c>
      <c r="F19" s="14">
        <v>0.02</v>
      </c>
      <c r="G19" s="15" t="s">
        <v>375</v>
      </c>
      <c r="H19" s="14">
        <v>0.01</v>
      </c>
      <c r="I19" s="14">
        <v>0.01</v>
      </c>
      <c r="J19" s="15" t="s">
        <v>375</v>
      </c>
      <c r="K19" s="14">
        <v>0.01</v>
      </c>
      <c r="L19" s="15" t="s">
        <v>375</v>
      </c>
      <c r="M19" s="14">
        <v>0.03</v>
      </c>
      <c r="N19" s="14">
        <v>0.01</v>
      </c>
      <c r="O19" s="14">
        <v>0.01</v>
      </c>
      <c r="P19" s="14">
        <v>0.01</v>
      </c>
      <c r="Q19" s="14">
        <v>0.01</v>
      </c>
      <c r="R19" s="14">
        <v>0.01</v>
      </c>
      <c r="S19" s="14">
        <v>0.01</v>
      </c>
      <c r="T19" s="15" t="s">
        <v>375</v>
      </c>
      <c r="U19" s="14">
        <v>0.01</v>
      </c>
      <c r="V19" s="14">
        <v>0.01</v>
      </c>
      <c r="W19" s="15" t="s">
        <v>375</v>
      </c>
      <c r="X19" s="14">
        <v>0.01</v>
      </c>
      <c r="Y19" s="14">
        <v>0.01</v>
      </c>
      <c r="Z19" s="14">
        <v>0.01</v>
      </c>
      <c r="AA19" s="14">
        <v>0.01</v>
      </c>
      <c r="AB19" s="14">
        <v>0.05</v>
      </c>
      <c r="AC19" s="14">
        <v>0.04</v>
      </c>
      <c r="AD19" s="15" t="s">
        <v>375</v>
      </c>
      <c r="AE19" s="14">
        <v>0.01</v>
      </c>
      <c r="AF19" s="14">
        <v>0.01</v>
      </c>
    </row>
    <row r="20" spans="1:32">
      <c r="A20" s="19"/>
      <c r="B20" s="11" t="s">
        <v>386</v>
      </c>
      <c r="C20" s="12">
        <v>1582</v>
      </c>
      <c r="D20" s="12">
        <v>24</v>
      </c>
      <c r="E20" s="12">
        <v>94</v>
      </c>
      <c r="F20" s="12">
        <v>46</v>
      </c>
      <c r="G20" s="12">
        <v>72</v>
      </c>
      <c r="H20" s="12">
        <v>60</v>
      </c>
      <c r="I20" s="12">
        <v>68</v>
      </c>
      <c r="J20" s="12">
        <v>8</v>
      </c>
      <c r="K20" s="12">
        <v>34</v>
      </c>
      <c r="L20" s="12">
        <v>86</v>
      </c>
      <c r="M20" s="12">
        <v>31</v>
      </c>
      <c r="N20" s="12">
        <v>76</v>
      </c>
      <c r="O20" s="12">
        <v>102</v>
      </c>
      <c r="P20" s="12">
        <v>50</v>
      </c>
      <c r="Q20" s="12">
        <v>70</v>
      </c>
      <c r="R20" s="12">
        <v>14</v>
      </c>
      <c r="S20" s="12">
        <v>60</v>
      </c>
      <c r="T20" s="12">
        <v>70</v>
      </c>
      <c r="U20" s="12">
        <v>32</v>
      </c>
      <c r="V20" s="12">
        <v>19</v>
      </c>
      <c r="W20" s="12">
        <v>21</v>
      </c>
      <c r="X20" s="12">
        <v>53</v>
      </c>
      <c r="Y20" s="12">
        <v>24</v>
      </c>
      <c r="Z20" s="12">
        <v>15</v>
      </c>
      <c r="AA20" s="12">
        <v>138</v>
      </c>
      <c r="AB20" s="12">
        <v>66</v>
      </c>
      <c r="AC20" s="12">
        <v>28</v>
      </c>
      <c r="AD20" s="12">
        <v>37</v>
      </c>
      <c r="AE20" s="12">
        <v>25</v>
      </c>
      <c r="AF20" s="12">
        <v>44</v>
      </c>
    </row>
    <row r="21" spans="1:32">
      <c r="A21" s="19"/>
      <c r="B21" s="13" t="s">
        <v>399</v>
      </c>
      <c r="C21" s="14">
        <v>0.06</v>
      </c>
      <c r="D21" s="14">
        <v>0.03</v>
      </c>
      <c r="E21" s="14">
        <v>0.09</v>
      </c>
      <c r="F21" s="14">
        <v>0.04</v>
      </c>
      <c r="G21" s="14">
        <v>7.0000000000000007E-2</v>
      </c>
      <c r="H21" s="14">
        <v>0.05</v>
      </c>
      <c r="I21" s="14">
        <v>0.04</v>
      </c>
      <c r="J21" s="14">
        <v>0.03</v>
      </c>
      <c r="K21" s="14">
        <v>0.03</v>
      </c>
      <c r="L21" s="14">
        <v>0.09</v>
      </c>
      <c r="M21" s="14">
        <v>0.03</v>
      </c>
      <c r="N21" s="14">
        <v>7.0000000000000007E-2</v>
      </c>
      <c r="O21" s="14">
        <v>0.1</v>
      </c>
      <c r="P21" s="14">
        <v>0.05</v>
      </c>
      <c r="Q21" s="14">
        <v>7.0000000000000007E-2</v>
      </c>
      <c r="R21" s="14">
        <v>0.03</v>
      </c>
      <c r="S21" s="14">
        <v>0.06</v>
      </c>
      <c r="T21" s="14">
        <v>7.0000000000000007E-2</v>
      </c>
      <c r="U21" s="14">
        <v>0.06</v>
      </c>
      <c r="V21" s="14">
        <v>0.02</v>
      </c>
      <c r="W21" s="14">
        <v>0.04</v>
      </c>
      <c r="X21" s="14">
        <v>0.05</v>
      </c>
      <c r="Y21" s="14">
        <v>0.02</v>
      </c>
      <c r="Z21" s="14">
        <v>0.02</v>
      </c>
      <c r="AA21" s="14">
        <v>0.13</v>
      </c>
      <c r="AB21" s="14">
        <v>0.06</v>
      </c>
      <c r="AC21" s="14">
        <v>0.03</v>
      </c>
      <c r="AD21" s="14">
        <v>0.04</v>
      </c>
      <c r="AE21" s="14">
        <v>0.03</v>
      </c>
      <c r="AF21" s="14">
        <v>0.04</v>
      </c>
    </row>
    <row r="22" spans="1:32">
      <c r="A22" s="19"/>
      <c r="B22" s="11" t="s">
        <v>496</v>
      </c>
      <c r="C22" s="12">
        <v>22606</v>
      </c>
      <c r="D22" s="12">
        <v>888</v>
      </c>
      <c r="E22" s="12">
        <v>823</v>
      </c>
      <c r="F22" s="12">
        <v>880</v>
      </c>
      <c r="G22" s="12">
        <v>903</v>
      </c>
      <c r="H22" s="12">
        <v>1102</v>
      </c>
      <c r="I22" s="12">
        <v>1363</v>
      </c>
      <c r="J22" s="12">
        <v>261</v>
      </c>
      <c r="K22" s="12">
        <v>913</v>
      </c>
      <c r="L22" s="12">
        <v>895</v>
      </c>
      <c r="M22" s="12">
        <v>853</v>
      </c>
      <c r="N22" s="12">
        <v>905</v>
      </c>
      <c r="O22" s="12">
        <v>823</v>
      </c>
      <c r="P22" s="12">
        <v>813</v>
      </c>
      <c r="Q22" s="12">
        <v>861</v>
      </c>
      <c r="R22" s="12">
        <v>443</v>
      </c>
      <c r="S22" s="12">
        <v>868</v>
      </c>
      <c r="T22" s="12">
        <v>905</v>
      </c>
      <c r="U22" s="12">
        <v>435</v>
      </c>
      <c r="V22" s="12">
        <v>846</v>
      </c>
      <c r="W22" s="12">
        <v>453</v>
      </c>
      <c r="X22" s="12">
        <v>872</v>
      </c>
      <c r="Y22" s="12">
        <v>939</v>
      </c>
      <c r="Z22" s="12">
        <v>876</v>
      </c>
      <c r="AA22" s="12">
        <v>869</v>
      </c>
      <c r="AB22" s="12">
        <v>738</v>
      </c>
      <c r="AC22" s="12">
        <v>779</v>
      </c>
      <c r="AD22" s="12">
        <v>852</v>
      </c>
      <c r="AE22" s="12">
        <v>863</v>
      </c>
      <c r="AF22" s="12">
        <v>953</v>
      </c>
    </row>
    <row r="23" spans="1:32">
      <c r="A23" s="19"/>
      <c r="B23" s="13" t="s">
        <v>497</v>
      </c>
      <c r="C23" s="14">
        <v>0.85</v>
      </c>
      <c r="D23" s="14">
        <v>0.87</v>
      </c>
      <c r="E23" s="14">
        <v>0.79</v>
      </c>
      <c r="F23" s="14">
        <v>0.83000000000000007</v>
      </c>
      <c r="G23" s="14">
        <v>0.89</v>
      </c>
      <c r="H23" s="14">
        <v>0.9</v>
      </c>
      <c r="I23" s="14">
        <v>0.9</v>
      </c>
      <c r="J23" s="14">
        <v>0.88</v>
      </c>
      <c r="K23" s="14">
        <v>0.91</v>
      </c>
      <c r="L23" s="14">
        <v>0.89</v>
      </c>
      <c r="M23" s="14">
        <v>0.84</v>
      </c>
      <c r="N23" s="14">
        <v>0.9</v>
      </c>
      <c r="O23" s="14">
        <v>0.82000000000000006</v>
      </c>
      <c r="P23" s="14">
        <v>0.81</v>
      </c>
      <c r="Q23" s="14">
        <v>0.83000000000000007</v>
      </c>
      <c r="R23" s="14">
        <v>0.88</v>
      </c>
      <c r="S23" s="14">
        <v>0.86</v>
      </c>
      <c r="T23" s="14">
        <v>0.89</v>
      </c>
      <c r="U23" s="14">
        <v>0.86</v>
      </c>
      <c r="V23" s="14">
        <v>0.83000000000000007</v>
      </c>
      <c r="W23" s="14">
        <v>0.91</v>
      </c>
      <c r="X23" s="14">
        <v>0.87</v>
      </c>
      <c r="Y23" s="14">
        <v>0.94000000000000006</v>
      </c>
      <c r="Z23" s="14">
        <v>0.86</v>
      </c>
      <c r="AA23" s="14">
        <v>0.84</v>
      </c>
      <c r="AB23" s="14">
        <v>0.71</v>
      </c>
      <c r="AC23" s="14">
        <v>0.77</v>
      </c>
      <c r="AD23" s="14">
        <v>0.85</v>
      </c>
      <c r="AE23" s="14">
        <v>0.86</v>
      </c>
      <c r="AF23" s="14">
        <v>0.92</v>
      </c>
    </row>
    <row r="24" spans="1:32">
      <c r="A24" s="19"/>
      <c r="B24" s="11" t="s">
        <v>498</v>
      </c>
      <c r="C24" s="12">
        <v>2265</v>
      </c>
      <c r="D24" s="12">
        <v>110</v>
      </c>
      <c r="E24" s="12">
        <v>130</v>
      </c>
      <c r="F24" s="12">
        <v>138</v>
      </c>
      <c r="G24" s="12">
        <v>41</v>
      </c>
      <c r="H24" s="12">
        <v>67</v>
      </c>
      <c r="I24" s="12">
        <v>95</v>
      </c>
      <c r="J24" s="12">
        <v>29</v>
      </c>
      <c r="K24" s="12">
        <v>60</v>
      </c>
      <c r="L24" s="12">
        <v>25</v>
      </c>
      <c r="M24" s="12">
        <v>124</v>
      </c>
      <c r="N24" s="12">
        <v>30</v>
      </c>
      <c r="O24" s="12">
        <v>79</v>
      </c>
      <c r="P24" s="12">
        <v>140</v>
      </c>
      <c r="Q24" s="12">
        <v>100</v>
      </c>
      <c r="R24" s="12">
        <v>45</v>
      </c>
      <c r="S24" s="12">
        <v>76</v>
      </c>
      <c r="T24" s="12">
        <v>48</v>
      </c>
      <c r="U24" s="12">
        <v>41</v>
      </c>
      <c r="V24" s="12">
        <v>161</v>
      </c>
      <c r="W24" s="12">
        <v>28</v>
      </c>
      <c r="X24" s="12">
        <v>85</v>
      </c>
      <c r="Y24" s="12">
        <v>41</v>
      </c>
      <c r="Z24" s="12">
        <v>125</v>
      </c>
      <c r="AA24" s="12">
        <v>30</v>
      </c>
      <c r="AB24" s="12">
        <v>238</v>
      </c>
      <c r="AC24" s="12">
        <v>198</v>
      </c>
      <c r="AD24" s="12">
        <v>113</v>
      </c>
      <c r="AE24" s="12">
        <v>113</v>
      </c>
      <c r="AF24" s="12">
        <v>34</v>
      </c>
    </row>
    <row r="25" spans="1:32">
      <c r="A25" s="19"/>
      <c r="B25" s="13" t="s">
        <v>499</v>
      </c>
      <c r="C25" s="14">
        <v>0.09</v>
      </c>
      <c r="D25" s="14">
        <v>0.1</v>
      </c>
      <c r="E25" s="14">
        <v>0.12</v>
      </c>
      <c r="F25" s="14">
        <v>0.13</v>
      </c>
      <c r="G25" s="14">
        <v>0.04</v>
      </c>
      <c r="H25" s="14">
        <v>0.05</v>
      </c>
      <c r="I25" s="14">
        <v>0.06</v>
      </c>
      <c r="J25" s="14">
        <v>0.09</v>
      </c>
      <c r="K25" s="14">
        <v>0.06</v>
      </c>
      <c r="L25" s="14">
        <v>0.02</v>
      </c>
      <c r="M25" s="14">
        <v>0.13</v>
      </c>
      <c r="N25" s="14">
        <v>0.03</v>
      </c>
      <c r="O25" s="14">
        <v>0.08</v>
      </c>
      <c r="P25" s="14">
        <v>0.14000000000000001</v>
      </c>
      <c r="Q25" s="14">
        <v>0.1</v>
      </c>
      <c r="R25" s="14">
        <v>0.09</v>
      </c>
      <c r="S25" s="14">
        <v>0.08</v>
      </c>
      <c r="T25" s="14">
        <v>0.04</v>
      </c>
      <c r="U25" s="14">
        <v>0.08</v>
      </c>
      <c r="V25" s="14">
        <v>0.15</v>
      </c>
      <c r="W25" s="14">
        <v>0.05</v>
      </c>
      <c r="X25" s="14">
        <v>0.08</v>
      </c>
      <c r="Y25" s="14">
        <v>0.04</v>
      </c>
      <c r="Z25" s="14">
        <v>0.12</v>
      </c>
      <c r="AA25" s="14">
        <v>0.03</v>
      </c>
      <c r="AB25" s="14">
        <v>0.23</v>
      </c>
      <c r="AC25" s="14">
        <v>0.2</v>
      </c>
      <c r="AD25" s="14">
        <v>0.11</v>
      </c>
      <c r="AE25" s="14">
        <v>0.11</v>
      </c>
      <c r="AF25" s="14">
        <v>0.04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741</v>
      </c>
      <c r="C3" s="17"/>
      <c r="D3" s="17"/>
      <c r="E3" s="17"/>
      <c r="F3" s="17"/>
      <c r="H3" s="17" t="s">
        <v>742</v>
      </c>
      <c r="I3" s="17"/>
      <c r="J3" s="17"/>
      <c r="K3" s="17"/>
      <c r="L3" s="17"/>
    </row>
    <row r="4" spans="1:32" ht="27" customHeight="1">
      <c r="B4" s="17" t="s">
        <v>743</v>
      </c>
      <c r="C4" s="17"/>
      <c r="D4" s="17"/>
      <c r="E4" s="17"/>
      <c r="F4" s="17"/>
      <c r="H4" s="17" t="s">
        <v>744</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3517</v>
      </c>
      <c r="D12" s="12">
        <v>97</v>
      </c>
      <c r="E12" s="12">
        <v>179</v>
      </c>
      <c r="F12" s="12">
        <v>123</v>
      </c>
      <c r="G12" s="12">
        <v>77</v>
      </c>
      <c r="H12" s="12">
        <v>112</v>
      </c>
      <c r="I12" s="12">
        <v>148</v>
      </c>
      <c r="J12" s="12">
        <v>37</v>
      </c>
      <c r="K12" s="12">
        <v>100</v>
      </c>
      <c r="L12" s="12">
        <v>165</v>
      </c>
      <c r="M12" s="12">
        <v>146</v>
      </c>
      <c r="N12" s="12">
        <v>181</v>
      </c>
      <c r="O12" s="12">
        <v>149</v>
      </c>
      <c r="P12" s="12">
        <v>129</v>
      </c>
      <c r="Q12" s="12">
        <v>163</v>
      </c>
      <c r="R12" s="12">
        <v>81</v>
      </c>
      <c r="S12" s="12">
        <v>104</v>
      </c>
      <c r="T12" s="12">
        <v>165</v>
      </c>
      <c r="U12" s="12">
        <v>43</v>
      </c>
      <c r="V12" s="12">
        <v>191</v>
      </c>
      <c r="W12" s="12">
        <v>60</v>
      </c>
      <c r="X12" s="12">
        <v>60</v>
      </c>
      <c r="Y12" s="12">
        <v>201</v>
      </c>
      <c r="Z12" s="12">
        <v>130</v>
      </c>
      <c r="AA12" s="12">
        <v>75</v>
      </c>
      <c r="AB12" s="12">
        <v>137</v>
      </c>
      <c r="AC12" s="12">
        <v>176</v>
      </c>
      <c r="AD12" s="12">
        <v>181</v>
      </c>
      <c r="AE12" s="12">
        <v>128</v>
      </c>
      <c r="AF12" s="12">
        <v>79</v>
      </c>
    </row>
    <row r="13" spans="1:32">
      <c r="A13" s="19"/>
      <c r="B13" s="13" t="s">
        <v>707</v>
      </c>
      <c r="C13" s="14">
        <v>0.13</v>
      </c>
      <c r="D13" s="14">
        <v>0.09</v>
      </c>
      <c r="E13" s="14">
        <v>0.17</v>
      </c>
      <c r="F13" s="14">
        <v>0.11</v>
      </c>
      <c r="G13" s="14">
        <v>0.08</v>
      </c>
      <c r="H13" s="14">
        <v>0.09</v>
      </c>
      <c r="I13" s="14">
        <v>0.1</v>
      </c>
      <c r="J13" s="14">
        <v>0.12</v>
      </c>
      <c r="K13" s="14">
        <v>0.1</v>
      </c>
      <c r="L13" s="14">
        <v>0.16</v>
      </c>
      <c r="M13" s="14">
        <v>0.15</v>
      </c>
      <c r="N13" s="14">
        <v>0.18</v>
      </c>
      <c r="O13" s="14">
        <v>0.15</v>
      </c>
      <c r="P13" s="14">
        <v>0.13</v>
      </c>
      <c r="Q13" s="14">
        <v>0.16</v>
      </c>
      <c r="R13" s="14">
        <v>0.16</v>
      </c>
      <c r="S13" s="14">
        <v>0.1</v>
      </c>
      <c r="T13" s="14">
        <v>0.16</v>
      </c>
      <c r="U13" s="14">
        <v>0.08</v>
      </c>
      <c r="V13" s="14">
        <v>0.19</v>
      </c>
      <c r="W13" s="14">
        <v>0.12</v>
      </c>
      <c r="X13" s="14">
        <v>0.06</v>
      </c>
      <c r="Y13" s="14">
        <v>0.2</v>
      </c>
      <c r="Z13" s="14">
        <v>0.13</v>
      </c>
      <c r="AA13" s="14">
        <v>7.0000000000000007E-2</v>
      </c>
      <c r="AB13" s="14">
        <v>0.13</v>
      </c>
      <c r="AC13" s="14">
        <v>0.17</v>
      </c>
      <c r="AD13" s="14">
        <v>0.18</v>
      </c>
      <c r="AE13" s="14">
        <v>0.13</v>
      </c>
      <c r="AF13" s="14">
        <v>0.08</v>
      </c>
    </row>
    <row r="14" spans="1:32">
      <c r="A14" s="19"/>
      <c r="B14" s="11" t="s">
        <v>490</v>
      </c>
      <c r="C14" s="12">
        <v>11491</v>
      </c>
      <c r="D14" s="12">
        <v>458</v>
      </c>
      <c r="E14" s="12">
        <v>444</v>
      </c>
      <c r="F14" s="12">
        <v>475</v>
      </c>
      <c r="G14" s="12">
        <v>293</v>
      </c>
      <c r="H14" s="12">
        <v>572</v>
      </c>
      <c r="I14" s="12">
        <v>673</v>
      </c>
      <c r="J14" s="12">
        <v>101</v>
      </c>
      <c r="K14" s="12">
        <v>385</v>
      </c>
      <c r="L14" s="12">
        <v>395</v>
      </c>
      <c r="M14" s="12">
        <v>457</v>
      </c>
      <c r="N14" s="12">
        <v>413</v>
      </c>
      <c r="O14" s="12">
        <v>405</v>
      </c>
      <c r="P14" s="12">
        <v>486</v>
      </c>
      <c r="Q14" s="12">
        <v>504</v>
      </c>
      <c r="R14" s="12">
        <v>188</v>
      </c>
      <c r="S14" s="12">
        <v>447</v>
      </c>
      <c r="T14" s="12">
        <v>419</v>
      </c>
      <c r="U14" s="12">
        <v>244</v>
      </c>
      <c r="V14" s="12">
        <v>500</v>
      </c>
      <c r="W14" s="12">
        <v>204</v>
      </c>
      <c r="X14" s="12">
        <v>349</v>
      </c>
      <c r="Y14" s="12">
        <v>344</v>
      </c>
      <c r="Z14" s="12">
        <v>492</v>
      </c>
      <c r="AA14" s="12">
        <v>373</v>
      </c>
      <c r="AB14" s="12">
        <v>498</v>
      </c>
      <c r="AC14" s="12">
        <v>451</v>
      </c>
      <c r="AD14" s="12">
        <v>465</v>
      </c>
      <c r="AE14" s="12">
        <v>394</v>
      </c>
      <c r="AF14" s="12">
        <v>477</v>
      </c>
    </row>
    <row r="15" spans="1:32">
      <c r="A15" s="19"/>
      <c r="B15" s="13" t="s">
        <v>491</v>
      </c>
      <c r="C15" s="14">
        <v>0.43</v>
      </c>
      <c r="D15" s="14">
        <v>0.45</v>
      </c>
      <c r="E15" s="14">
        <v>0.43</v>
      </c>
      <c r="F15" s="14">
        <v>0.45</v>
      </c>
      <c r="G15" s="14">
        <v>0.28999999999999998</v>
      </c>
      <c r="H15" s="14">
        <v>0.46</v>
      </c>
      <c r="I15" s="14">
        <v>0.44</v>
      </c>
      <c r="J15" s="14">
        <v>0.34</v>
      </c>
      <c r="K15" s="14">
        <v>0.38</v>
      </c>
      <c r="L15" s="14">
        <v>0.39</v>
      </c>
      <c r="M15" s="14">
        <v>0.45</v>
      </c>
      <c r="N15" s="14">
        <v>0.41</v>
      </c>
      <c r="O15" s="14">
        <v>0.4</v>
      </c>
      <c r="P15" s="14">
        <v>0.48</v>
      </c>
      <c r="Q15" s="14">
        <v>0.49</v>
      </c>
      <c r="R15" s="14">
        <v>0.38</v>
      </c>
      <c r="S15" s="14">
        <v>0.45</v>
      </c>
      <c r="T15" s="14">
        <v>0.41</v>
      </c>
      <c r="U15" s="14">
        <v>0.48</v>
      </c>
      <c r="V15" s="14">
        <v>0.49</v>
      </c>
      <c r="W15" s="14">
        <v>0.41</v>
      </c>
      <c r="X15" s="14">
        <v>0.34</v>
      </c>
      <c r="Y15" s="14">
        <v>0.34</v>
      </c>
      <c r="Z15" s="14">
        <v>0.48</v>
      </c>
      <c r="AA15" s="14">
        <v>0.36</v>
      </c>
      <c r="AB15" s="14">
        <v>0.48</v>
      </c>
      <c r="AC15" s="14">
        <v>0.45</v>
      </c>
      <c r="AD15" s="14">
        <v>0.46</v>
      </c>
      <c r="AE15" s="14">
        <v>0.39</v>
      </c>
      <c r="AF15" s="14">
        <v>0.46</v>
      </c>
    </row>
    <row r="16" spans="1:32">
      <c r="A16" s="19"/>
      <c r="B16" s="11" t="s">
        <v>492</v>
      </c>
      <c r="C16" s="12">
        <v>7372</v>
      </c>
      <c r="D16" s="12">
        <v>379</v>
      </c>
      <c r="E16" s="12">
        <v>229</v>
      </c>
      <c r="F16" s="12">
        <v>337</v>
      </c>
      <c r="G16" s="12">
        <v>421</v>
      </c>
      <c r="H16" s="12">
        <v>368</v>
      </c>
      <c r="I16" s="12">
        <v>478</v>
      </c>
      <c r="J16" s="12">
        <v>110</v>
      </c>
      <c r="K16" s="12">
        <v>377</v>
      </c>
      <c r="L16" s="12">
        <v>262</v>
      </c>
      <c r="M16" s="12">
        <v>265</v>
      </c>
      <c r="N16" s="12">
        <v>194</v>
      </c>
      <c r="O16" s="12">
        <v>256</v>
      </c>
      <c r="P16" s="12">
        <v>270</v>
      </c>
      <c r="Q16" s="12">
        <v>240</v>
      </c>
      <c r="R16" s="12">
        <v>144</v>
      </c>
      <c r="S16" s="12">
        <v>262</v>
      </c>
      <c r="T16" s="12">
        <v>300</v>
      </c>
      <c r="U16" s="12">
        <v>152</v>
      </c>
      <c r="V16" s="12">
        <v>268</v>
      </c>
      <c r="W16" s="12">
        <v>162</v>
      </c>
      <c r="X16" s="12">
        <v>472</v>
      </c>
      <c r="Y16" s="12">
        <v>290</v>
      </c>
      <c r="Z16" s="12">
        <v>283</v>
      </c>
      <c r="AA16" s="12">
        <v>328</v>
      </c>
      <c r="AB16" s="12">
        <v>256</v>
      </c>
      <c r="AC16" s="12">
        <v>281</v>
      </c>
      <c r="AD16" s="12">
        <v>285</v>
      </c>
      <c r="AE16" s="12">
        <v>378</v>
      </c>
      <c r="AF16" s="12">
        <v>324</v>
      </c>
    </row>
    <row r="17" spans="1:32">
      <c r="A17" s="19"/>
      <c r="B17" s="13" t="s">
        <v>493</v>
      </c>
      <c r="C17" s="14">
        <v>0.28000000000000003</v>
      </c>
      <c r="D17" s="14">
        <v>0.37</v>
      </c>
      <c r="E17" s="14">
        <v>0.22</v>
      </c>
      <c r="F17" s="14">
        <v>0.32</v>
      </c>
      <c r="G17" s="14">
        <v>0.41</v>
      </c>
      <c r="H17" s="14">
        <v>0.3</v>
      </c>
      <c r="I17" s="14">
        <v>0.31</v>
      </c>
      <c r="J17" s="14">
        <v>0.37</v>
      </c>
      <c r="K17" s="14">
        <v>0.38</v>
      </c>
      <c r="L17" s="14">
        <v>0.26</v>
      </c>
      <c r="M17" s="14">
        <v>0.26</v>
      </c>
      <c r="N17" s="14">
        <v>0.19</v>
      </c>
      <c r="O17" s="14">
        <v>0.25</v>
      </c>
      <c r="P17" s="14">
        <v>0.27</v>
      </c>
      <c r="Q17" s="14">
        <v>0.23</v>
      </c>
      <c r="R17" s="14">
        <v>0.28999999999999998</v>
      </c>
      <c r="S17" s="14">
        <v>0.26</v>
      </c>
      <c r="T17" s="14">
        <v>0.28999999999999998</v>
      </c>
      <c r="U17" s="14">
        <v>0.3</v>
      </c>
      <c r="V17" s="14">
        <v>0.26</v>
      </c>
      <c r="W17" s="14">
        <v>0.32</v>
      </c>
      <c r="X17" s="14">
        <v>0.47</v>
      </c>
      <c r="Y17" s="14">
        <v>0.28999999999999998</v>
      </c>
      <c r="Z17" s="14">
        <v>0.28000000000000003</v>
      </c>
      <c r="AA17" s="14">
        <v>0.32</v>
      </c>
      <c r="AB17" s="14">
        <v>0.25</v>
      </c>
      <c r="AC17" s="14">
        <v>0.28000000000000003</v>
      </c>
      <c r="AD17" s="14">
        <v>0.28999999999999998</v>
      </c>
      <c r="AE17" s="14">
        <v>0.38</v>
      </c>
      <c r="AF17" s="14">
        <v>0.31</v>
      </c>
    </row>
    <row r="18" spans="1:32">
      <c r="A18" s="19"/>
      <c r="B18" s="11" t="s">
        <v>494</v>
      </c>
      <c r="C18" s="12">
        <v>1761</v>
      </c>
      <c r="D18" s="12">
        <v>60</v>
      </c>
      <c r="E18" s="12">
        <v>36</v>
      </c>
      <c r="F18" s="12">
        <v>52</v>
      </c>
      <c r="G18" s="12">
        <v>145</v>
      </c>
      <c r="H18" s="12">
        <v>82</v>
      </c>
      <c r="I18" s="12">
        <v>121</v>
      </c>
      <c r="J18" s="12">
        <v>39</v>
      </c>
      <c r="K18" s="12">
        <v>59</v>
      </c>
      <c r="L18" s="12">
        <v>68</v>
      </c>
      <c r="M18" s="12">
        <v>65</v>
      </c>
      <c r="N18" s="12">
        <v>117</v>
      </c>
      <c r="O18" s="12">
        <v>66</v>
      </c>
      <c r="P18" s="12">
        <v>75</v>
      </c>
      <c r="Q18" s="12">
        <v>20</v>
      </c>
      <c r="R18" s="12">
        <v>45</v>
      </c>
      <c r="S18" s="12">
        <v>85</v>
      </c>
      <c r="T18" s="12">
        <v>63</v>
      </c>
      <c r="U18" s="12">
        <v>29</v>
      </c>
      <c r="V18" s="12">
        <v>47</v>
      </c>
      <c r="W18" s="12">
        <v>53</v>
      </c>
      <c r="X18" s="12">
        <v>78</v>
      </c>
      <c r="Y18" s="12">
        <v>89</v>
      </c>
      <c r="Z18" s="12">
        <v>45</v>
      </c>
      <c r="AA18" s="12">
        <v>27</v>
      </c>
      <c r="AB18" s="12">
        <v>71</v>
      </c>
      <c r="AC18" s="12">
        <v>70</v>
      </c>
      <c r="AD18" s="12">
        <v>17</v>
      </c>
      <c r="AE18" s="12">
        <v>82</v>
      </c>
      <c r="AF18" s="12">
        <v>121</v>
      </c>
    </row>
    <row r="19" spans="1:32">
      <c r="A19" s="19"/>
      <c r="B19" s="13" t="s">
        <v>708</v>
      </c>
      <c r="C19" s="14">
        <v>7.0000000000000007E-2</v>
      </c>
      <c r="D19" s="14">
        <v>0.06</v>
      </c>
      <c r="E19" s="14">
        <v>0.03</v>
      </c>
      <c r="F19" s="14">
        <v>0.05</v>
      </c>
      <c r="G19" s="14">
        <v>0.14000000000000001</v>
      </c>
      <c r="H19" s="14">
        <v>7.0000000000000007E-2</v>
      </c>
      <c r="I19" s="14">
        <v>0.08</v>
      </c>
      <c r="J19" s="14">
        <v>0.13</v>
      </c>
      <c r="K19" s="14">
        <v>0.06</v>
      </c>
      <c r="L19" s="14">
        <v>7.0000000000000007E-2</v>
      </c>
      <c r="M19" s="14">
        <v>7.0000000000000007E-2</v>
      </c>
      <c r="N19" s="14">
        <v>0.12</v>
      </c>
      <c r="O19" s="14">
        <v>7.0000000000000007E-2</v>
      </c>
      <c r="P19" s="14">
        <v>0.08</v>
      </c>
      <c r="Q19" s="14">
        <v>0.02</v>
      </c>
      <c r="R19" s="14">
        <v>0.09</v>
      </c>
      <c r="S19" s="14">
        <v>0.08</v>
      </c>
      <c r="T19" s="14">
        <v>0.06</v>
      </c>
      <c r="U19" s="14">
        <v>0.06</v>
      </c>
      <c r="V19" s="14">
        <v>0.04</v>
      </c>
      <c r="W19" s="14">
        <v>0.11</v>
      </c>
      <c r="X19" s="14">
        <v>0.08</v>
      </c>
      <c r="Y19" s="14">
        <v>0.09</v>
      </c>
      <c r="Z19" s="14">
        <v>0.04</v>
      </c>
      <c r="AA19" s="14">
        <v>0.02</v>
      </c>
      <c r="AB19" s="14">
        <v>7.0000000000000007E-2</v>
      </c>
      <c r="AC19" s="14">
        <v>7.0000000000000007E-2</v>
      </c>
      <c r="AD19" s="14">
        <v>0.02</v>
      </c>
      <c r="AE19" s="14">
        <v>0.08</v>
      </c>
      <c r="AF19" s="14">
        <v>0.12</v>
      </c>
    </row>
    <row r="20" spans="1:32">
      <c r="A20" s="19"/>
      <c r="B20" s="11" t="s">
        <v>386</v>
      </c>
      <c r="C20" s="12">
        <v>2312</v>
      </c>
      <c r="D20" s="12">
        <v>26</v>
      </c>
      <c r="E20" s="12">
        <v>158</v>
      </c>
      <c r="F20" s="12">
        <v>77</v>
      </c>
      <c r="G20" s="12">
        <v>80</v>
      </c>
      <c r="H20" s="12">
        <v>96</v>
      </c>
      <c r="I20" s="12">
        <v>107</v>
      </c>
      <c r="J20" s="12">
        <v>11</v>
      </c>
      <c r="K20" s="12">
        <v>85</v>
      </c>
      <c r="L20" s="12">
        <v>116</v>
      </c>
      <c r="M20" s="12">
        <v>74</v>
      </c>
      <c r="N20" s="12">
        <v>106</v>
      </c>
      <c r="O20" s="12">
        <v>129</v>
      </c>
      <c r="P20" s="12">
        <v>42</v>
      </c>
      <c r="Q20" s="12">
        <v>104</v>
      </c>
      <c r="R20" s="12">
        <v>42</v>
      </c>
      <c r="S20" s="12">
        <v>106</v>
      </c>
      <c r="T20" s="12">
        <v>76</v>
      </c>
      <c r="U20" s="12">
        <v>39</v>
      </c>
      <c r="V20" s="12">
        <v>21</v>
      </c>
      <c r="W20" s="12">
        <v>22</v>
      </c>
      <c r="X20" s="12">
        <v>50</v>
      </c>
      <c r="Y20" s="12">
        <v>79</v>
      </c>
      <c r="Z20" s="12">
        <v>67</v>
      </c>
      <c r="AA20" s="12">
        <v>235</v>
      </c>
      <c r="AB20" s="12">
        <v>79</v>
      </c>
      <c r="AC20" s="12">
        <v>27</v>
      </c>
      <c r="AD20" s="12">
        <v>54</v>
      </c>
      <c r="AE20" s="12">
        <v>19</v>
      </c>
      <c r="AF20" s="12">
        <v>30</v>
      </c>
    </row>
    <row r="21" spans="1:32">
      <c r="A21" s="19"/>
      <c r="B21" s="13" t="s">
        <v>399</v>
      </c>
      <c r="C21" s="14">
        <v>0.09</v>
      </c>
      <c r="D21" s="14">
        <v>0.03</v>
      </c>
      <c r="E21" s="14">
        <v>0.15</v>
      </c>
      <c r="F21" s="14">
        <v>7.0000000000000007E-2</v>
      </c>
      <c r="G21" s="14">
        <v>0.08</v>
      </c>
      <c r="H21" s="14">
        <v>0.08</v>
      </c>
      <c r="I21" s="14">
        <v>7.0000000000000007E-2</v>
      </c>
      <c r="J21" s="14">
        <v>0.04</v>
      </c>
      <c r="K21" s="14">
        <v>0.08</v>
      </c>
      <c r="L21" s="14">
        <v>0.12</v>
      </c>
      <c r="M21" s="14">
        <v>7.0000000000000007E-2</v>
      </c>
      <c r="N21" s="14">
        <v>0.1</v>
      </c>
      <c r="O21" s="14">
        <v>0.13</v>
      </c>
      <c r="P21" s="14">
        <v>0.04</v>
      </c>
      <c r="Q21" s="14">
        <v>0.1</v>
      </c>
      <c r="R21" s="14">
        <v>0.08</v>
      </c>
      <c r="S21" s="14">
        <v>0.11</v>
      </c>
      <c r="T21" s="14">
        <v>0.08</v>
      </c>
      <c r="U21" s="14">
        <v>0.08</v>
      </c>
      <c r="V21" s="14">
        <v>0.02</v>
      </c>
      <c r="W21" s="14">
        <v>0.04</v>
      </c>
      <c r="X21" s="14">
        <v>0.05</v>
      </c>
      <c r="Y21" s="14">
        <v>0.08</v>
      </c>
      <c r="Z21" s="14">
        <v>7.0000000000000007E-2</v>
      </c>
      <c r="AA21" s="14">
        <v>0.23</v>
      </c>
      <c r="AB21" s="14">
        <v>7.0000000000000007E-2</v>
      </c>
      <c r="AC21" s="14">
        <v>0.03</v>
      </c>
      <c r="AD21" s="14">
        <v>0.05</v>
      </c>
      <c r="AE21" s="14">
        <v>0.02</v>
      </c>
      <c r="AF21" s="14">
        <v>0.03</v>
      </c>
    </row>
    <row r="22" spans="1:32">
      <c r="A22" s="19"/>
      <c r="B22" s="11" t="s">
        <v>496</v>
      </c>
      <c r="C22" s="12">
        <v>15008</v>
      </c>
      <c r="D22" s="12">
        <v>555</v>
      </c>
      <c r="E22" s="12">
        <v>623</v>
      </c>
      <c r="F22" s="12">
        <v>598</v>
      </c>
      <c r="G22" s="12">
        <v>370</v>
      </c>
      <c r="H22" s="12">
        <v>684</v>
      </c>
      <c r="I22" s="12">
        <v>821</v>
      </c>
      <c r="J22" s="12">
        <v>138</v>
      </c>
      <c r="K22" s="12">
        <v>485</v>
      </c>
      <c r="L22" s="12">
        <v>560</v>
      </c>
      <c r="M22" s="12">
        <v>603</v>
      </c>
      <c r="N22" s="12">
        <v>594</v>
      </c>
      <c r="O22" s="12">
        <v>554</v>
      </c>
      <c r="P22" s="12">
        <v>615</v>
      </c>
      <c r="Q22" s="12">
        <v>667</v>
      </c>
      <c r="R22" s="12">
        <v>269</v>
      </c>
      <c r="S22" s="12">
        <v>551</v>
      </c>
      <c r="T22" s="12">
        <v>584</v>
      </c>
      <c r="U22" s="12">
        <v>287</v>
      </c>
      <c r="V22" s="12">
        <v>691</v>
      </c>
      <c r="W22" s="12">
        <v>264</v>
      </c>
      <c r="X22" s="12">
        <v>409</v>
      </c>
      <c r="Y22" s="12">
        <v>545</v>
      </c>
      <c r="Z22" s="12">
        <v>622</v>
      </c>
      <c r="AA22" s="12">
        <v>448</v>
      </c>
      <c r="AB22" s="12">
        <v>635</v>
      </c>
      <c r="AC22" s="12">
        <v>627</v>
      </c>
      <c r="AD22" s="12">
        <v>646</v>
      </c>
      <c r="AE22" s="12">
        <v>522</v>
      </c>
      <c r="AF22" s="12">
        <v>556</v>
      </c>
    </row>
    <row r="23" spans="1:32">
      <c r="A23" s="19"/>
      <c r="B23" s="13" t="s">
        <v>497</v>
      </c>
      <c r="C23" s="14">
        <v>0.56000000000000005</v>
      </c>
      <c r="D23" s="14">
        <v>0.54</v>
      </c>
      <c r="E23" s="14">
        <v>0.6</v>
      </c>
      <c r="F23" s="14">
        <v>0.56000000000000005</v>
      </c>
      <c r="G23" s="14">
        <v>0.37</v>
      </c>
      <c r="H23" s="14">
        <v>0.55000000000000004</v>
      </c>
      <c r="I23" s="14">
        <v>0.54</v>
      </c>
      <c r="J23" s="14">
        <v>0.46</v>
      </c>
      <c r="K23" s="14">
        <v>0.48</v>
      </c>
      <c r="L23" s="14">
        <v>0.55000000000000004</v>
      </c>
      <c r="M23" s="14">
        <v>0.6</v>
      </c>
      <c r="N23" s="14">
        <v>0.59</v>
      </c>
      <c r="O23" s="14">
        <v>0.55000000000000004</v>
      </c>
      <c r="P23" s="14">
        <v>0.61</v>
      </c>
      <c r="Q23" s="14">
        <v>0.65</v>
      </c>
      <c r="R23" s="14">
        <v>0.54</v>
      </c>
      <c r="S23" s="14">
        <v>0.55000000000000004</v>
      </c>
      <c r="T23" s="14">
        <v>0.57000000000000006</v>
      </c>
      <c r="U23" s="14">
        <v>0.56000000000000005</v>
      </c>
      <c r="V23" s="14">
        <v>0.68</v>
      </c>
      <c r="W23" s="14">
        <v>0.53</v>
      </c>
      <c r="X23" s="14">
        <v>0.4</v>
      </c>
      <c r="Y23" s="14">
        <v>0.54</v>
      </c>
      <c r="Z23" s="14">
        <v>0.61</v>
      </c>
      <c r="AA23" s="14">
        <v>0.43</v>
      </c>
      <c r="AB23" s="14">
        <v>0.61</v>
      </c>
      <c r="AC23" s="14">
        <v>0.62</v>
      </c>
      <c r="AD23" s="14">
        <v>0.64</v>
      </c>
      <c r="AE23" s="14">
        <v>0.52</v>
      </c>
      <c r="AF23" s="14">
        <v>0.54</v>
      </c>
    </row>
    <row r="24" spans="1:32">
      <c r="A24" s="19"/>
      <c r="B24" s="11" t="s">
        <v>498</v>
      </c>
      <c r="C24" s="12">
        <v>9133</v>
      </c>
      <c r="D24" s="12">
        <v>439</v>
      </c>
      <c r="E24" s="12">
        <v>265</v>
      </c>
      <c r="F24" s="12">
        <v>389</v>
      </c>
      <c r="G24" s="12">
        <v>566</v>
      </c>
      <c r="H24" s="12">
        <v>450</v>
      </c>
      <c r="I24" s="12">
        <v>599</v>
      </c>
      <c r="J24" s="12">
        <v>149</v>
      </c>
      <c r="K24" s="12">
        <v>436</v>
      </c>
      <c r="L24" s="12">
        <v>330</v>
      </c>
      <c r="M24" s="12">
        <v>330</v>
      </c>
      <c r="N24" s="12">
        <v>311</v>
      </c>
      <c r="O24" s="12">
        <v>322</v>
      </c>
      <c r="P24" s="12">
        <v>345</v>
      </c>
      <c r="Q24" s="12">
        <v>260</v>
      </c>
      <c r="R24" s="12">
        <v>189</v>
      </c>
      <c r="S24" s="12">
        <v>347</v>
      </c>
      <c r="T24" s="12">
        <v>363</v>
      </c>
      <c r="U24" s="12">
        <v>181</v>
      </c>
      <c r="V24" s="12">
        <v>315</v>
      </c>
      <c r="W24" s="12">
        <v>215</v>
      </c>
      <c r="X24" s="12">
        <v>550</v>
      </c>
      <c r="Y24" s="12">
        <v>379</v>
      </c>
      <c r="Z24" s="12">
        <v>328</v>
      </c>
      <c r="AA24" s="12">
        <v>355</v>
      </c>
      <c r="AB24" s="12">
        <v>327</v>
      </c>
      <c r="AC24" s="12">
        <v>351</v>
      </c>
      <c r="AD24" s="12">
        <v>302</v>
      </c>
      <c r="AE24" s="12">
        <v>460</v>
      </c>
      <c r="AF24" s="12">
        <v>445</v>
      </c>
    </row>
    <row r="25" spans="1:32">
      <c r="A25" s="19"/>
      <c r="B25" s="13" t="s">
        <v>499</v>
      </c>
      <c r="C25" s="14">
        <v>0.35</v>
      </c>
      <c r="D25" s="14">
        <v>0.43</v>
      </c>
      <c r="E25" s="14">
        <v>0.25</v>
      </c>
      <c r="F25" s="14">
        <v>0.37</v>
      </c>
      <c r="G25" s="14">
        <v>0.55000000000000004</v>
      </c>
      <c r="H25" s="14">
        <v>0.37</v>
      </c>
      <c r="I25" s="14">
        <v>0.39</v>
      </c>
      <c r="J25" s="14">
        <v>0.5</v>
      </c>
      <c r="K25" s="14">
        <v>0.44</v>
      </c>
      <c r="L25" s="14">
        <v>0.33</v>
      </c>
      <c r="M25" s="14">
        <v>0.33</v>
      </c>
      <c r="N25" s="14">
        <v>0.31</v>
      </c>
      <c r="O25" s="14">
        <v>0.32</v>
      </c>
      <c r="P25" s="14">
        <v>0.35</v>
      </c>
      <c r="Q25" s="14">
        <v>0.25</v>
      </c>
      <c r="R25" s="14">
        <v>0.38</v>
      </c>
      <c r="S25" s="14">
        <v>0.34</v>
      </c>
      <c r="T25" s="14">
        <v>0.35</v>
      </c>
      <c r="U25" s="14">
        <v>0.36</v>
      </c>
      <c r="V25" s="14">
        <v>0.3</v>
      </c>
      <c r="W25" s="14">
        <v>0.43</v>
      </c>
      <c r="X25" s="14">
        <v>0.55000000000000004</v>
      </c>
      <c r="Y25" s="14">
        <v>0.38</v>
      </c>
      <c r="Z25" s="14">
        <v>0.32</v>
      </c>
      <c r="AA25" s="14">
        <v>0.34</v>
      </c>
      <c r="AB25" s="14">
        <v>0.32</v>
      </c>
      <c r="AC25" s="14">
        <v>0.35</v>
      </c>
      <c r="AD25" s="14">
        <v>0.31</v>
      </c>
      <c r="AE25" s="14">
        <v>0.46</v>
      </c>
      <c r="AF25" s="14">
        <v>0.43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745</v>
      </c>
      <c r="C3" s="17"/>
      <c r="D3" s="17"/>
      <c r="E3" s="17"/>
      <c r="F3" s="17"/>
      <c r="H3" s="17" t="s">
        <v>746</v>
      </c>
      <c r="I3" s="17"/>
      <c r="J3" s="17"/>
      <c r="K3" s="17"/>
      <c r="L3" s="17"/>
    </row>
    <row r="4" spans="1:32" ht="27" customHeight="1">
      <c r="B4" s="17" t="s">
        <v>747</v>
      </c>
      <c r="C4" s="17"/>
      <c r="D4" s="17"/>
      <c r="E4" s="17"/>
      <c r="F4" s="17"/>
      <c r="H4" s="17" t="s">
        <v>748</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3934</v>
      </c>
      <c r="D12" s="12">
        <v>131</v>
      </c>
      <c r="E12" s="12">
        <v>150</v>
      </c>
      <c r="F12" s="12">
        <v>146</v>
      </c>
      <c r="G12" s="12">
        <v>299</v>
      </c>
      <c r="H12" s="12">
        <v>170</v>
      </c>
      <c r="I12" s="12">
        <v>231</v>
      </c>
      <c r="J12" s="12">
        <v>61</v>
      </c>
      <c r="K12" s="12">
        <v>89</v>
      </c>
      <c r="L12" s="12">
        <v>345</v>
      </c>
      <c r="M12" s="12">
        <v>149</v>
      </c>
      <c r="N12" s="12">
        <v>233</v>
      </c>
      <c r="O12" s="12">
        <v>84</v>
      </c>
      <c r="P12" s="12">
        <v>171</v>
      </c>
      <c r="Q12" s="12">
        <v>145</v>
      </c>
      <c r="R12" s="12">
        <v>104</v>
      </c>
      <c r="S12" s="12">
        <v>186</v>
      </c>
      <c r="T12" s="12">
        <v>245</v>
      </c>
      <c r="U12" s="12">
        <v>37</v>
      </c>
      <c r="V12" s="12">
        <v>141</v>
      </c>
      <c r="W12" s="12">
        <v>106</v>
      </c>
      <c r="X12" s="12">
        <v>126</v>
      </c>
      <c r="Y12" s="12">
        <v>270</v>
      </c>
      <c r="Z12" s="12">
        <v>160</v>
      </c>
      <c r="AA12" s="12">
        <v>61</v>
      </c>
      <c r="AB12" s="12">
        <v>127</v>
      </c>
      <c r="AC12" s="12">
        <v>141</v>
      </c>
      <c r="AD12" s="12">
        <v>169</v>
      </c>
      <c r="AE12" s="12">
        <v>77</v>
      </c>
      <c r="AF12" s="12">
        <v>117</v>
      </c>
    </row>
    <row r="13" spans="1:32">
      <c r="A13" s="19"/>
      <c r="B13" s="13" t="s">
        <v>707</v>
      </c>
      <c r="C13" s="14">
        <v>0.15</v>
      </c>
      <c r="D13" s="14">
        <v>0.13</v>
      </c>
      <c r="E13" s="14">
        <v>0.14000000000000001</v>
      </c>
      <c r="F13" s="14">
        <v>0.14000000000000001</v>
      </c>
      <c r="G13" s="14">
        <v>0.28999999999999998</v>
      </c>
      <c r="H13" s="14">
        <v>0.14000000000000001</v>
      </c>
      <c r="I13" s="14">
        <v>0.15</v>
      </c>
      <c r="J13" s="14">
        <v>0.21</v>
      </c>
      <c r="K13" s="14">
        <v>0.09</v>
      </c>
      <c r="L13" s="14">
        <v>0.34</v>
      </c>
      <c r="M13" s="14">
        <v>0.15</v>
      </c>
      <c r="N13" s="14">
        <v>0.23</v>
      </c>
      <c r="O13" s="14">
        <v>0.08</v>
      </c>
      <c r="P13" s="14">
        <v>0.17</v>
      </c>
      <c r="Q13" s="14">
        <v>0.14000000000000001</v>
      </c>
      <c r="R13" s="14">
        <v>0.21</v>
      </c>
      <c r="S13" s="14">
        <v>0.19</v>
      </c>
      <c r="T13" s="14">
        <v>0.24</v>
      </c>
      <c r="U13" s="14">
        <v>7.0000000000000007E-2</v>
      </c>
      <c r="V13" s="14">
        <v>0.14000000000000001</v>
      </c>
      <c r="W13" s="14">
        <v>0.21</v>
      </c>
      <c r="X13" s="14">
        <v>0.12</v>
      </c>
      <c r="Y13" s="14">
        <v>0.27</v>
      </c>
      <c r="Z13" s="14">
        <v>0.16</v>
      </c>
      <c r="AA13" s="14">
        <v>0.06</v>
      </c>
      <c r="AB13" s="14">
        <v>0.12</v>
      </c>
      <c r="AC13" s="14">
        <v>0.14000000000000001</v>
      </c>
      <c r="AD13" s="14">
        <v>0.17</v>
      </c>
      <c r="AE13" s="14">
        <v>0.08</v>
      </c>
      <c r="AF13" s="14">
        <v>0.11</v>
      </c>
    </row>
    <row r="14" spans="1:32">
      <c r="A14" s="19"/>
      <c r="B14" s="11" t="s">
        <v>490</v>
      </c>
      <c r="C14" s="12">
        <v>13431</v>
      </c>
      <c r="D14" s="12">
        <v>479</v>
      </c>
      <c r="E14" s="12">
        <v>483</v>
      </c>
      <c r="F14" s="12">
        <v>547</v>
      </c>
      <c r="G14" s="12">
        <v>547</v>
      </c>
      <c r="H14" s="12">
        <v>692</v>
      </c>
      <c r="I14" s="12">
        <v>821</v>
      </c>
      <c r="J14" s="12">
        <v>129</v>
      </c>
      <c r="K14" s="12">
        <v>457</v>
      </c>
      <c r="L14" s="12">
        <v>515</v>
      </c>
      <c r="M14" s="12">
        <v>516</v>
      </c>
      <c r="N14" s="12">
        <v>461</v>
      </c>
      <c r="O14" s="12">
        <v>397</v>
      </c>
      <c r="P14" s="12">
        <v>579</v>
      </c>
      <c r="Q14" s="12">
        <v>604</v>
      </c>
      <c r="R14" s="12">
        <v>232</v>
      </c>
      <c r="S14" s="12">
        <v>430</v>
      </c>
      <c r="T14" s="12">
        <v>522</v>
      </c>
      <c r="U14" s="12">
        <v>213</v>
      </c>
      <c r="V14" s="12">
        <v>551</v>
      </c>
      <c r="W14" s="12">
        <v>294</v>
      </c>
      <c r="X14" s="12">
        <v>585</v>
      </c>
      <c r="Y14" s="12">
        <v>482</v>
      </c>
      <c r="Z14" s="12">
        <v>621</v>
      </c>
      <c r="AA14" s="12">
        <v>475</v>
      </c>
      <c r="AB14" s="12">
        <v>477</v>
      </c>
      <c r="AC14" s="12">
        <v>375</v>
      </c>
      <c r="AD14" s="12">
        <v>463</v>
      </c>
      <c r="AE14" s="12">
        <v>406</v>
      </c>
      <c r="AF14" s="12">
        <v>595</v>
      </c>
    </row>
    <row r="15" spans="1:32">
      <c r="A15" s="19"/>
      <c r="B15" s="13" t="s">
        <v>491</v>
      </c>
      <c r="C15" s="14">
        <v>0.51</v>
      </c>
      <c r="D15" s="14">
        <v>0.47</v>
      </c>
      <c r="E15" s="14">
        <v>0.46</v>
      </c>
      <c r="F15" s="14">
        <v>0.51</v>
      </c>
      <c r="G15" s="14">
        <v>0.54</v>
      </c>
      <c r="H15" s="14">
        <v>0.56000000000000005</v>
      </c>
      <c r="I15" s="14">
        <v>0.54</v>
      </c>
      <c r="J15" s="14">
        <v>0.43</v>
      </c>
      <c r="K15" s="14">
        <v>0.46</v>
      </c>
      <c r="L15" s="14">
        <v>0.51</v>
      </c>
      <c r="M15" s="14">
        <v>0.51</v>
      </c>
      <c r="N15" s="14">
        <v>0.46</v>
      </c>
      <c r="O15" s="14">
        <v>0.4</v>
      </c>
      <c r="P15" s="14">
        <v>0.57999999999999996</v>
      </c>
      <c r="Q15" s="14">
        <v>0.59</v>
      </c>
      <c r="R15" s="14">
        <v>0.46</v>
      </c>
      <c r="S15" s="14">
        <v>0.43</v>
      </c>
      <c r="T15" s="14">
        <v>0.51</v>
      </c>
      <c r="U15" s="14">
        <v>0.42</v>
      </c>
      <c r="V15" s="14">
        <v>0.54</v>
      </c>
      <c r="W15" s="14">
        <v>0.59</v>
      </c>
      <c r="X15" s="14">
        <v>0.57999999999999996</v>
      </c>
      <c r="Y15" s="14">
        <v>0.48</v>
      </c>
      <c r="Z15" s="14">
        <v>0.61</v>
      </c>
      <c r="AA15" s="14">
        <v>0.46</v>
      </c>
      <c r="AB15" s="14">
        <v>0.46</v>
      </c>
      <c r="AC15" s="14">
        <v>0.37</v>
      </c>
      <c r="AD15" s="14">
        <v>0.46</v>
      </c>
      <c r="AE15" s="14">
        <v>0.41</v>
      </c>
      <c r="AF15" s="14">
        <v>0.57999999999999996</v>
      </c>
    </row>
    <row r="16" spans="1:32">
      <c r="A16" s="19"/>
      <c r="B16" s="11" t="s">
        <v>492</v>
      </c>
      <c r="C16" s="12">
        <v>6227</v>
      </c>
      <c r="D16" s="12">
        <v>348</v>
      </c>
      <c r="E16" s="12">
        <v>231</v>
      </c>
      <c r="F16" s="12">
        <v>262</v>
      </c>
      <c r="G16" s="12">
        <v>114</v>
      </c>
      <c r="H16" s="12">
        <v>282</v>
      </c>
      <c r="I16" s="12">
        <v>360</v>
      </c>
      <c r="J16" s="12">
        <v>78</v>
      </c>
      <c r="K16" s="12">
        <v>296</v>
      </c>
      <c r="L16" s="12">
        <v>53</v>
      </c>
      <c r="M16" s="12">
        <v>206</v>
      </c>
      <c r="N16" s="12">
        <v>195</v>
      </c>
      <c r="O16" s="12">
        <v>336</v>
      </c>
      <c r="P16" s="12">
        <v>199</v>
      </c>
      <c r="Q16" s="12">
        <v>187</v>
      </c>
      <c r="R16" s="12">
        <v>98</v>
      </c>
      <c r="S16" s="12">
        <v>234</v>
      </c>
      <c r="T16" s="12">
        <v>174</v>
      </c>
      <c r="U16" s="12">
        <v>179</v>
      </c>
      <c r="V16" s="12">
        <v>257</v>
      </c>
      <c r="W16" s="12">
        <v>79</v>
      </c>
      <c r="X16" s="12">
        <v>239</v>
      </c>
      <c r="Y16" s="12">
        <v>184</v>
      </c>
      <c r="Z16" s="12">
        <v>151</v>
      </c>
      <c r="AA16" s="12">
        <v>309</v>
      </c>
      <c r="AB16" s="12">
        <v>293</v>
      </c>
      <c r="AC16" s="12">
        <v>367</v>
      </c>
      <c r="AD16" s="12">
        <v>246</v>
      </c>
      <c r="AE16" s="12">
        <v>446</v>
      </c>
      <c r="AF16" s="12">
        <v>259</v>
      </c>
    </row>
    <row r="17" spans="1:32">
      <c r="A17" s="19"/>
      <c r="B17" s="13" t="s">
        <v>493</v>
      </c>
      <c r="C17" s="14">
        <v>0.23</v>
      </c>
      <c r="D17" s="14">
        <v>0.34</v>
      </c>
      <c r="E17" s="14">
        <v>0.22</v>
      </c>
      <c r="F17" s="14">
        <v>0.25</v>
      </c>
      <c r="G17" s="14">
        <v>0.11</v>
      </c>
      <c r="H17" s="14">
        <v>0.23</v>
      </c>
      <c r="I17" s="14">
        <v>0.23</v>
      </c>
      <c r="J17" s="14">
        <v>0.26</v>
      </c>
      <c r="K17" s="14">
        <v>0.28999999999999998</v>
      </c>
      <c r="L17" s="14">
        <v>0.05</v>
      </c>
      <c r="M17" s="14">
        <v>0.2</v>
      </c>
      <c r="N17" s="14">
        <v>0.19</v>
      </c>
      <c r="O17" s="14">
        <v>0.33</v>
      </c>
      <c r="P17" s="14">
        <v>0.2</v>
      </c>
      <c r="Q17" s="14">
        <v>0.18</v>
      </c>
      <c r="R17" s="14">
        <v>0.19</v>
      </c>
      <c r="S17" s="14">
        <v>0.23</v>
      </c>
      <c r="T17" s="14">
        <v>0.17</v>
      </c>
      <c r="U17" s="14">
        <v>0.35</v>
      </c>
      <c r="V17" s="14">
        <v>0.25</v>
      </c>
      <c r="W17" s="14">
        <v>0.16</v>
      </c>
      <c r="X17" s="14">
        <v>0.24</v>
      </c>
      <c r="Y17" s="14">
        <v>0.18</v>
      </c>
      <c r="Z17" s="14">
        <v>0.15</v>
      </c>
      <c r="AA17" s="14">
        <v>0.3</v>
      </c>
      <c r="AB17" s="14">
        <v>0.28000000000000003</v>
      </c>
      <c r="AC17" s="14">
        <v>0.37</v>
      </c>
      <c r="AD17" s="14">
        <v>0.24</v>
      </c>
      <c r="AE17" s="14">
        <v>0.44</v>
      </c>
      <c r="AF17" s="14">
        <v>0.25</v>
      </c>
    </row>
    <row r="18" spans="1:32">
      <c r="A18" s="19"/>
      <c r="B18" s="11" t="s">
        <v>494</v>
      </c>
      <c r="C18" s="12">
        <v>1002</v>
      </c>
      <c r="D18" s="12">
        <v>29</v>
      </c>
      <c r="E18" s="12">
        <v>48</v>
      </c>
      <c r="F18" s="12">
        <v>47</v>
      </c>
      <c r="G18" s="12">
        <v>17</v>
      </c>
      <c r="H18" s="12">
        <v>37</v>
      </c>
      <c r="I18" s="12">
        <v>55</v>
      </c>
      <c r="J18" s="12">
        <v>18</v>
      </c>
      <c r="K18" s="12">
        <v>84</v>
      </c>
      <c r="L18" s="12">
        <v>8</v>
      </c>
      <c r="M18" s="12">
        <v>79</v>
      </c>
      <c r="N18" s="12">
        <v>33</v>
      </c>
      <c r="O18" s="12">
        <v>60</v>
      </c>
      <c r="P18" s="12">
        <v>19</v>
      </c>
      <c r="Q18" s="12">
        <v>20</v>
      </c>
      <c r="R18" s="12">
        <v>33</v>
      </c>
      <c r="S18" s="12">
        <v>74</v>
      </c>
      <c r="T18" s="12">
        <v>36</v>
      </c>
      <c r="U18" s="12">
        <v>30</v>
      </c>
      <c r="V18" s="12">
        <v>54</v>
      </c>
      <c r="W18" s="12">
        <v>12</v>
      </c>
      <c r="X18" s="12">
        <v>15</v>
      </c>
      <c r="Y18" s="12">
        <v>22</v>
      </c>
      <c r="Z18" s="12">
        <v>36</v>
      </c>
      <c r="AA18" s="12">
        <v>35</v>
      </c>
      <c r="AB18" s="12">
        <v>65</v>
      </c>
      <c r="AC18" s="12">
        <v>90</v>
      </c>
      <c r="AD18" s="12">
        <v>37</v>
      </c>
      <c r="AE18" s="12">
        <v>31</v>
      </c>
      <c r="AF18" s="12">
        <v>23</v>
      </c>
    </row>
    <row r="19" spans="1:32">
      <c r="A19" s="19"/>
      <c r="B19" s="13" t="s">
        <v>708</v>
      </c>
      <c r="C19" s="14">
        <v>0.04</v>
      </c>
      <c r="D19" s="14">
        <v>0.03</v>
      </c>
      <c r="E19" s="14">
        <v>0.05</v>
      </c>
      <c r="F19" s="14">
        <v>0.04</v>
      </c>
      <c r="G19" s="14">
        <v>0.02</v>
      </c>
      <c r="H19" s="14">
        <v>0.03</v>
      </c>
      <c r="I19" s="14">
        <v>0.04</v>
      </c>
      <c r="J19" s="14">
        <v>0.06</v>
      </c>
      <c r="K19" s="14">
        <v>0.08</v>
      </c>
      <c r="L19" s="14">
        <v>0.01</v>
      </c>
      <c r="M19" s="14">
        <v>0.08</v>
      </c>
      <c r="N19" s="14">
        <v>0.03</v>
      </c>
      <c r="O19" s="14">
        <v>0.06</v>
      </c>
      <c r="P19" s="14">
        <v>0.02</v>
      </c>
      <c r="Q19" s="14">
        <v>0.02</v>
      </c>
      <c r="R19" s="14">
        <v>7.0000000000000007E-2</v>
      </c>
      <c r="S19" s="14">
        <v>7.0000000000000007E-2</v>
      </c>
      <c r="T19" s="14">
        <v>0.03</v>
      </c>
      <c r="U19" s="14">
        <v>0.06</v>
      </c>
      <c r="V19" s="14">
        <v>0.05</v>
      </c>
      <c r="W19" s="14">
        <v>0.02</v>
      </c>
      <c r="X19" s="14">
        <v>0.02</v>
      </c>
      <c r="Y19" s="14">
        <v>0.02</v>
      </c>
      <c r="Z19" s="14">
        <v>0.03</v>
      </c>
      <c r="AA19" s="14">
        <v>0.03</v>
      </c>
      <c r="AB19" s="14">
        <v>0.06</v>
      </c>
      <c r="AC19" s="14">
        <v>0.09</v>
      </c>
      <c r="AD19" s="14">
        <v>0.04</v>
      </c>
      <c r="AE19" s="14">
        <v>0.03</v>
      </c>
      <c r="AF19" s="14">
        <v>0.02</v>
      </c>
    </row>
    <row r="20" spans="1:32">
      <c r="A20" s="19"/>
      <c r="B20" s="11" t="s">
        <v>386</v>
      </c>
      <c r="C20" s="12">
        <v>1859</v>
      </c>
      <c r="D20" s="12">
        <v>34</v>
      </c>
      <c r="E20" s="12">
        <v>134</v>
      </c>
      <c r="F20" s="12">
        <v>61</v>
      </c>
      <c r="G20" s="12">
        <v>38</v>
      </c>
      <c r="H20" s="12">
        <v>49</v>
      </c>
      <c r="I20" s="12">
        <v>60</v>
      </c>
      <c r="J20" s="12">
        <v>12</v>
      </c>
      <c r="K20" s="12">
        <v>80</v>
      </c>
      <c r="L20" s="12">
        <v>86</v>
      </c>
      <c r="M20" s="12">
        <v>56</v>
      </c>
      <c r="N20" s="12">
        <v>89</v>
      </c>
      <c r="O20" s="12">
        <v>127</v>
      </c>
      <c r="P20" s="12">
        <v>34</v>
      </c>
      <c r="Q20" s="12">
        <v>75</v>
      </c>
      <c r="R20" s="12">
        <v>34</v>
      </c>
      <c r="S20" s="12">
        <v>81</v>
      </c>
      <c r="T20" s="12">
        <v>47</v>
      </c>
      <c r="U20" s="12">
        <v>50</v>
      </c>
      <c r="V20" s="12">
        <v>23</v>
      </c>
      <c r="W20" s="12">
        <v>12</v>
      </c>
      <c r="X20" s="12">
        <v>45</v>
      </c>
      <c r="Y20" s="12">
        <v>45</v>
      </c>
      <c r="Z20" s="12">
        <v>49</v>
      </c>
      <c r="AA20" s="12">
        <v>157</v>
      </c>
      <c r="AB20" s="12">
        <v>78</v>
      </c>
      <c r="AC20" s="12">
        <v>31</v>
      </c>
      <c r="AD20" s="12">
        <v>88</v>
      </c>
      <c r="AE20" s="12">
        <v>41</v>
      </c>
      <c r="AF20" s="12">
        <v>36</v>
      </c>
    </row>
    <row r="21" spans="1:32">
      <c r="A21" s="19"/>
      <c r="B21" s="13" t="s">
        <v>399</v>
      </c>
      <c r="C21" s="14">
        <v>7.0000000000000007E-2</v>
      </c>
      <c r="D21" s="14">
        <v>0.03</v>
      </c>
      <c r="E21" s="14">
        <v>0.13</v>
      </c>
      <c r="F21" s="14">
        <v>0.06</v>
      </c>
      <c r="G21" s="14">
        <v>0.04</v>
      </c>
      <c r="H21" s="14">
        <v>0.04</v>
      </c>
      <c r="I21" s="14">
        <v>0.04</v>
      </c>
      <c r="J21" s="14">
        <v>0.04</v>
      </c>
      <c r="K21" s="14">
        <v>0.08</v>
      </c>
      <c r="L21" s="14">
        <v>0.09</v>
      </c>
      <c r="M21" s="14">
        <v>0.06</v>
      </c>
      <c r="N21" s="14">
        <v>0.09</v>
      </c>
      <c r="O21" s="14">
        <v>0.13</v>
      </c>
      <c r="P21" s="14">
        <v>0.03</v>
      </c>
      <c r="Q21" s="14">
        <v>7.0000000000000007E-2</v>
      </c>
      <c r="R21" s="14">
        <v>7.0000000000000007E-2</v>
      </c>
      <c r="S21" s="14">
        <v>0.08</v>
      </c>
      <c r="T21" s="14">
        <v>0.05</v>
      </c>
      <c r="U21" s="14">
        <v>0.1</v>
      </c>
      <c r="V21" s="14">
        <v>0.02</v>
      </c>
      <c r="W21" s="14">
        <v>0.02</v>
      </c>
      <c r="X21" s="14">
        <v>0.04</v>
      </c>
      <c r="Y21" s="14">
        <v>0.05</v>
      </c>
      <c r="Z21" s="14">
        <v>0.05</v>
      </c>
      <c r="AA21" s="14">
        <v>0.15</v>
      </c>
      <c r="AB21" s="14">
        <v>0.08</v>
      </c>
      <c r="AC21" s="14">
        <v>0.03</v>
      </c>
      <c r="AD21" s="14">
        <v>0.09</v>
      </c>
      <c r="AE21" s="14">
        <v>0.04</v>
      </c>
      <c r="AF21" s="14">
        <v>0.04</v>
      </c>
    </row>
    <row r="22" spans="1:32">
      <c r="A22" s="19"/>
      <c r="B22" s="11" t="s">
        <v>496</v>
      </c>
      <c r="C22" s="12">
        <v>17365</v>
      </c>
      <c r="D22" s="12">
        <v>610</v>
      </c>
      <c r="E22" s="12">
        <v>633</v>
      </c>
      <c r="F22" s="12">
        <v>693</v>
      </c>
      <c r="G22" s="12">
        <v>846</v>
      </c>
      <c r="H22" s="12">
        <v>862</v>
      </c>
      <c r="I22" s="12">
        <v>1052</v>
      </c>
      <c r="J22" s="12">
        <v>190</v>
      </c>
      <c r="K22" s="12">
        <v>546</v>
      </c>
      <c r="L22" s="12">
        <v>860</v>
      </c>
      <c r="M22" s="12">
        <v>665</v>
      </c>
      <c r="N22" s="12">
        <v>694</v>
      </c>
      <c r="O22" s="12">
        <v>481</v>
      </c>
      <c r="P22" s="12">
        <v>750</v>
      </c>
      <c r="Q22" s="12">
        <v>749</v>
      </c>
      <c r="R22" s="12">
        <v>336</v>
      </c>
      <c r="S22" s="12">
        <v>616</v>
      </c>
      <c r="T22" s="12">
        <v>767</v>
      </c>
      <c r="U22" s="12">
        <v>250</v>
      </c>
      <c r="V22" s="12">
        <v>692</v>
      </c>
      <c r="W22" s="12">
        <v>400</v>
      </c>
      <c r="X22" s="12">
        <v>711</v>
      </c>
      <c r="Y22" s="12">
        <v>752</v>
      </c>
      <c r="Z22" s="12">
        <v>781</v>
      </c>
      <c r="AA22" s="12">
        <v>536</v>
      </c>
      <c r="AB22" s="12">
        <v>604</v>
      </c>
      <c r="AC22" s="12">
        <v>516</v>
      </c>
      <c r="AD22" s="12">
        <v>632</v>
      </c>
      <c r="AE22" s="12">
        <v>483</v>
      </c>
      <c r="AF22" s="12">
        <v>712</v>
      </c>
    </row>
    <row r="23" spans="1:32">
      <c r="A23" s="19"/>
      <c r="B23" s="13" t="s">
        <v>497</v>
      </c>
      <c r="C23" s="14">
        <v>0.66</v>
      </c>
      <c r="D23" s="14">
        <v>0.6</v>
      </c>
      <c r="E23" s="14">
        <v>0.6</v>
      </c>
      <c r="F23" s="14">
        <v>0.65</v>
      </c>
      <c r="G23" s="14">
        <v>0.83000000000000007</v>
      </c>
      <c r="H23" s="14">
        <v>0.70000000000000007</v>
      </c>
      <c r="I23" s="14">
        <v>0.69000000000000006</v>
      </c>
      <c r="J23" s="14">
        <v>0.64</v>
      </c>
      <c r="K23" s="14">
        <v>0.55000000000000004</v>
      </c>
      <c r="L23" s="14">
        <v>0.85</v>
      </c>
      <c r="M23" s="14">
        <v>0.66</v>
      </c>
      <c r="N23" s="14">
        <v>0.69000000000000006</v>
      </c>
      <c r="O23" s="14">
        <v>0.48</v>
      </c>
      <c r="P23" s="14">
        <v>0.75</v>
      </c>
      <c r="Q23" s="14">
        <v>0.73</v>
      </c>
      <c r="R23" s="14">
        <v>0.67</v>
      </c>
      <c r="S23" s="14">
        <v>0.62</v>
      </c>
      <c r="T23" s="14">
        <v>0.75</v>
      </c>
      <c r="U23" s="14">
        <v>0.49</v>
      </c>
      <c r="V23" s="14">
        <v>0.68</v>
      </c>
      <c r="W23" s="14">
        <v>0.8</v>
      </c>
      <c r="X23" s="14">
        <v>0.70000000000000007</v>
      </c>
      <c r="Y23" s="14">
        <v>0.75</v>
      </c>
      <c r="Z23" s="14">
        <v>0.77</v>
      </c>
      <c r="AA23" s="14">
        <v>0.52</v>
      </c>
      <c r="AB23" s="14">
        <v>0.57999999999999996</v>
      </c>
      <c r="AC23" s="14">
        <v>0.51</v>
      </c>
      <c r="AD23" s="14">
        <v>0.63</v>
      </c>
      <c r="AE23" s="14">
        <v>0.49</v>
      </c>
      <c r="AF23" s="14">
        <v>0.69000000000000006</v>
      </c>
    </row>
    <row r="24" spans="1:32">
      <c r="A24" s="19"/>
      <c r="B24" s="11" t="s">
        <v>498</v>
      </c>
      <c r="C24" s="12">
        <v>7229</v>
      </c>
      <c r="D24" s="12">
        <v>377</v>
      </c>
      <c r="E24" s="12">
        <v>279</v>
      </c>
      <c r="F24" s="12">
        <v>309</v>
      </c>
      <c r="G24" s="12">
        <v>131</v>
      </c>
      <c r="H24" s="12">
        <v>319</v>
      </c>
      <c r="I24" s="12">
        <v>415</v>
      </c>
      <c r="J24" s="12">
        <v>96</v>
      </c>
      <c r="K24" s="12">
        <v>380</v>
      </c>
      <c r="L24" s="12">
        <v>61</v>
      </c>
      <c r="M24" s="12">
        <v>285</v>
      </c>
      <c r="N24" s="12">
        <v>228</v>
      </c>
      <c r="O24" s="12">
        <v>396</v>
      </c>
      <c r="P24" s="12">
        <v>218</v>
      </c>
      <c r="Q24" s="12">
        <v>207</v>
      </c>
      <c r="R24" s="12">
        <v>131</v>
      </c>
      <c r="S24" s="12">
        <v>308</v>
      </c>
      <c r="T24" s="12">
        <v>210</v>
      </c>
      <c r="U24" s="12">
        <v>209</v>
      </c>
      <c r="V24" s="12">
        <v>311</v>
      </c>
      <c r="W24" s="12">
        <v>91</v>
      </c>
      <c r="X24" s="12">
        <v>254</v>
      </c>
      <c r="Y24" s="12">
        <v>206</v>
      </c>
      <c r="Z24" s="12">
        <v>187</v>
      </c>
      <c r="AA24" s="12">
        <v>344</v>
      </c>
      <c r="AB24" s="12">
        <v>358</v>
      </c>
      <c r="AC24" s="12">
        <v>457</v>
      </c>
      <c r="AD24" s="12">
        <v>283</v>
      </c>
      <c r="AE24" s="12">
        <v>477</v>
      </c>
      <c r="AF24" s="12">
        <v>282</v>
      </c>
    </row>
    <row r="25" spans="1:32">
      <c r="A25" s="19"/>
      <c r="B25" s="13" t="s">
        <v>499</v>
      </c>
      <c r="C25" s="14">
        <v>0.27</v>
      </c>
      <c r="D25" s="14">
        <v>0.37</v>
      </c>
      <c r="E25" s="14">
        <v>0.27</v>
      </c>
      <c r="F25" s="14">
        <v>0.28999999999999998</v>
      </c>
      <c r="G25" s="14">
        <v>0.13</v>
      </c>
      <c r="H25" s="14">
        <v>0.26</v>
      </c>
      <c r="I25" s="14">
        <v>0.27</v>
      </c>
      <c r="J25" s="14">
        <v>0.32</v>
      </c>
      <c r="K25" s="14">
        <v>0.37</v>
      </c>
      <c r="L25" s="14">
        <v>0.06</v>
      </c>
      <c r="M25" s="14">
        <v>0.28000000000000003</v>
      </c>
      <c r="N25" s="14">
        <v>0.22</v>
      </c>
      <c r="O25" s="14">
        <v>0.39</v>
      </c>
      <c r="P25" s="14">
        <v>0.22</v>
      </c>
      <c r="Q25" s="14">
        <v>0.2</v>
      </c>
      <c r="R25" s="14">
        <v>0.26</v>
      </c>
      <c r="S25" s="14">
        <v>0.3</v>
      </c>
      <c r="T25" s="14">
        <v>0.2</v>
      </c>
      <c r="U25" s="14">
        <v>0.41</v>
      </c>
      <c r="V25" s="14">
        <v>0.3</v>
      </c>
      <c r="W25" s="14">
        <v>0.18</v>
      </c>
      <c r="X25" s="14">
        <v>0.26</v>
      </c>
      <c r="Y25" s="14">
        <v>0.2</v>
      </c>
      <c r="Z25" s="14">
        <v>0.18</v>
      </c>
      <c r="AA25" s="14">
        <v>0.33</v>
      </c>
      <c r="AB25" s="14">
        <v>0.34</v>
      </c>
      <c r="AC25" s="14">
        <v>0.46</v>
      </c>
      <c r="AD25" s="14">
        <v>0.28000000000000003</v>
      </c>
      <c r="AE25" s="14">
        <v>0.47</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749</v>
      </c>
      <c r="C3" s="17"/>
      <c r="D3" s="17"/>
      <c r="E3" s="17"/>
      <c r="F3" s="17"/>
      <c r="H3" s="17" t="s">
        <v>750</v>
      </c>
      <c r="I3" s="17"/>
      <c r="J3" s="17"/>
      <c r="K3" s="17"/>
      <c r="L3" s="17"/>
    </row>
    <row r="4" spans="1:32" ht="27" customHeight="1">
      <c r="B4" s="17" t="s">
        <v>751</v>
      </c>
      <c r="C4" s="17"/>
      <c r="D4" s="17"/>
      <c r="E4" s="17"/>
      <c r="F4" s="17"/>
      <c r="H4" s="17" t="s">
        <v>752</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3985</v>
      </c>
      <c r="D12" s="12">
        <v>100</v>
      </c>
      <c r="E12" s="12">
        <v>142</v>
      </c>
      <c r="F12" s="12">
        <v>128</v>
      </c>
      <c r="G12" s="12">
        <v>136</v>
      </c>
      <c r="H12" s="12">
        <v>187</v>
      </c>
      <c r="I12" s="12">
        <v>238</v>
      </c>
      <c r="J12" s="12">
        <v>51</v>
      </c>
      <c r="K12" s="12">
        <v>109</v>
      </c>
      <c r="L12" s="12">
        <v>323</v>
      </c>
      <c r="M12" s="12">
        <v>86</v>
      </c>
      <c r="N12" s="12">
        <v>295</v>
      </c>
      <c r="O12" s="12">
        <v>77</v>
      </c>
      <c r="P12" s="12">
        <v>150</v>
      </c>
      <c r="Q12" s="12">
        <v>161</v>
      </c>
      <c r="R12" s="12">
        <v>49</v>
      </c>
      <c r="S12" s="12">
        <v>173</v>
      </c>
      <c r="T12" s="12">
        <v>285</v>
      </c>
      <c r="U12" s="12">
        <v>43</v>
      </c>
      <c r="V12" s="12">
        <v>147</v>
      </c>
      <c r="W12" s="12">
        <v>82</v>
      </c>
      <c r="X12" s="12">
        <v>45</v>
      </c>
      <c r="Y12" s="12">
        <v>286</v>
      </c>
      <c r="Z12" s="12">
        <v>152</v>
      </c>
      <c r="AA12" s="12">
        <v>92</v>
      </c>
      <c r="AB12" s="12">
        <v>131</v>
      </c>
      <c r="AC12" s="12">
        <v>152</v>
      </c>
      <c r="AD12" s="12">
        <v>210</v>
      </c>
      <c r="AE12" s="12">
        <v>131</v>
      </c>
      <c r="AF12" s="12">
        <v>107</v>
      </c>
    </row>
    <row r="13" spans="1:32">
      <c r="A13" s="19"/>
      <c r="B13" s="13" t="s">
        <v>707</v>
      </c>
      <c r="C13" s="14">
        <v>0.15</v>
      </c>
      <c r="D13" s="14">
        <v>0.1</v>
      </c>
      <c r="E13" s="14">
        <v>0.14000000000000001</v>
      </c>
      <c r="F13" s="14">
        <v>0.12</v>
      </c>
      <c r="G13" s="14">
        <v>0.13</v>
      </c>
      <c r="H13" s="14">
        <v>0.15</v>
      </c>
      <c r="I13" s="14">
        <v>0.16</v>
      </c>
      <c r="J13" s="14">
        <v>0.17</v>
      </c>
      <c r="K13" s="14">
        <v>0.11</v>
      </c>
      <c r="L13" s="14">
        <v>0.32</v>
      </c>
      <c r="M13" s="14">
        <v>0.09</v>
      </c>
      <c r="N13" s="14">
        <v>0.28999999999999998</v>
      </c>
      <c r="O13" s="14">
        <v>7.0000000000000007E-2</v>
      </c>
      <c r="P13" s="14">
        <v>0.15</v>
      </c>
      <c r="Q13" s="14">
        <v>0.16</v>
      </c>
      <c r="R13" s="14">
        <v>0.1</v>
      </c>
      <c r="S13" s="14">
        <v>0.17</v>
      </c>
      <c r="T13" s="14">
        <v>0.28000000000000003</v>
      </c>
      <c r="U13" s="14">
        <v>0.08</v>
      </c>
      <c r="V13" s="14">
        <v>0.14000000000000001</v>
      </c>
      <c r="W13" s="14">
        <v>0.16</v>
      </c>
      <c r="X13" s="14">
        <v>0.04</v>
      </c>
      <c r="Y13" s="14">
        <v>0.28999999999999998</v>
      </c>
      <c r="Z13" s="14">
        <v>0.15</v>
      </c>
      <c r="AA13" s="14">
        <v>0.09</v>
      </c>
      <c r="AB13" s="14">
        <v>0.13</v>
      </c>
      <c r="AC13" s="14">
        <v>0.15</v>
      </c>
      <c r="AD13" s="14">
        <v>0.21</v>
      </c>
      <c r="AE13" s="14">
        <v>0.13</v>
      </c>
      <c r="AF13" s="14">
        <v>0.1</v>
      </c>
    </row>
    <row r="14" spans="1:32">
      <c r="A14" s="19"/>
      <c r="B14" s="11" t="s">
        <v>490</v>
      </c>
      <c r="C14" s="12">
        <v>12995</v>
      </c>
      <c r="D14" s="12">
        <v>444</v>
      </c>
      <c r="E14" s="12">
        <v>480</v>
      </c>
      <c r="F14" s="12">
        <v>523</v>
      </c>
      <c r="G14" s="12">
        <v>435</v>
      </c>
      <c r="H14" s="12">
        <v>628</v>
      </c>
      <c r="I14" s="12">
        <v>772</v>
      </c>
      <c r="J14" s="12">
        <v>144</v>
      </c>
      <c r="K14" s="12">
        <v>450</v>
      </c>
      <c r="L14" s="12">
        <v>496</v>
      </c>
      <c r="M14" s="12">
        <v>429</v>
      </c>
      <c r="N14" s="12">
        <v>470</v>
      </c>
      <c r="O14" s="12">
        <v>440</v>
      </c>
      <c r="P14" s="12">
        <v>535</v>
      </c>
      <c r="Q14" s="12">
        <v>562</v>
      </c>
      <c r="R14" s="12">
        <v>206</v>
      </c>
      <c r="S14" s="12">
        <v>462</v>
      </c>
      <c r="T14" s="12">
        <v>530</v>
      </c>
      <c r="U14" s="12">
        <v>232</v>
      </c>
      <c r="V14" s="12">
        <v>553</v>
      </c>
      <c r="W14" s="12">
        <v>286</v>
      </c>
      <c r="X14" s="12">
        <v>354</v>
      </c>
      <c r="Y14" s="12">
        <v>459</v>
      </c>
      <c r="Z14" s="12">
        <v>637</v>
      </c>
      <c r="AA14" s="12">
        <v>506</v>
      </c>
      <c r="AB14" s="12">
        <v>535</v>
      </c>
      <c r="AC14" s="12">
        <v>467</v>
      </c>
      <c r="AD14" s="12">
        <v>531</v>
      </c>
      <c r="AE14" s="12">
        <v>388</v>
      </c>
      <c r="AF14" s="12">
        <v>467</v>
      </c>
    </row>
    <row r="15" spans="1:32">
      <c r="A15" s="19"/>
      <c r="B15" s="13" t="s">
        <v>491</v>
      </c>
      <c r="C15" s="14">
        <v>0.49</v>
      </c>
      <c r="D15" s="14">
        <v>0.43</v>
      </c>
      <c r="E15" s="14">
        <v>0.46</v>
      </c>
      <c r="F15" s="14">
        <v>0.49</v>
      </c>
      <c r="G15" s="14">
        <v>0.43</v>
      </c>
      <c r="H15" s="14">
        <v>0.51</v>
      </c>
      <c r="I15" s="14">
        <v>0.5</v>
      </c>
      <c r="J15" s="14">
        <v>0.48</v>
      </c>
      <c r="K15" s="14">
        <v>0.45</v>
      </c>
      <c r="L15" s="14">
        <v>0.49</v>
      </c>
      <c r="M15" s="14">
        <v>0.43</v>
      </c>
      <c r="N15" s="14">
        <v>0.47</v>
      </c>
      <c r="O15" s="14">
        <v>0.44</v>
      </c>
      <c r="P15" s="14">
        <v>0.54</v>
      </c>
      <c r="Q15" s="14">
        <v>0.54</v>
      </c>
      <c r="R15" s="14">
        <v>0.41</v>
      </c>
      <c r="S15" s="14">
        <v>0.46</v>
      </c>
      <c r="T15" s="14">
        <v>0.52</v>
      </c>
      <c r="U15" s="14">
        <v>0.46</v>
      </c>
      <c r="V15" s="14">
        <v>0.54</v>
      </c>
      <c r="W15" s="14">
        <v>0.57000000000000006</v>
      </c>
      <c r="X15" s="14">
        <v>0.35</v>
      </c>
      <c r="Y15" s="14">
        <v>0.46</v>
      </c>
      <c r="Z15" s="14">
        <v>0.63</v>
      </c>
      <c r="AA15" s="14">
        <v>0.49</v>
      </c>
      <c r="AB15" s="14">
        <v>0.51</v>
      </c>
      <c r="AC15" s="14">
        <v>0.47</v>
      </c>
      <c r="AD15" s="14">
        <v>0.53</v>
      </c>
      <c r="AE15" s="14">
        <v>0.39</v>
      </c>
      <c r="AF15" s="14">
        <v>0.45</v>
      </c>
    </row>
    <row r="16" spans="1:32">
      <c r="A16" s="19"/>
      <c r="B16" s="11" t="s">
        <v>492</v>
      </c>
      <c r="C16" s="12">
        <v>6861</v>
      </c>
      <c r="D16" s="12">
        <v>396</v>
      </c>
      <c r="E16" s="12">
        <v>252</v>
      </c>
      <c r="F16" s="12">
        <v>306</v>
      </c>
      <c r="G16" s="12">
        <v>356</v>
      </c>
      <c r="H16" s="12">
        <v>345</v>
      </c>
      <c r="I16" s="12">
        <v>426</v>
      </c>
      <c r="J16" s="12">
        <v>82</v>
      </c>
      <c r="K16" s="12">
        <v>324</v>
      </c>
      <c r="L16" s="12">
        <v>92</v>
      </c>
      <c r="M16" s="12">
        <v>328</v>
      </c>
      <c r="N16" s="12">
        <v>153</v>
      </c>
      <c r="O16" s="12">
        <v>318</v>
      </c>
      <c r="P16" s="12">
        <v>254</v>
      </c>
      <c r="Q16" s="12">
        <v>216</v>
      </c>
      <c r="R16" s="12">
        <v>156</v>
      </c>
      <c r="S16" s="12">
        <v>233</v>
      </c>
      <c r="T16" s="12">
        <v>131</v>
      </c>
      <c r="U16" s="12">
        <v>169</v>
      </c>
      <c r="V16" s="12">
        <v>250</v>
      </c>
      <c r="W16" s="12">
        <v>110</v>
      </c>
      <c r="X16" s="12">
        <v>501</v>
      </c>
      <c r="Y16" s="12">
        <v>177</v>
      </c>
      <c r="Z16" s="12">
        <v>155</v>
      </c>
      <c r="AA16" s="12">
        <v>279</v>
      </c>
      <c r="AB16" s="12">
        <v>259</v>
      </c>
      <c r="AC16" s="12">
        <v>324</v>
      </c>
      <c r="AD16" s="12">
        <v>191</v>
      </c>
      <c r="AE16" s="12">
        <v>408</v>
      </c>
      <c r="AF16" s="12">
        <v>388</v>
      </c>
    </row>
    <row r="17" spans="1:32">
      <c r="A17" s="19"/>
      <c r="B17" s="13" t="s">
        <v>493</v>
      </c>
      <c r="C17" s="14">
        <v>0.26</v>
      </c>
      <c r="D17" s="14">
        <v>0.39</v>
      </c>
      <c r="E17" s="14">
        <v>0.24</v>
      </c>
      <c r="F17" s="14">
        <v>0.28999999999999998</v>
      </c>
      <c r="G17" s="14">
        <v>0.35</v>
      </c>
      <c r="H17" s="14">
        <v>0.28000000000000003</v>
      </c>
      <c r="I17" s="14">
        <v>0.28000000000000003</v>
      </c>
      <c r="J17" s="14">
        <v>0.27</v>
      </c>
      <c r="K17" s="14">
        <v>0.32</v>
      </c>
      <c r="L17" s="14">
        <v>0.09</v>
      </c>
      <c r="M17" s="14">
        <v>0.32</v>
      </c>
      <c r="N17" s="14">
        <v>0.15</v>
      </c>
      <c r="O17" s="14">
        <v>0.32</v>
      </c>
      <c r="P17" s="14">
        <v>0.25</v>
      </c>
      <c r="Q17" s="14">
        <v>0.21</v>
      </c>
      <c r="R17" s="14">
        <v>0.31</v>
      </c>
      <c r="S17" s="14">
        <v>0.23</v>
      </c>
      <c r="T17" s="14">
        <v>0.13</v>
      </c>
      <c r="U17" s="14">
        <v>0.33</v>
      </c>
      <c r="V17" s="14">
        <v>0.24</v>
      </c>
      <c r="W17" s="14">
        <v>0.22</v>
      </c>
      <c r="X17" s="14">
        <v>0.5</v>
      </c>
      <c r="Y17" s="14">
        <v>0.18</v>
      </c>
      <c r="Z17" s="14">
        <v>0.15</v>
      </c>
      <c r="AA17" s="14">
        <v>0.27</v>
      </c>
      <c r="AB17" s="14">
        <v>0.25</v>
      </c>
      <c r="AC17" s="14">
        <v>0.32</v>
      </c>
      <c r="AD17" s="14">
        <v>0.19</v>
      </c>
      <c r="AE17" s="14">
        <v>0.41</v>
      </c>
      <c r="AF17" s="14">
        <v>0.38</v>
      </c>
    </row>
    <row r="18" spans="1:32">
      <c r="A18" s="19"/>
      <c r="B18" s="11" t="s">
        <v>494</v>
      </c>
      <c r="C18" s="12">
        <v>951</v>
      </c>
      <c r="D18" s="12">
        <v>61</v>
      </c>
      <c r="E18" s="12">
        <v>41</v>
      </c>
      <c r="F18" s="12">
        <v>51</v>
      </c>
      <c r="G18" s="12">
        <v>33</v>
      </c>
      <c r="H18" s="12">
        <v>21</v>
      </c>
      <c r="I18" s="12">
        <v>32</v>
      </c>
      <c r="J18" s="12">
        <v>11</v>
      </c>
      <c r="K18" s="12">
        <v>63</v>
      </c>
      <c r="L18" s="12">
        <v>13</v>
      </c>
      <c r="M18" s="12">
        <v>110</v>
      </c>
      <c r="N18" s="12">
        <v>28</v>
      </c>
      <c r="O18" s="12">
        <v>60</v>
      </c>
      <c r="P18" s="12">
        <v>21</v>
      </c>
      <c r="Q18" s="12">
        <v>19</v>
      </c>
      <c r="R18" s="12">
        <v>52</v>
      </c>
      <c r="S18" s="12">
        <v>42</v>
      </c>
      <c r="T18" s="12">
        <v>23</v>
      </c>
      <c r="U18" s="12">
        <v>29</v>
      </c>
      <c r="V18" s="12">
        <v>41</v>
      </c>
      <c r="W18" s="12">
        <v>13</v>
      </c>
      <c r="X18" s="12">
        <v>66</v>
      </c>
      <c r="Y18" s="12">
        <v>25</v>
      </c>
      <c r="Z18" s="12">
        <v>22</v>
      </c>
      <c r="AA18" s="12">
        <v>9</v>
      </c>
      <c r="AB18" s="12">
        <v>53</v>
      </c>
      <c r="AC18" s="12">
        <v>39</v>
      </c>
      <c r="AD18" s="12">
        <v>27</v>
      </c>
      <c r="AE18" s="12">
        <v>51</v>
      </c>
      <c r="AF18" s="12">
        <v>47</v>
      </c>
    </row>
    <row r="19" spans="1:32">
      <c r="A19" s="19"/>
      <c r="B19" s="13" t="s">
        <v>708</v>
      </c>
      <c r="C19" s="14">
        <v>0.04</v>
      </c>
      <c r="D19" s="14">
        <v>0.06</v>
      </c>
      <c r="E19" s="14">
        <v>0.04</v>
      </c>
      <c r="F19" s="14">
        <v>0.05</v>
      </c>
      <c r="G19" s="14">
        <v>0.03</v>
      </c>
      <c r="H19" s="14">
        <v>0.02</v>
      </c>
      <c r="I19" s="14">
        <v>0.02</v>
      </c>
      <c r="J19" s="14">
        <v>0.04</v>
      </c>
      <c r="K19" s="14">
        <v>0.06</v>
      </c>
      <c r="L19" s="14">
        <v>0.02</v>
      </c>
      <c r="M19" s="14">
        <v>0.11</v>
      </c>
      <c r="N19" s="14">
        <v>0.03</v>
      </c>
      <c r="O19" s="14">
        <v>0.06</v>
      </c>
      <c r="P19" s="14">
        <v>0.02</v>
      </c>
      <c r="Q19" s="14">
        <v>0.02</v>
      </c>
      <c r="R19" s="14">
        <v>0.1</v>
      </c>
      <c r="S19" s="14">
        <v>0.04</v>
      </c>
      <c r="T19" s="14">
        <v>0.02</v>
      </c>
      <c r="U19" s="14">
        <v>0.06</v>
      </c>
      <c r="V19" s="14">
        <v>0.04</v>
      </c>
      <c r="W19" s="14">
        <v>0.03</v>
      </c>
      <c r="X19" s="14">
        <v>7.0000000000000007E-2</v>
      </c>
      <c r="Y19" s="14">
        <v>0.02</v>
      </c>
      <c r="Z19" s="14">
        <v>0.02</v>
      </c>
      <c r="AA19" s="14">
        <v>0.01</v>
      </c>
      <c r="AB19" s="14">
        <v>0.05</v>
      </c>
      <c r="AC19" s="14">
        <v>0.04</v>
      </c>
      <c r="AD19" s="14">
        <v>0.03</v>
      </c>
      <c r="AE19" s="14">
        <v>0.05</v>
      </c>
      <c r="AF19" s="14">
        <v>0.05</v>
      </c>
    </row>
    <row r="20" spans="1:32">
      <c r="A20" s="19"/>
      <c r="B20" s="11" t="s">
        <v>386</v>
      </c>
      <c r="C20" s="12">
        <v>1660</v>
      </c>
      <c r="D20" s="12">
        <v>21</v>
      </c>
      <c r="E20" s="12">
        <v>131</v>
      </c>
      <c r="F20" s="12">
        <v>55</v>
      </c>
      <c r="G20" s="12">
        <v>56</v>
      </c>
      <c r="H20" s="12">
        <v>49</v>
      </c>
      <c r="I20" s="12">
        <v>59</v>
      </c>
      <c r="J20" s="12">
        <v>11</v>
      </c>
      <c r="K20" s="12">
        <v>59</v>
      </c>
      <c r="L20" s="12">
        <v>81</v>
      </c>
      <c r="M20" s="12">
        <v>54</v>
      </c>
      <c r="N20" s="12">
        <v>65</v>
      </c>
      <c r="O20" s="12">
        <v>108</v>
      </c>
      <c r="P20" s="12">
        <v>43</v>
      </c>
      <c r="Q20" s="12">
        <v>73</v>
      </c>
      <c r="R20" s="12">
        <v>37</v>
      </c>
      <c r="S20" s="12">
        <v>94</v>
      </c>
      <c r="T20" s="12">
        <v>53</v>
      </c>
      <c r="U20" s="12">
        <v>36</v>
      </c>
      <c r="V20" s="12">
        <v>35</v>
      </c>
      <c r="W20" s="12">
        <v>11</v>
      </c>
      <c r="X20" s="12">
        <v>43</v>
      </c>
      <c r="Y20" s="12">
        <v>55</v>
      </c>
      <c r="Z20" s="12">
        <v>50</v>
      </c>
      <c r="AA20" s="12">
        <v>150</v>
      </c>
      <c r="AB20" s="12">
        <v>64</v>
      </c>
      <c r="AC20" s="12">
        <v>23</v>
      </c>
      <c r="AD20" s="12">
        <v>45</v>
      </c>
      <c r="AE20" s="12">
        <v>22</v>
      </c>
      <c r="AF20" s="12">
        <v>21</v>
      </c>
    </row>
    <row r="21" spans="1:32">
      <c r="A21" s="19"/>
      <c r="B21" s="13" t="s">
        <v>399</v>
      </c>
      <c r="C21" s="14">
        <v>0.06</v>
      </c>
      <c r="D21" s="14">
        <v>0.02</v>
      </c>
      <c r="E21" s="14">
        <v>0.12</v>
      </c>
      <c r="F21" s="14">
        <v>0.05</v>
      </c>
      <c r="G21" s="14">
        <v>0.06</v>
      </c>
      <c r="H21" s="14">
        <v>0.04</v>
      </c>
      <c r="I21" s="14">
        <v>0.04</v>
      </c>
      <c r="J21" s="14">
        <v>0.04</v>
      </c>
      <c r="K21" s="14">
        <v>0.06</v>
      </c>
      <c r="L21" s="14">
        <v>0.08</v>
      </c>
      <c r="M21" s="14">
        <v>0.05</v>
      </c>
      <c r="N21" s="14">
        <v>0.06</v>
      </c>
      <c r="O21" s="14">
        <v>0.11</v>
      </c>
      <c r="P21" s="14">
        <v>0.04</v>
      </c>
      <c r="Q21" s="14">
        <v>7.0000000000000007E-2</v>
      </c>
      <c r="R21" s="14">
        <v>0.08</v>
      </c>
      <c r="S21" s="14">
        <v>0.1</v>
      </c>
      <c r="T21" s="14">
        <v>0.05</v>
      </c>
      <c r="U21" s="14">
        <v>7.0000000000000007E-2</v>
      </c>
      <c r="V21" s="14">
        <v>0.04</v>
      </c>
      <c r="W21" s="14">
        <v>0.02</v>
      </c>
      <c r="X21" s="14">
        <v>0.04</v>
      </c>
      <c r="Y21" s="14">
        <v>0.05</v>
      </c>
      <c r="Z21" s="14">
        <v>0.05</v>
      </c>
      <c r="AA21" s="14">
        <v>0.14000000000000001</v>
      </c>
      <c r="AB21" s="14">
        <v>0.06</v>
      </c>
      <c r="AC21" s="14">
        <v>0.02</v>
      </c>
      <c r="AD21" s="14">
        <v>0.04</v>
      </c>
      <c r="AE21" s="14">
        <v>0.02</v>
      </c>
      <c r="AF21" s="14">
        <v>0.02</v>
      </c>
    </row>
    <row r="22" spans="1:32">
      <c r="A22" s="19"/>
      <c r="B22" s="11" t="s">
        <v>496</v>
      </c>
      <c r="C22" s="12">
        <v>16980</v>
      </c>
      <c r="D22" s="12">
        <v>544</v>
      </c>
      <c r="E22" s="12">
        <v>622</v>
      </c>
      <c r="F22" s="12">
        <v>651</v>
      </c>
      <c r="G22" s="12">
        <v>571</v>
      </c>
      <c r="H22" s="12">
        <v>815</v>
      </c>
      <c r="I22" s="12">
        <v>1010</v>
      </c>
      <c r="J22" s="12">
        <v>195</v>
      </c>
      <c r="K22" s="12">
        <v>559</v>
      </c>
      <c r="L22" s="12">
        <v>819</v>
      </c>
      <c r="M22" s="12">
        <v>515</v>
      </c>
      <c r="N22" s="12">
        <v>765</v>
      </c>
      <c r="O22" s="12">
        <v>517</v>
      </c>
      <c r="P22" s="12">
        <v>685</v>
      </c>
      <c r="Q22" s="12">
        <v>723</v>
      </c>
      <c r="R22" s="12">
        <v>255</v>
      </c>
      <c r="S22" s="12">
        <v>635</v>
      </c>
      <c r="T22" s="12">
        <v>815</v>
      </c>
      <c r="U22" s="12">
        <v>275</v>
      </c>
      <c r="V22" s="12">
        <v>700</v>
      </c>
      <c r="W22" s="12">
        <v>368</v>
      </c>
      <c r="X22" s="12">
        <v>399</v>
      </c>
      <c r="Y22" s="12">
        <v>745</v>
      </c>
      <c r="Z22" s="12">
        <v>789</v>
      </c>
      <c r="AA22" s="12">
        <v>598</v>
      </c>
      <c r="AB22" s="12">
        <v>666</v>
      </c>
      <c r="AC22" s="12">
        <v>619</v>
      </c>
      <c r="AD22" s="12">
        <v>741</v>
      </c>
      <c r="AE22" s="12">
        <v>519</v>
      </c>
      <c r="AF22" s="12">
        <v>574</v>
      </c>
    </row>
    <row r="23" spans="1:32">
      <c r="A23" s="19"/>
      <c r="B23" s="13" t="s">
        <v>497</v>
      </c>
      <c r="C23" s="14">
        <v>0.64</v>
      </c>
      <c r="D23" s="14">
        <v>0.53</v>
      </c>
      <c r="E23" s="14">
        <v>0.6</v>
      </c>
      <c r="F23" s="14">
        <v>0.61</v>
      </c>
      <c r="G23" s="14">
        <v>0.56000000000000005</v>
      </c>
      <c r="H23" s="14">
        <v>0.66</v>
      </c>
      <c r="I23" s="14">
        <v>0.66</v>
      </c>
      <c r="J23" s="14">
        <v>0.65</v>
      </c>
      <c r="K23" s="14">
        <v>0.56000000000000005</v>
      </c>
      <c r="L23" s="14">
        <v>0.81</v>
      </c>
      <c r="M23" s="14">
        <v>0.52</v>
      </c>
      <c r="N23" s="14">
        <v>0.76</v>
      </c>
      <c r="O23" s="14">
        <v>0.51</v>
      </c>
      <c r="P23" s="14">
        <v>0.69000000000000006</v>
      </c>
      <c r="Q23" s="14">
        <v>0.70000000000000007</v>
      </c>
      <c r="R23" s="14">
        <v>0.51</v>
      </c>
      <c r="S23" s="14">
        <v>0.63</v>
      </c>
      <c r="T23" s="14">
        <v>0.8</v>
      </c>
      <c r="U23" s="14">
        <v>0.54</v>
      </c>
      <c r="V23" s="14">
        <v>0.68</v>
      </c>
      <c r="W23" s="14">
        <v>0.73</v>
      </c>
      <c r="X23" s="14">
        <v>0.39</v>
      </c>
      <c r="Y23" s="14">
        <v>0.75</v>
      </c>
      <c r="Z23" s="14">
        <v>0.78</v>
      </c>
      <c r="AA23" s="14">
        <v>0.57999999999999996</v>
      </c>
      <c r="AB23" s="14">
        <v>0.64</v>
      </c>
      <c r="AC23" s="14">
        <v>0.62</v>
      </c>
      <c r="AD23" s="14">
        <v>0.74</v>
      </c>
      <c r="AE23" s="14">
        <v>0.52</v>
      </c>
      <c r="AF23" s="14">
        <v>0.55000000000000004</v>
      </c>
    </row>
    <row r="24" spans="1:32">
      <c r="A24" s="19"/>
      <c r="B24" s="11" t="s">
        <v>498</v>
      </c>
      <c r="C24" s="12">
        <v>7812</v>
      </c>
      <c r="D24" s="12">
        <v>457</v>
      </c>
      <c r="E24" s="12">
        <v>293</v>
      </c>
      <c r="F24" s="12">
        <v>357</v>
      </c>
      <c r="G24" s="12">
        <v>389</v>
      </c>
      <c r="H24" s="12">
        <v>366</v>
      </c>
      <c r="I24" s="12">
        <v>458</v>
      </c>
      <c r="J24" s="12">
        <v>93</v>
      </c>
      <c r="K24" s="12">
        <v>387</v>
      </c>
      <c r="L24" s="12">
        <v>105</v>
      </c>
      <c r="M24" s="12">
        <v>438</v>
      </c>
      <c r="N24" s="12">
        <v>181</v>
      </c>
      <c r="O24" s="12">
        <v>378</v>
      </c>
      <c r="P24" s="12">
        <v>275</v>
      </c>
      <c r="Q24" s="12">
        <v>235</v>
      </c>
      <c r="R24" s="12">
        <v>208</v>
      </c>
      <c r="S24" s="12">
        <v>275</v>
      </c>
      <c r="T24" s="12">
        <v>154</v>
      </c>
      <c r="U24" s="12">
        <v>198</v>
      </c>
      <c r="V24" s="12">
        <v>291</v>
      </c>
      <c r="W24" s="12">
        <v>123</v>
      </c>
      <c r="X24" s="12">
        <v>567</v>
      </c>
      <c r="Y24" s="12">
        <v>202</v>
      </c>
      <c r="Z24" s="12">
        <v>177</v>
      </c>
      <c r="AA24" s="12">
        <v>288</v>
      </c>
      <c r="AB24" s="12">
        <v>312</v>
      </c>
      <c r="AC24" s="12">
        <v>363</v>
      </c>
      <c r="AD24" s="12">
        <v>218</v>
      </c>
      <c r="AE24" s="12">
        <v>459</v>
      </c>
      <c r="AF24" s="12">
        <v>435</v>
      </c>
    </row>
    <row r="25" spans="1:32">
      <c r="A25" s="19"/>
      <c r="B25" s="13" t="s">
        <v>499</v>
      </c>
      <c r="C25" s="14">
        <v>0.3</v>
      </c>
      <c r="D25" s="14">
        <v>0.45</v>
      </c>
      <c r="E25" s="14">
        <v>0.28000000000000003</v>
      </c>
      <c r="F25" s="14">
        <v>0.34</v>
      </c>
      <c r="G25" s="14">
        <v>0.38</v>
      </c>
      <c r="H25" s="14">
        <v>0.3</v>
      </c>
      <c r="I25" s="14">
        <v>0.3</v>
      </c>
      <c r="J25" s="14">
        <v>0.31</v>
      </c>
      <c r="K25" s="14">
        <v>0.38</v>
      </c>
      <c r="L25" s="14">
        <v>0.11</v>
      </c>
      <c r="M25" s="14">
        <v>0.43</v>
      </c>
      <c r="N25" s="14">
        <v>0.18</v>
      </c>
      <c r="O25" s="14">
        <v>0.38</v>
      </c>
      <c r="P25" s="14">
        <v>0.27</v>
      </c>
      <c r="Q25" s="14">
        <v>0.23</v>
      </c>
      <c r="R25" s="14">
        <v>0.41</v>
      </c>
      <c r="S25" s="14">
        <v>0.27</v>
      </c>
      <c r="T25" s="14">
        <v>0.15</v>
      </c>
      <c r="U25" s="14">
        <v>0.39</v>
      </c>
      <c r="V25" s="14">
        <v>0.28000000000000003</v>
      </c>
      <c r="W25" s="14">
        <v>0.25</v>
      </c>
      <c r="X25" s="14">
        <v>0.57000000000000006</v>
      </c>
      <c r="Y25" s="14">
        <v>0.2</v>
      </c>
      <c r="Z25" s="14">
        <v>0.17</v>
      </c>
      <c r="AA25" s="14">
        <v>0.28000000000000003</v>
      </c>
      <c r="AB25" s="14">
        <v>0.3</v>
      </c>
      <c r="AC25" s="14">
        <v>0.36</v>
      </c>
      <c r="AD25" s="14">
        <v>0.22</v>
      </c>
      <c r="AE25" s="14">
        <v>0.46</v>
      </c>
      <c r="AF25" s="14">
        <v>0.43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753</v>
      </c>
      <c r="C3" s="17"/>
      <c r="D3" s="17"/>
      <c r="E3" s="17"/>
      <c r="F3" s="17"/>
      <c r="H3" s="17" t="s">
        <v>754</v>
      </c>
      <c r="I3" s="17"/>
      <c r="J3" s="17"/>
      <c r="K3" s="17"/>
      <c r="L3" s="17"/>
    </row>
    <row r="4" spans="1:32" ht="27" customHeight="1">
      <c r="B4" s="17" t="s">
        <v>755</v>
      </c>
      <c r="C4" s="17"/>
      <c r="D4" s="17"/>
      <c r="E4" s="17"/>
      <c r="F4" s="17"/>
      <c r="H4" s="17" t="s">
        <v>756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7953</v>
      </c>
      <c r="D12" s="12">
        <v>284</v>
      </c>
      <c r="E12" s="12">
        <v>198</v>
      </c>
      <c r="F12" s="12">
        <v>224</v>
      </c>
      <c r="G12" s="12">
        <v>624</v>
      </c>
      <c r="H12" s="12">
        <v>473</v>
      </c>
      <c r="I12" s="12">
        <v>589</v>
      </c>
      <c r="J12" s="12">
        <v>116</v>
      </c>
      <c r="K12" s="12">
        <v>143</v>
      </c>
      <c r="L12" s="12">
        <v>483</v>
      </c>
      <c r="M12" s="12">
        <v>225</v>
      </c>
      <c r="N12" s="12">
        <v>528</v>
      </c>
      <c r="O12" s="12">
        <v>193</v>
      </c>
      <c r="P12" s="12">
        <v>242</v>
      </c>
      <c r="Q12" s="12">
        <v>214</v>
      </c>
      <c r="R12" s="12">
        <v>165</v>
      </c>
      <c r="S12" s="12">
        <v>239</v>
      </c>
      <c r="T12" s="12">
        <v>325</v>
      </c>
      <c r="U12" s="12">
        <v>98</v>
      </c>
      <c r="V12" s="12">
        <v>268</v>
      </c>
      <c r="W12" s="12">
        <v>127</v>
      </c>
      <c r="X12" s="12">
        <v>415</v>
      </c>
      <c r="Y12" s="12">
        <v>477</v>
      </c>
      <c r="Z12" s="12">
        <v>210</v>
      </c>
      <c r="AA12" s="12">
        <v>131</v>
      </c>
      <c r="AB12" s="12">
        <v>154</v>
      </c>
      <c r="AC12" s="12">
        <v>363</v>
      </c>
      <c r="AD12" s="12">
        <v>276</v>
      </c>
      <c r="AE12" s="12">
        <v>207</v>
      </c>
      <c r="AF12" s="12">
        <v>403</v>
      </c>
    </row>
    <row r="13" spans="1:32">
      <c r="A13" s="19"/>
      <c r="B13" s="13" t="s">
        <v>707</v>
      </c>
      <c r="C13" s="14">
        <v>0.3</v>
      </c>
      <c r="D13" s="14">
        <v>0.28000000000000003</v>
      </c>
      <c r="E13" s="14">
        <v>0.19</v>
      </c>
      <c r="F13" s="14">
        <v>0.21</v>
      </c>
      <c r="G13" s="14">
        <v>0.61</v>
      </c>
      <c r="H13" s="14">
        <v>0.38</v>
      </c>
      <c r="I13" s="14">
        <v>0.39</v>
      </c>
      <c r="J13" s="14">
        <v>0.39</v>
      </c>
      <c r="K13" s="14">
        <v>0.14000000000000001</v>
      </c>
      <c r="L13" s="14">
        <v>0.48</v>
      </c>
      <c r="M13" s="14">
        <v>0.22</v>
      </c>
      <c r="N13" s="14">
        <v>0.52</v>
      </c>
      <c r="O13" s="14">
        <v>0.19</v>
      </c>
      <c r="P13" s="14">
        <v>0.24</v>
      </c>
      <c r="Q13" s="14">
        <v>0.21</v>
      </c>
      <c r="R13" s="14">
        <v>0.33</v>
      </c>
      <c r="S13" s="14">
        <v>0.24</v>
      </c>
      <c r="T13" s="14">
        <v>0.32</v>
      </c>
      <c r="U13" s="14">
        <v>0.19</v>
      </c>
      <c r="V13" s="14">
        <v>0.26</v>
      </c>
      <c r="W13" s="14">
        <v>0.25</v>
      </c>
      <c r="X13" s="14">
        <v>0.41</v>
      </c>
      <c r="Y13" s="14">
        <v>0.47</v>
      </c>
      <c r="Z13" s="14">
        <v>0.21</v>
      </c>
      <c r="AA13" s="14">
        <v>0.13</v>
      </c>
      <c r="AB13" s="14">
        <v>0.15</v>
      </c>
      <c r="AC13" s="14">
        <v>0.36</v>
      </c>
      <c r="AD13" s="14">
        <v>0.28000000000000003</v>
      </c>
      <c r="AE13" s="14">
        <v>0.21</v>
      </c>
      <c r="AF13" s="14">
        <v>0.39</v>
      </c>
    </row>
    <row r="14" spans="1:32">
      <c r="A14" s="19"/>
      <c r="B14" s="11" t="s">
        <v>490</v>
      </c>
      <c r="C14" s="12">
        <v>13697</v>
      </c>
      <c r="D14" s="12">
        <v>576</v>
      </c>
      <c r="E14" s="12">
        <v>535</v>
      </c>
      <c r="F14" s="12">
        <v>597</v>
      </c>
      <c r="G14" s="12">
        <v>322</v>
      </c>
      <c r="H14" s="12">
        <v>597</v>
      </c>
      <c r="I14" s="12">
        <v>721</v>
      </c>
      <c r="J14" s="12">
        <v>124</v>
      </c>
      <c r="K14" s="12">
        <v>521</v>
      </c>
      <c r="L14" s="12">
        <v>419</v>
      </c>
      <c r="M14" s="12">
        <v>594</v>
      </c>
      <c r="N14" s="12">
        <v>376</v>
      </c>
      <c r="O14" s="12">
        <v>540</v>
      </c>
      <c r="P14" s="12">
        <v>571</v>
      </c>
      <c r="Q14" s="12">
        <v>635</v>
      </c>
      <c r="R14" s="12">
        <v>251</v>
      </c>
      <c r="S14" s="12">
        <v>479</v>
      </c>
      <c r="T14" s="12">
        <v>541</v>
      </c>
      <c r="U14" s="12">
        <v>291</v>
      </c>
      <c r="V14" s="12">
        <v>553</v>
      </c>
      <c r="W14" s="12">
        <v>309</v>
      </c>
      <c r="X14" s="12">
        <v>475</v>
      </c>
      <c r="Y14" s="12">
        <v>398</v>
      </c>
      <c r="Z14" s="12">
        <v>628</v>
      </c>
      <c r="AA14" s="12">
        <v>634</v>
      </c>
      <c r="AB14" s="12">
        <v>540</v>
      </c>
      <c r="AC14" s="12">
        <v>498</v>
      </c>
      <c r="AD14" s="12">
        <v>559</v>
      </c>
      <c r="AE14" s="12">
        <v>596</v>
      </c>
      <c r="AF14" s="12">
        <v>536</v>
      </c>
    </row>
    <row r="15" spans="1:32">
      <c r="A15" s="19"/>
      <c r="B15" s="13" t="s">
        <v>491</v>
      </c>
      <c r="C15" s="14">
        <v>0.52</v>
      </c>
      <c r="D15" s="14">
        <v>0.56000000000000005</v>
      </c>
      <c r="E15" s="14">
        <v>0.51</v>
      </c>
      <c r="F15" s="14">
        <v>0.56000000000000005</v>
      </c>
      <c r="G15" s="14">
        <v>0.32</v>
      </c>
      <c r="H15" s="14">
        <v>0.49</v>
      </c>
      <c r="I15" s="14">
        <v>0.47</v>
      </c>
      <c r="J15" s="14">
        <v>0.42</v>
      </c>
      <c r="K15" s="14">
        <v>0.52</v>
      </c>
      <c r="L15" s="14">
        <v>0.42</v>
      </c>
      <c r="M15" s="14">
        <v>0.59</v>
      </c>
      <c r="N15" s="14">
        <v>0.37</v>
      </c>
      <c r="O15" s="14">
        <v>0.54</v>
      </c>
      <c r="P15" s="14">
        <v>0.57000000000000006</v>
      </c>
      <c r="Q15" s="14">
        <v>0.62</v>
      </c>
      <c r="R15" s="14">
        <v>0.5</v>
      </c>
      <c r="S15" s="14">
        <v>0.48</v>
      </c>
      <c r="T15" s="14">
        <v>0.53</v>
      </c>
      <c r="U15" s="14">
        <v>0.57000000000000006</v>
      </c>
      <c r="V15" s="14">
        <v>0.54</v>
      </c>
      <c r="W15" s="14">
        <v>0.62</v>
      </c>
      <c r="X15" s="14">
        <v>0.47</v>
      </c>
      <c r="Y15" s="14">
        <v>0.4</v>
      </c>
      <c r="Z15" s="14">
        <v>0.62</v>
      </c>
      <c r="AA15" s="14">
        <v>0.61</v>
      </c>
      <c r="AB15" s="14">
        <v>0.52</v>
      </c>
      <c r="AC15" s="14">
        <v>0.5</v>
      </c>
      <c r="AD15" s="14">
        <v>0.56000000000000005</v>
      </c>
      <c r="AE15" s="14">
        <v>0.59</v>
      </c>
      <c r="AF15" s="14">
        <v>0.52</v>
      </c>
    </row>
    <row r="16" spans="1:32">
      <c r="A16" s="19"/>
      <c r="B16" s="11" t="s">
        <v>492</v>
      </c>
      <c r="C16" s="12">
        <v>2800</v>
      </c>
      <c r="D16" s="12">
        <v>123</v>
      </c>
      <c r="E16" s="12">
        <v>149</v>
      </c>
      <c r="F16" s="12">
        <v>176</v>
      </c>
      <c r="G16" s="12">
        <v>28</v>
      </c>
      <c r="H16" s="12">
        <v>101</v>
      </c>
      <c r="I16" s="12">
        <v>142</v>
      </c>
      <c r="J16" s="12">
        <v>40</v>
      </c>
      <c r="K16" s="12">
        <v>225</v>
      </c>
      <c r="L16" s="12">
        <v>26</v>
      </c>
      <c r="M16" s="12">
        <v>119</v>
      </c>
      <c r="N16" s="12">
        <v>49</v>
      </c>
      <c r="O16" s="12">
        <v>128</v>
      </c>
      <c r="P16" s="12">
        <v>134</v>
      </c>
      <c r="Q16" s="12">
        <v>99</v>
      </c>
      <c r="R16" s="12">
        <v>53</v>
      </c>
      <c r="S16" s="12">
        <v>171</v>
      </c>
      <c r="T16" s="12">
        <v>100</v>
      </c>
      <c r="U16" s="12">
        <v>74</v>
      </c>
      <c r="V16" s="12">
        <v>164</v>
      </c>
      <c r="W16" s="12">
        <v>44</v>
      </c>
      <c r="X16" s="12">
        <v>82</v>
      </c>
      <c r="Y16" s="12">
        <v>69</v>
      </c>
      <c r="Z16" s="12">
        <v>127</v>
      </c>
      <c r="AA16" s="12">
        <v>114</v>
      </c>
      <c r="AB16" s="12">
        <v>231</v>
      </c>
      <c r="AC16" s="12">
        <v>108</v>
      </c>
      <c r="AD16" s="12">
        <v>125</v>
      </c>
      <c r="AE16" s="12">
        <v>140</v>
      </c>
      <c r="AF16" s="12">
        <v>56</v>
      </c>
    </row>
    <row r="17" spans="1:32">
      <c r="A17" s="19"/>
      <c r="B17" s="13" t="s">
        <v>493</v>
      </c>
      <c r="C17" s="14">
        <v>0.1</v>
      </c>
      <c r="D17" s="14">
        <v>0.12</v>
      </c>
      <c r="E17" s="14">
        <v>0.14000000000000001</v>
      </c>
      <c r="F17" s="14">
        <v>0.17</v>
      </c>
      <c r="G17" s="14">
        <v>0.03</v>
      </c>
      <c r="H17" s="14">
        <v>0.08</v>
      </c>
      <c r="I17" s="14">
        <v>0.09</v>
      </c>
      <c r="J17" s="14">
        <v>0.13</v>
      </c>
      <c r="K17" s="14">
        <v>0.23</v>
      </c>
      <c r="L17" s="14">
        <v>0.02</v>
      </c>
      <c r="M17" s="14">
        <v>0.12</v>
      </c>
      <c r="N17" s="14">
        <v>0.05</v>
      </c>
      <c r="O17" s="14">
        <v>0.13</v>
      </c>
      <c r="P17" s="14">
        <v>0.14000000000000001</v>
      </c>
      <c r="Q17" s="14">
        <v>0.09</v>
      </c>
      <c r="R17" s="14">
        <v>0.11</v>
      </c>
      <c r="S17" s="14">
        <v>0.17</v>
      </c>
      <c r="T17" s="14">
        <v>0.1</v>
      </c>
      <c r="U17" s="14">
        <v>0.15</v>
      </c>
      <c r="V17" s="14">
        <v>0.16</v>
      </c>
      <c r="W17" s="14">
        <v>0.09</v>
      </c>
      <c r="X17" s="14">
        <v>0.08</v>
      </c>
      <c r="Y17" s="14">
        <v>7.0000000000000007E-2</v>
      </c>
      <c r="Z17" s="14">
        <v>0.12</v>
      </c>
      <c r="AA17" s="14">
        <v>0.11</v>
      </c>
      <c r="AB17" s="14">
        <v>0.22</v>
      </c>
      <c r="AC17" s="14">
        <v>0.11</v>
      </c>
      <c r="AD17" s="14">
        <v>0.12</v>
      </c>
      <c r="AE17" s="14">
        <v>0.14000000000000001</v>
      </c>
      <c r="AF17" s="14">
        <v>0.06</v>
      </c>
    </row>
    <row r="18" spans="1:32">
      <c r="A18" s="19"/>
      <c r="B18" s="11" t="s">
        <v>494</v>
      </c>
      <c r="C18" s="12">
        <v>455</v>
      </c>
      <c r="D18" s="12">
        <v>16</v>
      </c>
      <c r="E18" s="12">
        <v>35</v>
      </c>
      <c r="F18" s="12">
        <v>20</v>
      </c>
      <c r="G18" s="12">
        <v>12</v>
      </c>
      <c r="H18" s="12">
        <v>10</v>
      </c>
      <c r="I18" s="12">
        <v>16</v>
      </c>
      <c r="J18" s="12">
        <v>6</v>
      </c>
      <c r="K18" s="12">
        <v>54</v>
      </c>
      <c r="L18" s="12">
        <v>7</v>
      </c>
      <c r="M18" s="12">
        <v>38</v>
      </c>
      <c r="N18" s="12">
        <v>4</v>
      </c>
      <c r="O18" s="12">
        <v>25</v>
      </c>
      <c r="P18" s="12">
        <v>23</v>
      </c>
      <c r="Q18" s="12">
        <v>19</v>
      </c>
      <c r="R18" s="12">
        <v>9</v>
      </c>
      <c r="S18" s="12">
        <v>24</v>
      </c>
      <c r="T18" s="12">
        <v>12</v>
      </c>
      <c r="U18" s="12">
        <v>4</v>
      </c>
      <c r="V18" s="12">
        <v>21</v>
      </c>
      <c r="W18" s="12">
        <v>5</v>
      </c>
      <c r="X18" s="12">
        <v>11</v>
      </c>
      <c r="Y18" s="12">
        <v>12</v>
      </c>
      <c r="Z18" s="12">
        <v>17</v>
      </c>
      <c r="AA18" s="12">
        <v>11</v>
      </c>
      <c r="AB18" s="12">
        <v>60</v>
      </c>
      <c r="AC18" s="12">
        <v>10</v>
      </c>
      <c r="AD18" s="12">
        <v>9</v>
      </c>
      <c r="AE18" s="12">
        <v>18</v>
      </c>
      <c r="AF18" s="12">
        <v>3</v>
      </c>
    </row>
    <row r="19" spans="1:32">
      <c r="A19" s="19"/>
      <c r="B19" s="13" t="s">
        <v>708</v>
      </c>
      <c r="C19" s="14">
        <v>0.02</v>
      </c>
      <c r="D19" s="14">
        <v>0.02</v>
      </c>
      <c r="E19" s="14">
        <v>0.03</v>
      </c>
      <c r="F19" s="14">
        <v>0.02</v>
      </c>
      <c r="G19" s="14">
        <v>0.01</v>
      </c>
      <c r="H19" s="14">
        <v>0.01</v>
      </c>
      <c r="I19" s="14">
        <v>0.01</v>
      </c>
      <c r="J19" s="14">
        <v>0.02</v>
      </c>
      <c r="K19" s="14">
        <v>0.05</v>
      </c>
      <c r="L19" s="14">
        <v>0.01</v>
      </c>
      <c r="M19" s="14">
        <v>0.04</v>
      </c>
      <c r="N19" s="15" t="s">
        <v>375</v>
      </c>
      <c r="O19" s="14">
        <v>0.02</v>
      </c>
      <c r="P19" s="14">
        <v>0.02</v>
      </c>
      <c r="Q19" s="14">
        <v>0.02</v>
      </c>
      <c r="R19" s="14">
        <v>0.02</v>
      </c>
      <c r="S19" s="14">
        <v>0.02</v>
      </c>
      <c r="T19" s="14">
        <v>0.01</v>
      </c>
      <c r="U19" s="14">
        <v>0.01</v>
      </c>
      <c r="V19" s="14">
        <v>0.02</v>
      </c>
      <c r="W19" s="14">
        <v>0.01</v>
      </c>
      <c r="X19" s="14">
        <v>0.01</v>
      </c>
      <c r="Y19" s="14">
        <v>0.01</v>
      </c>
      <c r="Z19" s="14">
        <v>0.02</v>
      </c>
      <c r="AA19" s="14">
        <v>0.01</v>
      </c>
      <c r="AB19" s="14">
        <v>0.06</v>
      </c>
      <c r="AC19" s="14">
        <v>0.01</v>
      </c>
      <c r="AD19" s="14">
        <v>0.01</v>
      </c>
      <c r="AE19" s="14">
        <v>0.02</v>
      </c>
      <c r="AF19" s="15" t="s">
        <v>375</v>
      </c>
    </row>
    <row r="20" spans="1:32">
      <c r="A20" s="19"/>
      <c r="B20" s="11" t="s">
        <v>386</v>
      </c>
      <c r="C20" s="12">
        <v>1548</v>
      </c>
      <c r="D20" s="12">
        <v>22</v>
      </c>
      <c r="E20" s="12">
        <v>129</v>
      </c>
      <c r="F20" s="12">
        <v>46</v>
      </c>
      <c r="G20" s="12">
        <v>31</v>
      </c>
      <c r="H20" s="12">
        <v>49</v>
      </c>
      <c r="I20" s="12">
        <v>60</v>
      </c>
      <c r="J20" s="12">
        <v>11</v>
      </c>
      <c r="K20" s="12">
        <v>64</v>
      </c>
      <c r="L20" s="12">
        <v>72</v>
      </c>
      <c r="M20" s="12">
        <v>32</v>
      </c>
      <c r="N20" s="12">
        <v>55</v>
      </c>
      <c r="O20" s="12">
        <v>119</v>
      </c>
      <c r="P20" s="12">
        <v>33</v>
      </c>
      <c r="Q20" s="12">
        <v>65</v>
      </c>
      <c r="R20" s="12">
        <v>23</v>
      </c>
      <c r="S20" s="12">
        <v>91</v>
      </c>
      <c r="T20" s="12">
        <v>46</v>
      </c>
      <c r="U20" s="12">
        <v>42</v>
      </c>
      <c r="V20" s="12">
        <v>20</v>
      </c>
      <c r="W20" s="12">
        <v>17</v>
      </c>
      <c r="X20" s="12">
        <v>27</v>
      </c>
      <c r="Y20" s="12">
        <v>47</v>
      </c>
      <c r="Z20" s="12">
        <v>33</v>
      </c>
      <c r="AA20" s="12">
        <v>148</v>
      </c>
      <c r="AB20" s="12">
        <v>56</v>
      </c>
      <c r="AC20" s="12">
        <v>25</v>
      </c>
      <c r="AD20" s="12">
        <v>34</v>
      </c>
      <c r="AE20" s="12">
        <v>39</v>
      </c>
      <c r="AF20" s="12">
        <v>33</v>
      </c>
    </row>
    <row r="21" spans="1:32">
      <c r="A21" s="19"/>
      <c r="B21" s="13" t="s">
        <v>399</v>
      </c>
      <c r="C21" s="14">
        <v>0.06</v>
      </c>
      <c r="D21" s="14">
        <v>0.02</v>
      </c>
      <c r="E21" s="14">
        <v>0.13</v>
      </c>
      <c r="F21" s="14">
        <v>0.04</v>
      </c>
      <c r="G21" s="14">
        <v>0.03</v>
      </c>
      <c r="H21" s="14">
        <v>0.04</v>
      </c>
      <c r="I21" s="14">
        <v>0.04</v>
      </c>
      <c r="J21" s="14">
        <v>0.04</v>
      </c>
      <c r="K21" s="14">
        <v>0.06</v>
      </c>
      <c r="L21" s="14">
        <v>7.0000000000000007E-2</v>
      </c>
      <c r="M21" s="14">
        <v>0.03</v>
      </c>
      <c r="N21" s="14">
        <v>0.06</v>
      </c>
      <c r="O21" s="14">
        <v>0.12</v>
      </c>
      <c r="P21" s="14">
        <v>0.03</v>
      </c>
      <c r="Q21" s="14">
        <v>0.06</v>
      </c>
      <c r="R21" s="14">
        <v>0.04</v>
      </c>
      <c r="S21" s="14">
        <v>0.09</v>
      </c>
      <c r="T21" s="14">
        <v>0.04</v>
      </c>
      <c r="U21" s="14">
        <v>0.08</v>
      </c>
      <c r="V21" s="14">
        <v>0.02</v>
      </c>
      <c r="W21" s="14">
        <v>0.03</v>
      </c>
      <c r="X21" s="14">
        <v>0.03</v>
      </c>
      <c r="Y21" s="14">
        <v>0.05</v>
      </c>
      <c r="Z21" s="14">
        <v>0.03</v>
      </c>
      <c r="AA21" s="14">
        <v>0.14000000000000001</v>
      </c>
      <c r="AB21" s="14">
        <v>0.05</v>
      </c>
      <c r="AC21" s="14">
        <v>0.02</v>
      </c>
      <c r="AD21" s="14">
        <v>0.03</v>
      </c>
      <c r="AE21" s="14">
        <v>0.04</v>
      </c>
      <c r="AF21" s="14">
        <v>0.03</v>
      </c>
    </row>
    <row r="22" spans="1:32">
      <c r="A22" s="19"/>
      <c r="B22" s="11" t="s">
        <v>496</v>
      </c>
      <c r="C22" s="12">
        <v>21650</v>
      </c>
      <c r="D22" s="12">
        <v>860</v>
      </c>
      <c r="E22" s="12">
        <v>733</v>
      </c>
      <c r="F22" s="12">
        <v>821</v>
      </c>
      <c r="G22" s="12">
        <v>946</v>
      </c>
      <c r="H22" s="12">
        <v>1070</v>
      </c>
      <c r="I22" s="12">
        <v>1310</v>
      </c>
      <c r="J22" s="12">
        <v>240</v>
      </c>
      <c r="K22" s="12">
        <v>664</v>
      </c>
      <c r="L22" s="12">
        <v>902</v>
      </c>
      <c r="M22" s="12">
        <v>819</v>
      </c>
      <c r="N22" s="12">
        <v>904</v>
      </c>
      <c r="O22" s="12">
        <v>733</v>
      </c>
      <c r="P22" s="12">
        <v>813</v>
      </c>
      <c r="Q22" s="12">
        <v>849</v>
      </c>
      <c r="R22" s="12">
        <v>416</v>
      </c>
      <c r="S22" s="12">
        <v>718</v>
      </c>
      <c r="T22" s="12">
        <v>866</v>
      </c>
      <c r="U22" s="12">
        <v>389</v>
      </c>
      <c r="V22" s="12">
        <v>821</v>
      </c>
      <c r="W22" s="12">
        <v>436</v>
      </c>
      <c r="X22" s="12">
        <v>890</v>
      </c>
      <c r="Y22" s="12">
        <v>875</v>
      </c>
      <c r="Z22" s="12">
        <v>838</v>
      </c>
      <c r="AA22" s="12">
        <v>765</v>
      </c>
      <c r="AB22" s="12">
        <v>694</v>
      </c>
      <c r="AC22" s="12">
        <v>861</v>
      </c>
      <c r="AD22" s="12">
        <v>835</v>
      </c>
      <c r="AE22" s="12">
        <v>803</v>
      </c>
      <c r="AF22" s="12">
        <v>939</v>
      </c>
    </row>
    <row r="23" spans="1:32">
      <c r="A23" s="19"/>
      <c r="B23" s="13" t="s">
        <v>497</v>
      </c>
      <c r="C23" s="14">
        <v>0.82000000000000006</v>
      </c>
      <c r="D23" s="14">
        <v>0.84</v>
      </c>
      <c r="E23" s="14">
        <v>0.70000000000000007</v>
      </c>
      <c r="F23" s="14">
        <v>0.77</v>
      </c>
      <c r="G23" s="14">
        <v>0.93</v>
      </c>
      <c r="H23" s="14">
        <v>0.87</v>
      </c>
      <c r="I23" s="14">
        <v>0.86</v>
      </c>
      <c r="J23" s="14">
        <v>0.81</v>
      </c>
      <c r="K23" s="14">
        <v>0.66</v>
      </c>
      <c r="L23" s="14">
        <v>0.9</v>
      </c>
      <c r="M23" s="14">
        <v>0.81</v>
      </c>
      <c r="N23" s="14">
        <v>0.89</v>
      </c>
      <c r="O23" s="14">
        <v>0.73</v>
      </c>
      <c r="P23" s="14">
        <v>0.81</v>
      </c>
      <c r="Q23" s="14">
        <v>0.83000000000000007</v>
      </c>
      <c r="R23" s="14">
        <v>0.83000000000000007</v>
      </c>
      <c r="S23" s="14">
        <v>0.72</v>
      </c>
      <c r="T23" s="14">
        <v>0.85</v>
      </c>
      <c r="U23" s="14">
        <v>0.76</v>
      </c>
      <c r="V23" s="14">
        <v>0.8</v>
      </c>
      <c r="W23" s="14">
        <v>0.87</v>
      </c>
      <c r="X23" s="14">
        <v>0.88</v>
      </c>
      <c r="Y23" s="14">
        <v>0.87</v>
      </c>
      <c r="Z23" s="14">
        <v>0.83000000000000007</v>
      </c>
      <c r="AA23" s="14">
        <v>0.74</v>
      </c>
      <c r="AB23" s="14">
        <v>0.67</v>
      </c>
      <c r="AC23" s="14">
        <v>0.86</v>
      </c>
      <c r="AD23" s="14">
        <v>0.84</v>
      </c>
      <c r="AE23" s="14">
        <v>0.8</v>
      </c>
      <c r="AF23" s="14">
        <v>0.91</v>
      </c>
    </row>
    <row r="24" spans="1:32">
      <c r="A24" s="19"/>
      <c r="B24" s="11" t="s">
        <v>498</v>
      </c>
      <c r="C24" s="12">
        <v>3255</v>
      </c>
      <c r="D24" s="12">
        <v>139</v>
      </c>
      <c r="E24" s="12">
        <v>184</v>
      </c>
      <c r="F24" s="12">
        <v>196</v>
      </c>
      <c r="G24" s="12">
        <v>40</v>
      </c>
      <c r="H24" s="12">
        <v>111</v>
      </c>
      <c r="I24" s="12">
        <v>158</v>
      </c>
      <c r="J24" s="12">
        <v>46</v>
      </c>
      <c r="K24" s="12">
        <v>279</v>
      </c>
      <c r="L24" s="12">
        <v>33</v>
      </c>
      <c r="M24" s="12">
        <v>157</v>
      </c>
      <c r="N24" s="12">
        <v>53</v>
      </c>
      <c r="O24" s="12">
        <v>153</v>
      </c>
      <c r="P24" s="12">
        <v>157</v>
      </c>
      <c r="Q24" s="12">
        <v>118</v>
      </c>
      <c r="R24" s="12">
        <v>62</v>
      </c>
      <c r="S24" s="12">
        <v>195</v>
      </c>
      <c r="T24" s="12">
        <v>112</v>
      </c>
      <c r="U24" s="12">
        <v>78</v>
      </c>
      <c r="V24" s="12">
        <v>185</v>
      </c>
      <c r="W24" s="12">
        <v>49</v>
      </c>
      <c r="X24" s="12">
        <v>93</v>
      </c>
      <c r="Y24" s="12">
        <v>81</v>
      </c>
      <c r="Z24" s="12">
        <v>144</v>
      </c>
      <c r="AA24" s="12">
        <v>125</v>
      </c>
      <c r="AB24" s="12">
        <v>291</v>
      </c>
      <c r="AC24" s="12">
        <v>118</v>
      </c>
      <c r="AD24" s="12">
        <v>134</v>
      </c>
      <c r="AE24" s="12">
        <v>158</v>
      </c>
      <c r="AF24" s="12">
        <v>59</v>
      </c>
    </row>
    <row r="25" spans="1:32">
      <c r="A25" s="19"/>
      <c r="B25" s="13" t="s">
        <v>499</v>
      </c>
      <c r="C25" s="14">
        <v>0.12</v>
      </c>
      <c r="D25" s="14">
        <v>0.14000000000000001</v>
      </c>
      <c r="E25" s="14">
        <v>0.17</v>
      </c>
      <c r="F25" s="14">
        <v>0.19</v>
      </c>
      <c r="G25" s="14">
        <v>0.04</v>
      </c>
      <c r="H25" s="14">
        <v>0.09</v>
      </c>
      <c r="I25" s="14">
        <v>0.1</v>
      </c>
      <c r="J25" s="14">
        <v>0.15</v>
      </c>
      <c r="K25" s="14">
        <v>0.28000000000000003</v>
      </c>
      <c r="L25" s="14">
        <v>0.03</v>
      </c>
      <c r="M25" s="14">
        <v>0.16</v>
      </c>
      <c r="N25" s="14">
        <v>0.05</v>
      </c>
      <c r="O25" s="14">
        <v>0.15</v>
      </c>
      <c r="P25" s="14">
        <v>0.16</v>
      </c>
      <c r="Q25" s="14">
        <v>0.11</v>
      </c>
      <c r="R25" s="14">
        <v>0.13</v>
      </c>
      <c r="S25" s="14">
        <v>0.19</v>
      </c>
      <c r="T25" s="14">
        <v>0.11</v>
      </c>
      <c r="U25" s="14">
        <v>0.16</v>
      </c>
      <c r="V25" s="14">
        <v>0.18</v>
      </c>
      <c r="W25" s="14">
        <v>0.1</v>
      </c>
      <c r="X25" s="14">
        <v>0.09</v>
      </c>
      <c r="Y25" s="14">
        <v>0.08</v>
      </c>
      <c r="Z25" s="14">
        <v>0.14000000000000001</v>
      </c>
      <c r="AA25" s="14">
        <v>0.12</v>
      </c>
      <c r="AB25" s="14">
        <v>0.28000000000000003</v>
      </c>
      <c r="AC25" s="14">
        <v>0.12</v>
      </c>
      <c r="AD25" s="14">
        <v>0.13</v>
      </c>
      <c r="AE25" s="14">
        <v>0.16</v>
      </c>
      <c r="AF25" s="14">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757</v>
      </c>
      <c r="C3" s="17"/>
      <c r="D3" s="17"/>
      <c r="E3" s="17"/>
      <c r="F3" s="17"/>
      <c r="H3" s="17" t="s">
        <v>758</v>
      </c>
      <c r="I3" s="17"/>
      <c r="J3" s="17"/>
      <c r="K3" s="17"/>
      <c r="L3" s="17"/>
    </row>
    <row r="4" spans="1:32" ht="27" customHeight="1">
      <c r="B4" s="17" t="s">
        <v>759</v>
      </c>
      <c r="C4" s="17"/>
      <c r="D4" s="17"/>
      <c r="E4" s="17"/>
      <c r="F4" s="17"/>
      <c r="H4" s="17" t="s">
        <v>760</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3766</v>
      </c>
      <c r="D12" s="12">
        <v>117</v>
      </c>
      <c r="E12" s="12">
        <v>144</v>
      </c>
      <c r="F12" s="12">
        <v>81</v>
      </c>
      <c r="G12" s="12">
        <v>293</v>
      </c>
      <c r="H12" s="12">
        <v>116</v>
      </c>
      <c r="I12" s="12">
        <v>143</v>
      </c>
      <c r="J12" s="12">
        <v>26</v>
      </c>
      <c r="K12" s="12">
        <v>57</v>
      </c>
      <c r="L12" s="12">
        <v>273</v>
      </c>
      <c r="M12" s="12">
        <v>142</v>
      </c>
      <c r="N12" s="12">
        <v>197</v>
      </c>
      <c r="O12" s="12">
        <v>102</v>
      </c>
      <c r="P12" s="12">
        <v>185</v>
      </c>
      <c r="Q12" s="12">
        <v>176</v>
      </c>
      <c r="R12" s="12">
        <v>89</v>
      </c>
      <c r="S12" s="12">
        <v>82</v>
      </c>
      <c r="T12" s="12">
        <v>174</v>
      </c>
      <c r="U12" s="12">
        <v>40</v>
      </c>
      <c r="V12" s="12">
        <v>154</v>
      </c>
      <c r="W12" s="12">
        <v>96</v>
      </c>
      <c r="X12" s="12">
        <v>139</v>
      </c>
      <c r="Y12" s="12">
        <v>232</v>
      </c>
      <c r="Z12" s="12">
        <v>191</v>
      </c>
      <c r="AA12" s="12">
        <v>120</v>
      </c>
      <c r="AB12" s="12">
        <v>174</v>
      </c>
      <c r="AC12" s="12">
        <v>156</v>
      </c>
      <c r="AD12" s="12">
        <v>200</v>
      </c>
      <c r="AE12" s="12">
        <v>61</v>
      </c>
      <c r="AF12" s="12">
        <v>98</v>
      </c>
    </row>
    <row r="13" spans="1:32">
      <c r="A13" s="19"/>
      <c r="B13" s="13" t="s">
        <v>707</v>
      </c>
      <c r="C13" s="14">
        <v>0.14000000000000001</v>
      </c>
      <c r="D13" s="14">
        <v>0.11</v>
      </c>
      <c r="E13" s="14">
        <v>0.14000000000000001</v>
      </c>
      <c r="F13" s="14">
        <v>0.08</v>
      </c>
      <c r="G13" s="14">
        <v>0.28999999999999998</v>
      </c>
      <c r="H13" s="14">
        <v>0.09</v>
      </c>
      <c r="I13" s="14">
        <v>0.09</v>
      </c>
      <c r="J13" s="14">
        <v>0.09</v>
      </c>
      <c r="K13" s="14">
        <v>0.06</v>
      </c>
      <c r="L13" s="14">
        <v>0.27</v>
      </c>
      <c r="M13" s="14">
        <v>0.14000000000000001</v>
      </c>
      <c r="N13" s="14">
        <v>0.19</v>
      </c>
      <c r="O13" s="14">
        <v>0.1</v>
      </c>
      <c r="P13" s="14">
        <v>0.19</v>
      </c>
      <c r="Q13" s="14">
        <v>0.17</v>
      </c>
      <c r="R13" s="14">
        <v>0.18</v>
      </c>
      <c r="S13" s="14">
        <v>0.08</v>
      </c>
      <c r="T13" s="14">
        <v>0.17</v>
      </c>
      <c r="U13" s="14">
        <v>0.08</v>
      </c>
      <c r="V13" s="14">
        <v>0.15</v>
      </c>
      <c r="W13" s="14">
        <v>0.19</v>
      </c>
      <c r="X13" s="14">
        <v>0.14000000000000001</v>
      </c>
      <c r="Y13" s="14">
        <v>0.23</v>
      </c>
      <c r="Z13" s="14">
        <v>0.19</v>
      </c>
      <c r="AA13" s="14">
        <v>0.12</v>
      </c>
      <c r="AB13" s="14">
        <v>0.17</v>
      </c>
      <c r="AC13" s="14">
        <v>0.15</v>
      </c>
      <c r="AD13" s="14">
        <v>0.2</v>
      </c>
      <c r="AE13" s="14">
        <v>0.06</v>
      </c>
      <c r="AF13" s="14">
        <v>0.1</v>
      </c>
    </row>
    <row r="14" spans="1:32">
      <c r="A14" s="19"/>
      <c r="B14" s="11" t="s">
        <v>490</v>
      </c>
      <c r="C14" s="12">
        <v>12887</v>
      </c>
      <c r="D14" s="12">
        <v>551</v>
      </c>
      <c r="E14" s="12">
        <v>416</v>
      </c>
      <c r="F14" s="12">
        <v>544</v>
      </c>
      <c r="G14" s="12">
        <v>469</v>
      </c>
      <c r="H14" s="12">
        <v>461</v>
      </c>
      <c r="I14" s="12">
        <v>590</v>
      </c>
      <c r="J14" s="12">
        <v>129</v>
      </c>
      <c r="K14" s="12">
        <v>378</v>
      </c>
      <c r="L14" s="12">
        <v>476</v>
      </c>
      <c r="M14" s="12">
        <v>562</v>
      </c>
      <c r="N14" s="12">
        <v>475</v>
      </c>
      <c r="O14" s="12">
        <v>454</v>
      </c>
      <c r="P14" s="12">
        <v>596</v>
      </c>
      <c r="Q14" s="12">
        <v>653</v>
      </c>
      <c r="R14" s="12">
        <v>244</v>
      </c>
      <c r="S14" s="12">
        <v>450</v>
      </c>
      <c r="T14" s="12">
        <v>501</v>
      </c>
      <c r="U14" s="12">
        <v>236</v>
      </c>
      <c r="V14" s="12">
        <v>565</v>
      </c>
      <c r="W14" s="12">
        <v>289</v>
      </c>
      <c r="X14" s="12">
        <v>517</v>
      </c>
      <c r="Y14" s="12">
        <v>447</v>
      </c>
      <c r="Z14" s="12">
        <v>552</v>
      </c>
      <c r="AA14" s="12">
        <v>480</v>
      </c>
      <c r="AB14" s="12">
        <v>481</v>
      </c>
      <c r="AC14" s="12">
        <v>430</v>
      </c>
      <c r="AD14" s="12">
        <v>504</v>
      </c>
      <c r="AE14" s="12">
        <v>433</v>
      </c>
      <c r="AF14" s="12">
        <v>511</v>
      </c>
    </row>
    <row r="15" spans="1:32">
      <c r="A15" s="19"/>
      <c r="B15" s="13" t="s">
        <v>491</v>
      </c>
      <c r="C15" s="14">
        <v>0.49</v>
      </c>
      <c r="D15" s="14">
        <v>0.54</v>
      </c>
      <c r="E15" s="14">
        <v>0.4</v>
      </c>
      <c r="F15" s="14">
        <v>0.51</v>
      </c>
      <c r="G15" s="14">
        <v>0.46</v>
      </c>
      <c r="H15" s="14">
        <v>0.38</v>
      </c>
      <c r="I15" s="14">
        <v>0.39</v>
      </c>
      <c r="J15" s="14">
        <v>0.43</v>
      </c>
      <c r="K15" s="14">
        <v>0.38</v>
      </c>
      <c r="L15" s="14">
        <v>0.47</v>
      </c>
      <c r="M15" s="14">
        <v>0.56000000000000005</v>
      </c>
      <c r="N15" s="14">
        <v>0.47</v>
      </c>
      <c r="O15" s="14">
        <v>0.45</v>
      </c>
      <c r="P15" s="14">
        <v>0.59</v>
      </c>
      <c r="Q15" s="14">
        <v>0.63</v>
      </c>
      <c r="R15" s="14">
        <v>0.49</v>
      </c>
      <c r="S15" s="14">
        <v>0.45</v>
      </c>
      <c r="T15" s="14">
        <v>0.49</v>
      </c>
      <c r="U15" s="14">
        <v>0.47</v>
      </c>
      <c r="V15" s="14">
        <v>0.55000000000000004</v>
      </c>
      <c r="W15" s="14">
        <v>0.57999999999999996</v>
      </c>
      <c r="X15" s="14">
        <v>0.51</v>
      </c>
      <c r="Y15" s="14">
        <v>0.45</v>
      </c>
      <c r="Z15" s="14">
        <v>0.54</v>
      </c>
      <c r="AA15" s="14">
        <v>0.46</v>
      </c>
      <c r="AB15" s="14">
        <v>0.46</v>
      </c>
      <c r="AC15" s="14">
        <v>0.43</v>
      </c>
      <c r="AD15" s="14">
        <v>0.5</v>
      </c>
      <c r="AE15" s="14">
        <v>0.43</v>
      </c>
      <c r="AF15" s="14">
        <v>0.5</v>
      </c>
    </row>
    <row r="16" spans="1:32">
      <c r="A16" s="19"/>
      <c r="B16" s="11" t="s">
        <v>492</v>
      </c>
      <c r="C16" s="12">
        <v>4739</v>
      </c>
      <c r="D16" s="12">
        <v>256</v>
      </c>
      <c r="E16" s="12">
        <v>166</v>
      </c>
      <c r="F16" s="12">
        <v>253</v>
      </c>
      <c r="G16" s="12">
        <v>119</v>
      </c>
      <c r="H16" s="12">
        <v>305</v>
      </c>
      <c r="I16" s="12">
        <v>393</v>
      </c>
      <c r="J16" s="12">
        <v>88</v>
      </c>
      <c r="K16" s="12">
        <v>244</v>
      </c>
      <c r="L16" s="12">
        <v>75</v>
      </c>
      <c r="M16" s="12">
        <v>137</v>
      </c>
      <c r="N16" s="12">
        <v>107</v>
      </c>
      <c r="O16" s="12">
        <v>198</v>
      </c>
      <c r="P16" s="12">
        <v>153</v>
      </c>
      <c r="Q16" s="12">
        <v>81</v>
      </c>
      <c r="R16" s="12">
        <v>78</v>
      </c>
      <c r="S16" s="12">
        <v>194</v>
      </c>
      <c r="T16" s="12">
        <v>117</v>
      </c>
      <c r="U16" s="12">
        <v>93</v>
      </c>
      <c r="V16" s="12">
        <v>204</v>
      </c>
      <c r="W16" s="12">
        <v>70</v>
      </c>
      <c r="X16" s="12">
        <v>221</v>
      </c>
      <c r="Y16" s="12">
        <v>178</v>
      </c>
      <c r="Z16" s="12">
        <v>162</v>
      </c>
      <c r="AA16" s="12">
        <v>194</v>
      </c>
      <c r="AB16" s="12">
        <v>221</v>
      </c>
      <c r="AC16" s="12">
        <v>276</v>
      </c>
      <c r="AD16" s="12">
        <v>161</v>
      </c>
      <c r="AE16" s="12">
        <v>299</v>
      </c>
      <c r="AF16" s="12">
        <v>239</v>
      </c>
    </row>
    <row r="17" spans="1:32">
      <c r="A17" s="19"/>
      <c r="B17" s="13" t="s">
        <v>493</v>
      </c>
      <c r="C17" s="14">
        <v>0.18</v>
      </c>
      <c r="D17" s="14">
        <v>0.25</v>
      </c>
      <c r="E17" s="14">
        <v>0.16</v>
      </c>
      <c r="F17" s="14">
        <v>0.24</v>
      </c>
      <c r="G17" s="14">
        <v>0.12</v>
      </c>
      <c r="H17" s="14">
        <v>0.25</v>
      </c>
      <c r="I17" s="14">
        <v>0.26</v>
      </c>
      <c r="J17" s="14">
        <v>0.28999999999999998</v>
      </c>
      <c r="K17" s="14">
        <v>0.24</v>
      </c>
      <c r="L17" s="14">
        <v>0.08</v>
      </c>
      <c r="M17" s="14">
        <v>0.14000000000000001</v>
      </c>
      <c r="N17" s="14">
        <v>0.11</v>
      </c>
      <c r="O17" s="14">
        <v>0.2</v>
      </c>
      <c r="P17" s="14">
        <v>0.15</v>
      </c>
      <c r="Q17" s="14">
        <v>0.08</v>
      </c>
      <c r="R17" s="14">
        <v>0.15</v>
      </c>
      <c r="S17" s="14">
        <v>0.19</v>
      </c>
      <c r="T17" s="14">
        <v>0.11</v>
      </c>
      <c r="U17" s="14">
        <v>0.18</v>
      </c>
      <c r="V17" s="14">
        <v>0.2</v>
      </c>
      <c r="W17" s="14">
        <v>0.14000000000000001</v>
      </c>
      <c r="X17" s="14">
        <v>0.22</v>
      </c>
      <c r="Y17" s="14">
        <v>0.18</v>
      </c>
      <c r="Z17" s="14">
        <v>0.16</v>
      </c>
      <c r="AA17" s="14">
        <v>0.19</v>
      </c>
      <c r="AB17" s="14">
        <v>0.21</v>
      </c>
      <c r="AC17" s="14">
        <v>0.27</v>
      </c>
      <c r="AD17" s="14">
        <v>0.16</v>
      </c>
      <c r="AE17" s="14">
        <v>0.3</v>
      </c>
      <c r="AF17" s="14">
        <v>0.23</v>
      </c>
    </row>
    <row r="18" spans="1:32">
      <c r="A18" s="19"/>
      <c r="B18" s="11" t="s">
        <v>494</v>
      </c>
      <c r="C18" s="12">
        <v>808</v>
      </c>
      <c r="D18" s="12">
        <v>27</v>
      </c>
      <c r="E18" s="12">
        <v>36</v>
      </c>
      <c r="F18" s="12">
        <v>57</v>
      </c>
      <c r="G18" s="12">
        <v>21</v>
      </c>
      <c r="H18" s="12">
        <v>62</v>
      </c>
      <c r="I18" s="12">
        <v>79</v>
      </c>
      <c r="J18" s="12">
        <v>17</v>
      </c>
      <c r="K18" s="12">
        <v>99</v>
      </c>
      <c r="L18" s="12">
        <v>8</v>
      </c>
      <c r="M18" s="12">
        <v>40</v>
      </c>
      <c r="N18" s="12">
        <v>27</v>
      </c>
      <c r="O18" s="12">
        <v>27</v>
      </c>
      <c r="P18" s="12">
        <v>14</v>
      </c>
      <c r="Q18" s="12">
        <v>11</v>
      </c>
      <c r="R18" s="12">
        <v>15</v>
      </c>
      <c r="S18" s="12">
        <v>16</v>
      </c>
      <c r="T18" s="12">
        <v>17</v>
      </c>
      <c r="U18" s="12">
        <v>10</v>
      </c>
      <c r="V18" s="12">
        <v>29</v>
      </c>
      <c r="W18" s="12">
        <v>10</v>
      </c>
      <c r="X18" s="12">
        <v>32</v>
      </c>
      <c r="Y18" s="12">
        <v>21</v>
      </c>
      <c r="Z18" s="12">
        <v>20</v>
      </c>
      <c r="AA18" s="12">
        <v>10</v>
      </c>
      <c r="AB18" s="12">
        <v>34</v>
      </c>
      <c r="AC18" s="12">
        <v>66</v>
      </c>
      <c r="AD18" s="12">
        <v>20</v>
      </c>
      <c r="AE18" s="12">
        <v>64</v>
      </c>
      <c r="AF18" s="12">
        <v>55</v>
      </c>
    </row>
    <row r="19" spans="1:32">
      <c r="A19" s="19"/>
      <c r="B19" s="13" t="s">
        <v>708</v>
      </c>
      <c r="C19" s="14">
        <v>0.03</v>
      </c>
      <c r="D19" s="14">
        <v>0.03</v>
      </c>
      <c r="E19" s="14">
        <v>0.03</v>
      </c>
      <c r="F19" s="14">
        <v>0.05</v>
      </c>
      <c r="G19" s="14">
        <v>0.02</v>
      </c>
      <c r="H19" s="14">
        <v>0.05</v>
      </c>
      <c r="I19" s="14">
        <v>0.05</v>
      </c>
      <c r="J19" s="14">
        <v>0.06</v>
      </c>
      <c r="K19" s="14">
        <v>0.1</v>
      </c>
      <c r="L19" s="14">
        <v>0.01</v>
      </c>
      <c r="M19" s="14">
        <v>0.04</v>
      </c>
      <c r="N19" s="14">
        <v>0.03</v>
      </c>
      <c r="O19" s="14">
        <v>0.03</v>
      </c>
      <c r="P19" s="14">
        <v>0.02</v>
      </c>
      <c r="Q19" s="14">
        <v>0.01</v>
      </c>
      <c r="R19" s="14">
        <v>0.03</v>
      </c>
      <c r="S19" s="14">
        <v>0.02</v>
      </c>
      <c r="T19" s="14">
        <v>0.02</v>
      </c>
      <c r="U19" s="14">
        <v>0.02</v>
      </c>
      <c r="V19" s="14">
        <v>0.03</v>
      </c>
      <c r="W19" s="14">
        <v>0.02</v>
      </c>
      <c r="X19" s="14">
        <v>0.03</v>
      </c>
      <c r="Y19" s="14">
        <v>0.02</v>
      </c>
      <c r="Z19" s="14">
        <v>0.02</v>
      </c>
      <c r="AA19" s="14">
        <v>0.01</v>
      </c>
      <c r="AB19" s="14">
        <v>0.03</v>
      </c>
      <c r="AC19" s="14">
        <v>7.0000000000000007E-2</v>
      </c>
      <c r="AD19" s="14">
        <v>0.02</v>
      </c>
      <c r="AE19" s="14">
        <v>0.06</v>
      </c>
      <c r="AF19" s="14">
        <v>0.05</v>
      </c>
    </row>
    <row r="20" spans="1:32">
      <c r="A20" s="19"/>
      <c r="B20" s="11" t="s">
        <v>386</v>
      </c>
      <c r="C20" s="12">
        <v>4252</v>
      </c>
      <c r="D20" s="12">
        <v>70</v>
      </c>
      <c r="E20" s="12">
        <v>284</v>
      </c>
      <c r="F20" s="12">
        <v>130</v>
      </c>
      <c r="G20" s="12">
        <v>113</v>
      </c>
      <c r="H20" s="12">
        <v>285</v>
      </c>
      <c r="I20" s="12">
        <v>322</v>
      </c>
      <c r="J20" s="12">
        <v>37</v>
      </c>
      <c r="K20" s="12">
        <v>227</v>
      </c>
      <c r="L20" s="12">
        <v>175</v>
      </c>
      <c r="M20" s="12">
        <v>126</v>
      </c>
      <c r="N20" s="12">
        <v>205</v>
      </c>
      <c r="O20" s="12">
        <v>223</v>
      </c>
      <c r="P20" s="12">
        <v>54</v>
      </c>
      <c r="Q20" s="12">
        <v>109</v>
      </c>
      <c r="R20" s="12">
        <v>75</v>
      </c>
      <c r="S20" s="12">
        <v>261</v>
      </c>
      <c r="T20" s="12">
        <v>214</v>
      </c>
      <c r="U20" s="12">
        <v>129</v>
      </c>
      <c r="V20" s="12">
        <v>74</v>
      </c>
      <c r="W20" s="12">
        <v>38</v>
      </c>
      <c r="X20" s="12">
        <v>102</v>
      </c>
      <c r="Y20" s="12">
        <v>124</v>
      </c>
      <c r="Z20" s="12">
        <v>91</v>
      </c>
      <c r="AA20" s="12">
        <v>233</v>
      </c>
      <c r="AB20" s="12">
        <v>131</v>
      </c>
      <c r="AC20" s="12">
        <v>76</v>
      </c>
      <c r="AD20" s="12">
        <v>119</v>
      </c>
      <c r="AE20" s="12">
        <v>145</v>
      </c>
      <c r="AF20" s="12">
        <v>127</v>
      </c>
    </row>
    <row r="21" spans="1:32">
      <c r="A21" s="19"/>
      <c r="B21" s="13" t="s">
        <v>399</v>
      </c>
      <c r="C21" s="14">
        <v>0.16</v>
      </c>
      <c r="D21" s="14">
        <v>7.0000000000000007E-2</v>
      </c>
      <c r="E21" s="14">
        <v>0.27</v>
      </c>
      <c r="F21" s="14">
        <v>0.12</v>
      </c>
      <c r="G21" s="14">
        <v>0.11</v>
      </c>
      <c r="H21" s="14">
        <v>0.23</v>
      </c>
      <c r="I21" s="14">
        <v>0.21</v>
      </c>
      <c r="J21" s="14">
        <v>0.13</v>
      </c>
      <c r="K21" s="14">
        <v>0.22</v>
      </c>
      <c r="L21" s="14">
        <v>0.17</v>
      </c>
      <c r="M21" s="14">
        <v>0.12</v>
      </c>
      <c r="N21" s="14">
        <v>0.2</v>
      </c>
      <c r="O21" s="14">
        <v>0.22</v>
      </c>
      <c r="P21" s="14">
        <v>0.05</v>
      </c>
      <c r="Q21" s="14">
        <v>0.11</v>
      </c>
      <c r="R21" s="14">
        <v>0.15</v>
      </c>
      <c r="S21" s="14">
        <v>0.26</v>
      </c>
      <c r="T21" s="14">
        <v>0.21</v>
      </c>
      <c r="U21" s="14">
        <v>0.25</v>
      </c>
      <c r="V21" s="14">
        <v>7.0000000000000007E-2</v>
      </c>
      <c r="W21" s="14">
        <v>7.0000000000000007E-2</v>
      </c>
      <c r="X21" s="14">
        <v>0.1</v>
      </c>
      <c r="Y21" s="14">
        <v>0.12</v>
      </c>
      <c r="Z21" s="14">
        <v>0.09</v>
      </c>
      <c r="AA21" s="14">
        <v>0.22</v>
      </c>
      <c r="AB21" s="14">
        <v>0.13</v>
      </c>
      <c r="AC21" s="14">
        <v>0.08</v>
      </c>
      <c r="AD21" s="14">
        <v>0.12</v>
      </c>
      <c r="AE21" s="14">
        <v>0.15</v>
      </c>
      <c r="AF21" s="14">
        <v>0.12</v>
      </c>
    </row>
    <row r="22" spans="1:32">
      <c r="A22" s="19"/>
      <c r="B22" s="11" t="s">
        <v>496</v>
      </c>
      <c r="C22" s="12">
        <v>16653</v>
      </c>
      <c r="D22" s="12">
        <v>668</v>
      </c>
      <c r="E22" s="12">
        <v>560</v>
      </c>
      <c r="F22" s="12">
        <v>625</v>
      </c>
      <c r="G22" s="12">
        <v>762</v>
      </c>
      <c r="H22" s="12">
        <v>577</v>
      </c>
      <c r="I22" s="12">
        <v>733</v>
      </c>
      <c r="J22" s="12">
        <v>155</v>
      </c>
      <c r="K22" s="12">
        <v>435</v>
      </c>
      <c r="L22" s="12">
        <v>749</v>
      </c>
      <c r="M22" s="12">
        <v>704</v>
      </c>
      <c r="N22" s="12">
        <v>672</v>
      </c>
      <c r="O22" s="12">
        <v>556</v>
      </c>
      <c r="P22" s="12">
        <v>781</v>
      </c>
      <c r="Q22" s="12">
        <v>829</v>
      </c>
      <c r="R22" s="12">
        <v>333</v>
      </c>
      <c r="S22" s="12">
        <v>532</v>
      </c>
      <c r="T22" s="12">
        <v>675</v>
      </c>
      <c r="U22" s="12">
        <v>276</v>
      </c>
      <c r="V22" s="12">
        <v>719</v>
      </c>
      <c r="W22" s="12">
        <v>385</v>
      </c>
      <c r="X22" s="12">
        <v>656</v>
      </c>
      <c r="Y22" s="12">
        <v>679</v>
      </c>
      <c r="Z22" s="12">
        <v>743</v>
      </c>
      <c r="AA22" s="12">
        <v>600</v>
      </c>
      <c r="AB22" s="12">
        <v>655</v>
      </c>
      <c r="AC22" s="12">
        <v>586</v>
      </c>
      <c r="AD22" s="12">
        <v>704</v>
      </c>
      <c r="AE22" s="12">
        <v>494</v>
      </c>
      <c r="AF22" s="12">
        <v>609</v>
      </c>
    </row>
    <row r="23" spans="1:32">
      <c r="A23" s="19"/>
      <c r="B23" s="13" t="s">
        <v>497</v>
      </c>
      <c r="C23" s="14">
        <v>0.63</v>
      </c>
      <c r="D23" s="14">
        <v>0.65</v>
      </c>
      <c r="E23" s="14">
        <v>0.54</v>
      </c>
      <c r="F23" s="14">
        <v>0.59</v>
      </c>
      <c r="G23" s="14">
        <v>0.75</v>
      </c>
      <c r="H23" s="14">
        <v>0.47</v>
      </c>
      <c r="I23" s="14">
        <v>0.48</v>
      </c>
      <c r="J23" s="14">
        <v>0.52</v>
      </c>
      <c r="K23" s="14">
        <v>0.44</v>
      </c>
      <c r="L23" s="14">
        <v>0.74</v>
      </c>
      <c r="M23" s="14">
        <v>0.70000000000000007</v>
      </c>
      <c r="N23" s="14">
        <v>0.66</v>
      </c>
      <c r="O23" s="14">
        <v>0.55000000000000004</v>
      </c>
      <c r="P23" s="14">
        <v>0.78</v>
      </c>
      <c r="Q23" s="14">
        <v>0.8</v>
      </c>
      <c r="R23" s="14">
        <v>0.67</v>
      </c>
      <c r="S23" s="14">
        <v>0.53</v>
      </c>
      <c r="T23" s="14">
        <v>0.66</v>
      </c>
      <c r="U23" s="14">
        <v>0.55000000000000004</v>
      </c>
      <c r="V23" s="14">
        <v>0.70000000000000007</v>
      </c>
      <c r="W23" s="14">
        <v>0.77</v>
      </c>
      <c r="X23" s="14">
        <v>0.65</v>
      </c>
      <c r="Y23" s="14">
        <v>0.68</v>
      </c>
      <c r="Z23" s="14">
        <v>0.73</v>
      </c>
      <c r="AA23" s="14">
        <v>0.57999999999999996</v>
      </c>
      <c r="AB23" s="14">
        <v>0.63</v>
      </c>
      <c r="AC23" s="14">
        <v>0.57999999999999996</v>
      </c>
      <c r="AD23" s="14">
        <v>0.70000000000000007</v>
      </c>
      <c r="AE23" s="14">
        <v>0.49</v>
      </c>
      <c r="AF23" s="14">
        <v>0.6</v>
      </c>
    </row>
    <row r="24" spans="1:32">
      <c r="A24" s="19"/>
      <c r="B24" s="11" t="s">
        <v>498</v>
      </c>
      <c r="C24" s="12">
        <v>5547</v>
      </c>
      <c r="D24" s="12">
        <v>283</v>
      </c>
      <c r="E24" s="12">
        <v>202</v>
      </c>
      <c r="F24" s="12">
        <v>310</v>
      </c>
      <c r="G24" s="12">
        <v>140</v>
      </c>
      <c r="H24" s="12">
        <v>367</v>
      </c>
      <c r="I24" s="12">
        <v>472</v>
      </c>
      <c r="J24" s="12">
        <v>105</v>
      </c>
      <c r="K24" s="12">
        <v>343</v>
      </c>
      <c r="L24" s="12">
        <v>83</v>
      </c>
      <c r="M24" s="12">
        <v>177</v>
      </c>
      <c r="N24" s="12">
        <v>134</v>
      </c>
      <c r="O24" s="12">
        <v>225</v>
      </c>
      <c r="P24" s="12">
        <v>167</v>
      </c>
      <c r="Q24" s="12">
        <v>92</v>
      </c>
      <c r="R24" s="12">
        <v>93</v>
      </c>
      <c r="S24" s="12">
        <v>210</v>
      </c>
      <c r="T24" s="12">
        <v>134</v>
      </c>
      <c r="U24" s="12">
        <v>103</v>
      </c>
      <c r="V24" s="12">
        <v>233</v>
      </c>
      <c r="W24" s="12">
        <v>80</v>
      </c>
      <c r="X24" s="12">
        <v>253</v>
      </c>
      <c r="Y24" s="12">
        <v>199</v>
      </c>
      <c r="Z24" s="12">
        <v>182</v>
      </c>
      <c r="AA24" s="12">
        <v>204</v>
      </c>
      <c r="AB24" s="12">
        <v>255</v>
      </c>
      <c r="AC24" s="12">
        <v>342</v>
      </c>
      <c r="AD24" s="12">
        <v>181</v>
      </c>
      <c r="AE24" s="12">
        <v>363</v>
      </c>
      <c r="AF24" s="12">
        <v>294</v>
      </c>
    </row>
    <row r="25" spans="1:32">
      <c r="A25" s="19"/>
      <c r="B25" s="13" t="s">
        <v>499</v>
      </c>
      <c r="C25" s="14">
        <v>0.21</v>
      </c>
      <c r="D25" s="14">
        <v>0.28000000000000003</v>
      </c>
      <c r="E25" s="14">
        <v>0.19</v>
      </c>
      <c r="F25" s="14">
        <v>0.28999999999999998</v>
      </c>
      <c r="G25" s="14">
        <v>0.14000000000000001</v>
      </c>
      <c r="H25" s="14">
        <v>0.3</v>
      </c>
      <c r="I25" s="14">
        <v>0.31</v>
      </c>
      <c r="J25" s="14">
        <v>0.35</v>
      </c>
      <c r="K25" s="14">
        <v>0.34</v>
      </c>
      <c r="L25" s="14">
        <v>0.09</v>
      </c>
      <c r="M25" s="14">
        <v>0.18</v>
      </c>
      <c r="N25" s="14">
        <v>0.14000000000000001</v>
      </c>
      <c r="O25" s="14">
        <v>0.23</v>
      </c>
      <c r="P25" s="14">
        <v>0.17</v>
      </c>
      <c r="Q25" s="14">
        <v>0.09</v>
      </c>
      <c r="R25" s="14">
        <v>0.18</v>
      </c>
      <c r="S25" s="14">
        <v>0.21</v>
      </c>
      <c r="T25" s="14">
        <v>0.13</v>
      </c>
      <c r="U25" s="14">
        <v>0.2</v>
      </c>
      <c r="V25" s="14">
        <v>0.23</v>
      </c>
      <c r="W25" s="14">
        <v>0.16</v>
      </c>
      <c r="X25" s="14">
        <v>0.25</v>
      </c>
      <c r="Y25" s="14">
        <v>0.2</v>
      </c>
      <c r="Z25" s="14">
        <v>0.18</v>
      </c>
      <c r="AA25" s="14">
        <v>0.2</v>
      </c>
      <c r="AB25" s="14">
        <v>0.24</v>
      </c>
      <c r="AC25" s="14">
        <v>0.34</v>
      </c>
      <c r="AD25" s="14">
        <v>0.18</v>
      </c>
      <c r="AE25" s="14">
        <v>0.36</v>
      </c>
      <c r="AF25" s="14">
        <v>0.28000000000000003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761</v>
      </c>
      <c r="C3" s="17"/>
      <c r="D3" s="17"/>
      <c r="E3" s="17"/>
      <c r="F3" s="17"/>
      <c r="H3" s="17" t="s">
        <v>762</v>
      </c>
      <c r="I3" s="17"/>
      <c r="J3" s="17"/>
      <c r="K3" s="17"/>
      <c r="L3" s="17"/>
    </row>
    <row r="4" spans="1:32" ht="27" customHeight="1">
      <c r="B4" s="17" t="s">
        <v>763</v>
      </c>
      <c r="C4" s="17"/>
      <c r="D4" s="17"/>
      <c r="E4" s="17"/>
      <c r="F4" s="17"/>
      <c r="H4" s="17" t="s">
        <v>764</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3168</v>
      </c>
      <c r="D12" s="12">
        <v>117</v>
      </c>
      <c r="E12" s="12">
        <v>226</v>
      </c>
      <c r="F12" s="12">
        <v>128</v>
      </c>
      <c r="G12" s="12">
        <v>74</v>
      </c>
      <c r="H12" s="12">
        <v>87</v>
      </c>
      <c r="I12" s="12">
        <v>112</v>
      </c>
      <c r="J12" s="12">
        <v>25</v>
      </c>
      <c r="K12" s="12">
        <v>84</v>
      </c>
      <c r="L12" s="12">
        <v>185</v>
      </c>
      <c r="M12" s="12">
        <v>191</v>
      </c>
      <c r="N12" s="12">
        <v>107</v>
      </c>
      <c r="O12" s="12">
        <v>89</v>
      </c>
      <c r="P12" s="12">
        <v>193</v>
      </c>
      <c r="Q12" s="12">
        <v>185</v>
      </c>
      <c r="R12" s="12">
        <v>81</v>
      </c>
      <c r="S12" s="12">
        <v>115</v>
      </c>
      <c r="T12" s="12">
        <v>154</v>
      </c>
      <c r="U12" s="12">
        <v>56</v>
      </c>
      <c r="V12" s="12">
        <v>177</v>
      </c>
      <c r="W12" s="12">
        <v>80</v>
      </c>
      <c r="X12" s="12">
        <v>65</v>
      </c>
      <c r="Y12" s="12">
        <v>201</v>
      </c>
      <c r="Z12" s="12">
        <v>143</v>
      </c>
      <c r="AA12" s="12">
        <v>85</v>
      </c>
      <c r="AB12" s="12">
        <v>161</v>
      </c>
      <c r="AC12" s="12">
        <v>149</v>
      </c>
      <c r="AD12" s="12">
        <v>197</v>
      </c>
      <c r="AE12" s="12">
        <v>50</v>
      </c>
      <c r="AF12" s="12">
        <v>121</v>
      </c>
    </row>
    <row r="13" spans="1:32">
      <c r="A13" s="19"/>
      <c r="B13" s="13" t="s">
        <v>707</v>
      </c>
      <c r="C13" s="14">
        <v>0.12</v>
      </c>
      <c r="D13" s="14">
        <v>0.11</v>
      </c>
      <c r="E13" s="14">
        <v>0.22</v>
      </c>
      <c r="F13" s="14">
        <v>0.12</v>
      </c>
      <c r="G13" s="14">
        <v>7.0000000000000007E-2</v>
      </c>
      <c r="H13" s="14">
        <v>7.0000000000000007E-2</v>
      </c>
      <c r="I13" s="14">
        <v>7.0000000000000007E-2</v>
      </c>
      <c r="J13" s="14">
        <v>0.08</v>
      </c>
      <c r="K13" s="14">
        <v>0.08</v>
      </c>
      <c r="L13" s="14">
        <v>0.18</v>
      </c>
      <c r="M13" s="14">
        <v>0.19</v>
      </c>
      <c r="N13" s="14">
        <v>0.1</v>
      </c>
      <c r="O13" s="14">
        <v>0.09</v>
      </c>
      <c r="P13" s="14">
        <v>0.19</v>
      </c>
      <c r="Q13" s="14">
        <v>0.18</v>
      </c>
      <c r="R13" s="14">
        <v>0.16</v>
      </c>
      <c r="S13" s="14">
        <v>0.11</v>
      </c>
      <c r="T13" s="14">
        <v>0.15</v>
      </c>
      <c r="U13" s="14">
        <v>0.11</v>
      </c>
      <c r="V13" s="14">
        <v>0.17</v>
      </c>
      <c r="W13" s="14">
        <v>0.16</v>
      </c>
      <c r="X13" s="14">
        <v>0.06</v>
      </c>
      <c r="Y13" s="14">
        <v>0.2</v>
      </c>
      <c r="Z13" s="14">
        <v>0.14000000000000001</v>
      </c>
      <c r="AA13" s="14">
        <v>0.08</v>
      </c>
      <c r="AB13" s="14">
        <v>0.16</v>
      </c>
      <c r="AC13" s="14">
        <v>0.15</v>
      </c>
      <c r="AD13" s="14">
        <v>0.2</v>
      </c>
      <c r="AE13" s="14">
        <v>0.05</v>
      </c>
      <c r="AF13" s="14">
        <v>0.12</v>
      </c>
    </row>
    <row r="14" spans="1:32">
      <c r="A14" s="19"/>
      <c r="B14" s="11" t="s">
        <v>490</v>
      </c>
      <c r="C14" s="12">
        <v>10612</v>
      </c>
      <c r="D14" s="12">
        <v>448</v>
      </c>
      <c r="E14" s="12">
        <v>474</v>
      </c>
      <c r="F14" s="12">
        <v>503</v>
      </c>
      <c r="G14" s="12">
        <v>195</v>
      </c>
      <c r="H14" s="12">
        <v>394</v>
      </c>
      <c r="I14" s="12">
        <v>496</v>
      </c>
      <c r="J14" s="12">
        <v>102</v>
      </c>
      <c r="K14" s="12">
        <v>353</v>
      </c>
      <c r="L14" s="12">
        <v>432</v>
      </c>
      <c r="M14" s="12">
        <v>371</v>
      </c>
      <c r="N14" s="12">
        <v>204</v>
      </c>
      <c r="O14" s="12">
        <v>432</v>
      </c>
      <c r="P14" s="12">
        <v>524</v>
      </c>
      <c r="Q14" s="12">
        <v>582</v>
      </c>
      <c r="R14" s="12">
        <v>176</v>
      </c>
      <c r="S14" s="12">
        <v>376</v>
      </c>
      <c r="T14" s="12">
        <v>497</v>
      </c>
      <c r="U14" s="12">
        <v>237</v>
      </c>
      <c r="V14" s="12">
        <v>550</v>
      </c>
      <c r="W14" s="12">
        <v>233</v>
      </c>
      <c r="X14" s="12">
        <v>433</v>
      </c>
      <c r="Y14" s="12">
        <v>302</v>
      </c>
      <c r="Z14" s="12">
        <v>523</v>
      </c>
      <c r="AA14" s="12">
        <v>400</v>
      </c>
      <c r="AB14" s="12">
        <v>482</v>
      </c>
      <c r="AC14" s="12">
        <v>434</v>
      </c>
      <c r="AD14" s="12">
        <v>485</v>
      </c>
      <c r="AE14" s="12">
        <v>162</v>
      </c>
      <c r="AF14" s="12">
        <v>269</v>
      </c>
    </row>
    <row r="15" spans="1:32">
      <c r="A15" s="19"/>
      <c r="B15" s="13" t="s">
        <v>491</v>
      </c>
      <c r="C15" s="14">
        <v>0.4</v>
      </c>
      <c r="D15" s="14">
        <v>0.44</v>
      </c>
      <c r="E15" s="14">
        <v>0.45</v>
      </c>
      <c r="F15" s="14">
        <v>0.47</v>
      </c>
      <c r="G15" s="14">
        <v>0.19</v>
      </c>
      <c r="H15" s="14">
        <v>0.32</v>
      </c>
      <c r="I15" s="14">
        <v>0.32</v>
      </c>
      <c r="J15" s="14">
        <v>0.34</v>
      </c>
      <c r="K15" s="14">
        <v>0.35</v>
      </c>
      <c r="L15" s="14">
        <v>0.43</v>
      </c>
      <c r="M15" s="14">
        <v>0.37</v>
      </c>
      <c r="N15" s="14">
        <v>0.2</v>
      </c>
      <c r="O15" s="14">
        <v>0.43</v>
      </c>
      <c r="P15" s="14">
        <v>0.52</v>
      </c>
      <c r="Q15" s="14">
        <v>0.56000000000000005</v>
      </c>
      <c r="R15" s="14">
        <v>0.35</v>
      </c>
      <c r="S15" s="14">
        <v>0.37</v>
      </c>
      <c r="T15" s="14">
        <v>0.49</v>
      </c>
      <c r="U15" s="14">
        <v>0.47</v>
      </c>
      <c r="V15" s="14">
        <v>0.54</v>
      </c>
      <c r="W15" s="14">
        <v>0.46</v>
      </c>
      <c r="X15" s="14">
        <v>0.43</v>
      </c>
      <c r="Y15" s="14">
        <v>0.3</v>
      </c>
      <c r="Z15" s="14">
        <v>0.52</v>
      </c>
      <c r="AA15" s="14">
        <v>0.38</v>
      </c>
      <c r="AB15" s="14">
        <v>0.46</v>
      </c>
      <c r="AC15" s="14">
        <v>0.43</v>
      </c>
      <c r="AD15" s="14">
        <v>0.48</v>
      </c>
      <c r="AE15" s="14">
        <v>0.16</v>
      </c>
      <c r="AF15" s="14">
        <v>0.26</v>
      </c>
    </row>
    <row r="16" spans="1:32">
      <c r="A16" s="19"/>
      <c r="B16" s="11" t="s">
        <v>492</v>
      </c>
      <c r="C16" s="12">
        <v>7330</v>
      </c>
      <c r="D16" s="12">
        <v>343</v>
      </c>
      <c r="E16" s="12">
        <v>156</v>
      </c>
      <c r="F16" s="12">
        <v>278</v>
      </c>
      <c r="G16" s="12">
        <v>428</v>
      </c>
      <c r="H16" s="12">
        <v>405</v>
      </c>
      <c r="I16" s="12">
        <v>514</v>
      </c>
      <c r="J16" s="12">
        <v>109</v>
      </c>
      <c r="K16" s="12">
        <v>348</v>
      </c>
      <c r="L16" s="12">
        <v>198</v>
      </c>
      <c r="M16" s="12">
        <v>328</v>
      </c>
      <c r="N16" s="12">
        <v>331</v>
      </c>
      <c r="O16" s="12">
        <v>247</v>
      </c>
      <c r="P16" s="12">
        <v>186</v>
      </c>
      <c r="Q16" s="12">
        <v>186</v>
      </c>
      <c r="R16" s="12">
        <v>139</v>
      </c>
      <c r="S16" s="12">
        <v>269</v>
      </c>
      <c r="T16" s="12">
        <v>195</v>
      </c>
      <c r="U16" s="12">
        <v>121</v>
      </c>
      <c r="V16" s="12">
        <v>221</v>
      </c>
      <c r="W16" s="12">
        <v>121</v>
      </c>
      <c r="X16" s="12">
        <v>349</v>
      </c>
      <c r="Y16" s="12">
        <v>269</v>
      </c>
      <c r="Z16" s="12">
        <v>245</v>
      </c>
      <c r="AA16" s="12">
        <v>312</v>
      </c>
      <c r="AB16" s="12">
        <v>257</v>
      </c>
      <c r="AC16" s="12">
        <v>247</v>
      </c>
      <c r="AD16" s="12">
        <v>209</v>
      </c>
      <c r="AE16" s="12">
        <v>475</v>
      </c>
      <c r="AF16" s="12">
        <v>365</v>
      </c>
    </row>
    <row r="17" spans="1:32">
      <c r="A17" s="19"/>
      <c r="B17" s="13" t="s">
        <v>493</v>
      </c>
      <c r="C17" s="14">
        <v>0.28000000000000003</v>
      </c>
      <c r="D17" s="14">
        <v>0.34</v>
      </c>
      <c r="E17" s="14">
        <v>0.15</v>
      </c>
      <c r="F17" s="14">
        <v>0.26</v>
      </c>
      <c r="G17" s="14">
        <v>0.42</v>
      </c>
      <c r="H17" s="14">
        <v>0.33</v>
      </c>
      <c r="I17" s="14">
        <v>0.34</v>
      </c>
      <c r="J17" s="14">
        <v>0.37</v>
      </c>
      <c r="K17" s="14">
        <v>0.35</v>
      </c>
      <c r="L17" s="14">
        <v>0.2</v>
      </c>
      <c r="M17" s="14">
        <v>0.33</v>
      </c>
      <c r="N17" s="14">
        <v>0.33</v>
      </c>
      <c r="O17" s="14">
        <v>0.25</v>
      </c>
      <c r="P17" s="14">
        <v>0.19</v>
      </c>
      <c r="Q17" s="14">
        <v>0.18</v>
      </c>
      <c r="R17" s="14">
        <v>0.28000000000000003</v>
      </c>
      <c r="S17" s="14">
        <v>0.27</v>
      </c>
      <c r="T17" s="14">
        <v>0.19</v>
      </c>
      <c r="U17" s="14">
        <v>0.24</v>
      </c>
      <c r="V17" s="14">
        <v>0.21</v>
      </c>
      <c r="W17" s="14">
        <v>0.24</v>
      </c>
      <c r="X17" s="14">
        <v>0.35</v>
      </c>
      <c r="Y17" s="14">
        <v>0.27</v>
      </c>
      <c r="Z17" s="14">
        <v>0.24</v>
      </c>
      <c r="AA17" s="14">
        <v>0.3</v>
      </c>
      <c r="AB17" s="14">
        <v>0.25</v>
      </c>
      <c r="AC17" s="14">
        <v>0.25</v>
      </c>
      <c r="AD17" s="14">
        <v>0.21</v>
      </c>
      <c r="AE17" s="14">
        <v>0.48</v>
      </c>
      <c r="AF17" s="14">
        <v>0.35</v>
      </c>
    </row>
    <row r="18" spans="1:32">
      <c r="A18" s="19"/>
      <c r="B18" s="11" t="s">
        <v>494</v>
      </c>
      <c r="C18" s="12">
        <v>2058</v>
      </c>
      <c r="D18" s="12">
        <v>84</v>
      </c>
      <c r="E18" s="12">
        <v>25</v>
      </c>
      <c r="F18" s="12">
        <v>57</v>
      </c>
      <c r="G18" s="12">
        <v>170</v>
      </c>
      <c r="H18" s="12">
        <v>89</v>
      </c>
      <c r="I18" s="12">
        <v>120</v>
      </c>
      <c r="J18" s="12">
        <v>31</v>
      </c>
      <c r="K18" s="12">
        <v>85</v>
      </c>
      <c r="L18" s="12">
        <v>40</v>
      </c>
      <c r="M18" s="12">
        <v>65</v>
      </c>
      <c r="N18" s="12">
        <v>221</v>
      </c>
      <c r="O18" s="12">
        <v>55</v>
      </c>
      <c r="P18" s="12">
        <v>38</v>
      </c>
      <c r="Q18" s="12">
        <v>31</v>
      </c>
      <c r="R18" s="12">
        <v>72</v>
      </c>
      <c r="S18" s="12">
        <v>66</v>
      </c>
      <c r="T18" s="12">
        <v>35</v>
      </c>
      <c r="U18" s="12">
        <v>25</v>
      </c>
      <c r="V18" s="12">
        <v>33</v>
      </c>
      <c r="W18" s="12">
        <v>50</v>
      </c>
      <c r="X18" s="12">
        <v>40</v>
      </c>
      <c r="Y18" s="12">
        <v>111</v>
      </c>
      <c r="Z18" s="12">
        <v>43</v>
      </c>
      <c r="AA18" s="12">
        <v>17</v>
      </c>
      <c r="AB18" s="12">
        <v>55</v>
      </c>
      <c r="AC18" s="12">
        <v>114</v>
      </c>
      <c r="AD18" s="12">
        <v>25</v>
      </c>
      <c r="AE18" s="12">
        <v>232</v>
      </c>
      <c r="AF18" s="12">
        <v>147</v>
      </c>
    </row>
    <row r="19" spans="1:32">
      <c r="A19" s="19"/>
      <c r="B19" s="13" t="s">
        <v>708</v>
      </c>
      <c r="C19" s="14">
        <v>0.08</v>
      </c>
      <c r="D19" s="14">
        <v>0.08</v>
      </c>
      <c r="E19" s="14">
        <v>0.02</v>
      </c>
      <c r="F19" s="14">
        <v>0.06</v>
      </c>
      <c r="G19" s="14">
        <v>0.17</v>
      </c>
      <c r="H19" s="14">
        <v>7.0000000000000007E-2</v>
      </c>
      <c r="I19" s="14">
        <v>0.08</v>
      </c>
      <c r="J19" s="14">
        <v>0.11</v>
      </c>
      <c r="K19" s="14">
        <v>0.09</v>
      </c>
      <c r="L19" s="14">
        <v>0.04</v>
      </c>
      <c r="M19" s="14">
        <v>0.06</v>
      </c>
      <c r="N19" s="14">
        <v>0.22</v>
      </c>
      <c r="O19" s="14">
        <v>0.05</v>
      </c>
      <c r="P19" s="14">
        <v>0.04</v>
      </c>
      <c r="Q19" s="14">
        <v>0.03</v>
      </c>
      <c r="R19" s="14">
        <v>0.14000000000000001</v>
      </c>
      <c r="S19" s="14">
        <v>7.0000000000000007E-2</v>
      </c>
      <c r="T19" s="14">
        <v>0.03</v>
      </c>
      <c r="U19" s="14">
        <v>0.05</v>
      </c>
      <c r="V19" s="14">
        <v>0.03</v>
      </c>
      <c r="W19" s="14">
        <v>0.1</v>
      </c>
      <c r="X19" s="14">
        <v>0.04</v>
      </c>
      <c r="Y19" s="14">
        <v>0.11</v>
      </c>
      <c r="Z19" s="14">
        <v>0.04</v>
      </c>
      <c r="AA19" s="14">
        <v>0.02</v>
      </c>
      <c r="AB19" s="14">
        <v>0.05</v>
      </c>
      <c r="AC19" s="14">
        <v>0.11</v>
      </c>
      <c r="AD19" s="14">
        <v>0.02</v>
      </c>
      <c r="AE19" s="14">
        <v>0.23</v>
      </c>
      <c r="AF19" s="14">
        <v>0.14000000000000001</v>
      </c>
    </row>
    <row r="20" spans="1:32">
      <c r="A20" s="19"/>
      <c r="B20" s="11" t="s">
        <v>386</v>
      </c>
      <c r="C20" s="12">
        <v>3285</v>
      </c>
      <c r="D20" s="12">
        <v>28</v>
      </c>
      <c r="E20" s="12">
        <v>164</v>
      </c>
      <c r="F20" s="12">
        <v>99</v>
      </c>
      <c r="G20" s="12">
        <v>149</v>
      </c>
      <c r="H20" s="12">
        <v>255</v>
      </c>
      <c r="I20" s="12">
        <v>286</v>
      </c>
      <c r="J20" s="12">
        <v>31</v>
      </c>
      <c r="K20" s="12">
        <v>135</v>
      </c>
      <c r="L20" s="12">
        <v>150</v>
      </c>
      <c r="M20" s="12">
        <v>53</v>
      </c>
      <c r="N20" s="12">
        <v>148</v>
      </c>
      <c r="O20" s="12">
        <v>182</v>
      </c>
      <c r="P20" s="12">
        <v>62</v>
      </c>
      <c r="Q20" s="12">
        <v>48</v>
      </c>
      <c r="R20" s="12">
        <v>32</v>
      </c>
      <c r="S20" s="12">
        <v>179</v>
      </c>
      <c r="T20" s="12">
        <v>142</v>
      </c>
      <c r="U20" s="12">
        <v>68</v>
      </c>
      <c r="V20" s="12">
        <v>46</v>
      </c>
      <c r="W20" s="12">
        <v>18</v>
      </c>
      <c r="X20" s="12">
        <v>124</v>
      </c>
      <c r="Y20" s="12">
        <v>119</v>
      </c>
      <c r="Z20" s="12">
        <v>60</v>
      </c>
      <c r="AA20" s="12">
        <v>224</v>
      </c>
      <c r="AB20" s="12">
        <v>85</v>
      </c>
      <c r="AC20" s="12">
        <v>60</v>
      </c>
      <c r="AD20" s="12">
        <v>87</v>
      </c>
      <c r="AE20" s="12">
        <v>81</v>
      </c>
      <c r="AF20" s="12">
        <v>128</v>
      </c>
    </row>
    <row r="21" spans="1:32">
      <c r="A21" s="19"/>
      <c r="B21" s="13" t="s">
        <v>399</v>
      </c>
      <c r="C21" s="14">
        <v>0.12</v>
      </c>
      <c r="D21" s="14">
        <v>0.03</v>
      </c>
      <c r="E21" s="14">
        <v>0.16</v>
      </c>
      <c r="F21" s="14">
        <v>0.09</v>
      </c>
      <c r="G21" s="14">
        <v>0.15</v>
      </c>
      <c r="H21" s="14">
        <v>0.21</v>
      </c>
      <c r="I21" s="14">
        <v>0.19</v>
      </c>
      <c r="J21" s="14">
        <v>0.1</v>
      </c>
      <c r="K21" s="14">
        <v>0.13</v>
      </c>
      <c r="L21" s="14">
        <v>0.15</v>
      </c>
      <c r="M21" s="14">
        <v>0.05</v>
      </c>
      <c r="N21" s="14">
        <v>0.15</v>
      </c>
      <c r="O21" s="14">
        <v>0.18</v>
      </c>
      <c r="P21" s="14">
        <v>0.06</v>
      </c>
      <c r="Q21" s="14">
        <v>0.05</v>
      </c>
      <c r="R21" s="14">
        <v>7.0000000000000007E-2</v>
      </c>
      <c r="S21" s="14">
        <v>0.18</v>
      </c>
      <c r="T21" s="14">
        <v>0.14000000000000001</v>
      </c>
      <c r="U21" s="14">
        <v>0.13</v>
      </c>
      <c r="V21" s="14">
        <v>0.05</v>
      </c>
      <c r="W21" s="14">
        <v>0.04</v>
      </c>
      <c r="X21" s="14">
        <v>0.12</v>
      </c>
      <c r="Y21" s="14">
        <v>0.12</v>
      </c>
      <c r="Z21" s="14">
        <v>0.06</v>
      </c>
      <c r="AA21" s="14">
        <v>0.22</v>
      </c>
      <c r="AB21" s="14">
        <v>0.08</v>
      </c>
      <c r="AC21" s="14">
        <v>0.06</v>
      </c>
      <c r="AD21" s="14">
        <v>0.09</v>
      </c>
      <c r="AE21" s="14">
        <v>0.08</v>
      </c>
      <c r="AF21" s="14">
        <v>0.13</v>
      </c>
    </row>
    <row r="22" spans="1:32">
      <c r="A22" s="19"/>
      <c r="B22" s="11" t="s">
        <v>496</v>
      </c>
      <c r="C22" s="12">
        <v>13780</v>
      </c>
      <c r="D22" s="12">
        <v>565</v>
      </c>
      <c r="E22" s="12">
        <v>700</v>
      </c>
      <c r="F22" s="12">
        <v>631</v>
      </c>
      <c r="G22" s="12">
        <v>269</v>
      </c>
      <c r="H22" s="12">
        <v>481</v>
      </c>
      <c r="I22" s="12">
        <v>608</v>
      </c>
      <c r="J22" s="12">
        <v>127</v>
      </c>
      <c r="K22" s="12">
        <v>437</v>
      </c>
      <c r="L22" s="12">
        <v>617</v>
      </c>
      <c r="M22" s="12">
        <v>562</v>
      </c>
      <c r="N22" s="12">
        <v>311</v>
      </c>
      <c r="O22" s="12">
        <v>521</v>
      </c>
      <c r="P22" s="12">
        <v>717</v>
      </c>
      <c r="Q22" s="12">
        <v>767</v>
      </c>
      <c r="R22" s="12">
        <v>257</v>
      </c>
      <c r="S22" s="12">
        <v>491</v>
      </c>
      <c r="T22" s="12">
        <v>651</v>
      </c>
      <c r="U22" s="12">
        <v>293</v>
      </c>
      <c r="V22" s="12">
        <v>727</v>
      </c>
      <c r="W22" s="12">
        <v>313</v>
      </c>
      <c r="X22" s="12">
        <v>498</v>
      </c>
      <c r="Y22" s="12">
        <v>503</v>
      </c>
      <c r="Z22" s="12">
        <v>666</v>
      </c>
      <c r="AA22" s="12">
        <v>485</v>
      </c>
      <c r="AB22" s="12">
        <v>643</v>
      </c>
      <c r="AC22" s="12">
        <v>583</v>
      </c>
      <c r="AD22" s="12">
        <v>682</v>
      </c>
      <c r="AE22" s="12">
        <v>212</v>
      </c>
      <c r="AF22" s="12">
        <v>390</v>
      </c>
    </row>
    <row r="23" spans="1:32">
      <c r="A23" s="19"/>
      <c r="B23" s="13" t="s">
        <v>497</v>
      </c>
      <c r="C23" s="14">
        <v>0.52</v>
      </c>
      <c r="D23" s="14">
        <v>0.55000000000000004</v>
      </c>
      <c r="E23" s="14">
        <v>0.67</v>
      </c>
      <c r="F23" s="14">
        <v>0.59</v>
      </c>
      <c r="G23" s="14">
        <v>0.26</v>
      </c>
      <c r="H23" s="14">
        <v>0.39</v>
      </c>
      <c r="I23" s="14">
        <v>0.39</v>
      </c>
      <c r="J23" s="14">
        <v>0.42</v>
      </c>
      <c r="K23" s="14">
        <v>0.43</v>
      </c>
      <c r="L23" s="14">
        <v>0.61</v>
      </c>
      <c r="M23" s="14">
        <v>0.56000000000000005</v>
      </c>
      <c r="N23" s="14">
        <v>0.3</v>
      </c>
      <c r="O23" s="14">
        <v>0.52</v>
      </c>
      <c r="P23" s="14">
        <v>0.71</v>
      </c>
      <c r="Q23" s="14">
        <v>0.74</v>
      </c>
      <c r="R23" s="14">
        <v>0.51</v>
      </c>
      <c r="S23" s="14">
        <v>0.48</v>
      </c>
      <c r="T23" s="14">
        <v>0.64</v>
      </c>
      <c r="U23" s="14">
        <v>0.57999999999999996</v>
      </c>
      <c r="V23" s="14">
        <v>0.71</v>
      </c>
      <c r="W23" s="14">
        <v>0.62</v>
      </c>
      <c r="X23" s="14">
        <v>0.49</v>
      </c>
      <c r="Y23" s="14">
        <v>0.5</v>
      </c>
      <c r="Z23" s="14">
        <v>0.66</v>
      </c>
      <c r="AA23" s="14">
        <v>0.46</v>
      </c>
      <c r="AB23" s="14">
        <v>0.62</v>
      </c>
      <c r="AC23" s="14">
        <v>0.57999999999999996</v>
      </c>
      <c r="AD23" s="14">
        <v>0.68</v>
      </c>
      <c r="AE23" s="14">
        <v>0.21</v>
      </c>
      <c r="AF23" s="14">
        <v>0.38</v>
      </c>
    </row>
    <row r="24" spans="1:32">
      <c r="A24" s="19"/>
      <c r="B24" s="11" t="s">
        <v>498</v>
      </c>
      <c r="C24" s="12">
        <v>9388</v>
      </c>
      <c r="D24" s="12">
        <v>427</v>
      </c>
      <c r="E24" s="12">
        <v>181</v>
      </c>
      <c r="F24" s="12">
        <v>335</v>
      </c>
      <c r="G24" s="12">
        <v>598</v>
      </c>
      <c r="H24" s="12">
        <v>494</v>
      </c>
      <c r="I24" s="12">
        <v>634</v>
      </c>
      <c r="J24" s="12">
        <v>140</v>
      </c>
      <c r="K24" s="12">
        <v>433</v>
      </c>
      <c r="L24" s="12">
        <v>238</v>
      </c>
      <c r="M24" s="12">
        <v>393</v>
      </c>
      <c r="N24" s="12">
        <v>552</v>
      </c>
      <c r="O24" s="12">
        <v>302</v>
      </c>
      <c r="P24" s="12">
        <v>224</v>
      </c>
      <c r="Q24" s="12">
        <v>217</v>
      </c>
      <c r="R24" s="12">
        <v>211</v>
      </c>
      <c r="S24" s="12">
        <v>335</v>
      </c>
      <c r="T24" s="12">
        <v>230</v>
      </c>
      <c r="U24" s="12">
        <v>146</v>
      </c>
      <c r="V24" s="12">
        <v>254</v>
      </c>
      <c r="W24" s="12">
        <v>171</v>
      </c>
      <c r="X24" s="12">
        <v>389</v>
      </c>
      <c r="Y24" s="12">
        <v>380</v>
      </c>
      <c r="Z24" s="12">
        <v>288</v>
      </c>
      <c r="AA24" s="12">
        <v>329</v>
      </c>
      <c r="AB24" s="12">
        <v>312</v>
      </c>
      <c r="AC24" s="12">
        <v>361</v>
      </c>
      <c r="AD24" s="12">
        <v>234</v>
      </c>
      <c r="AE24" s="12">
        <v>707</v>
      </c>
      <c r="AF24" s="12">
        <v>512</v>
      </c>
    </row>
    <row r="25" spans="1:32">
      <c r="A25" s="19"/>
      <c r="B25" s="13" t="s">
        <v>499</v>
      </c>
      <c r="C25" s="14">
        <v>0.36</v>
      </c>
      <c r="D25" s="14">
        <v>0.42</v>
      </c>
      <c r="E25" s="14">
        <v>0.17</v>
      </c>
      <c r="F25" s="14">
        <v>0.32</v>
      </c>
      <c r="G25" s="14">
        <v>0.59</v>
      </c>
      <c r="H25" s="14">
        <v>0.4</v>
      </c>
      <c r="I25" s="14">
        <v>0.42</v>
      </c>
      <c r="J25" s="14">
        <v>0.48</v>
      </c>
      <c r="K25" s="14">
        <v>0.44</v>
      </c>
      <c r="L25" s="14">
        <v>0.24</v>
      </c>
      <c r="M25" s="14">
        <v>0.39</v>
      </c>
      <c r="N25" s="14">
        <v>0.55000000000000004</v>
      </c>
      <c r="O25" s="14">
        <v>0.3</v>
      </c>
      <c r="P25" s="14">
        <v>0.23</v>
      </c>
      <c r="Q25" s="14">
        <v>0.21</v>
      </c>
      <c r="R25" s="14">
        <v>0.42</v>
      </c>
      <c r="S25" s="14">
        <v>0.34</v>
      </c>
      <c r="T25" s="14">
        <v>0.22</v>
      </c>
      <c r="U25" s="14">
        <v>0.28999999999999998</v>
      </c>
      <c r="V25" s="14">
        <v>0.24</v>
      </c>
      <c r="W25" s="14">
        <v>0.34</v>
      </c>
      <c r="X25" s="14">
        <v>0.39</v>
      </c>
      <c r="Y25" s="14">
        <v>0.38</v>
      </c>
      <c r="Z25" s="14">
        <v>0.28000000000000003</v>
      </c>
      <c r="AA25" s="14">
        <v>0.32</v>
      </c>
      <c r="AB25" s="14">
        <v>0.3</v>
      </c>
      <c r="AC25" s="14">
        <v>0.36</v>
      </c>
      <c r="AD25" s="14">
        <v>0.23</v>
      </c>
      <c r="AE25" s="14">
        <v>0.71</v>
      </c>
      <c r="AF25" s="14">
        <v>0.49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765</v>
      </c>
      <c r="C3" s="17"/>
      <c r="D3" s="17"/>
      <c r="E3" s="17"/>
      <c r="F3" s="17"/>
      <c r="H3" s="17" t="s">
        <v>766</v>
      </c>
      <c r="I3" s="17"/>
      <c r="J3" s="17"/>
      <c r="K3" s="17"/>
      <c r="L3" s="17"/>
    </row>
    <row r="4" spans="1:32" ht="27" customHeight="1">
      <c r="B4" s="17" t="s">
        <v>767</v>
      </c>
      <c r="C4" s="17"/>
      <c r="D4" s="17"/>
      <c r="E4" s="17"/>
      <c r="F4" s="17"/>
      <c r="H4" s="17" t="s">
        <v>768</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9088</v>
      </c>
      <c r="D12" s="12">
        <v>391</v>
      </c>
      <c r="E12" s="12">
        <v>278</v>
      </c>
      <c r="F12" s="12">
        <v>193</v>
      </c>
      <c r="G12" s="12">
        <v>634</v>
      </c>
      <c r="H12" s="12">
        <v>424</v>
      </c>
      <c r="I12" s="12">
        <v>538</v>
      </c>
      <c r="J12" s="12">
        <v>113</v>
      </c>
      <c r="K12" s="12">
        <v>318</v>
      </c>
      <c r="L12" s="12">
        <v>433</v>
      </c>
      <c r="M12" s="12">
        <v>474</v>
      </c>
      <c r="N12" s="12">
        <v>497</v>
      </c>
      <c r="O12" s="12">
        <v>331</v>
      </c>
      <c r="P12" s="12">
        <v>292</v>
      </c>
      <c r="Q12" s="12">
        <v>294</v>
      </c>
      <c r="R12" s="12">
        <v>292</v>
      </c>
      <c r="S12" s="12">
        <v>301</v>
      </c>
      <c r="T12" s="12">
        <v>380</v>
      </c>
      <c r="U12" s="12">
        <v>189</v>
      </c>
      <c r="V12" s="12">
        <v>271</v>
      </c>
      <c r="W12" s="12">
        <v>168</v>
      </c>
      <c r="X12" s="12">
        <v>291</v>
      </c>
      <c r="Y12" s="12">
        <v>408</v>
      </c>
      <c r="Z12" s="12">
        <v>226</v>
      </c>
      <c r="AA12" s="12">
        <v>151</v>
      </c>
      <c r="AB12" s="12">
        <v>247</v>
      </c>
      <c r="AC12" s="12">
        <v>406</v>
      </c>
      <c r="AD12" s="12">
        <v>309</v>
      </c>
      <c r="AE12" s="12">
        <v>508</v>
      </c>
      <c r="AF12" s="12">
        <v>722</v>
      </c>
    </row>
    <row r="13" spans="1:32">
      <c r="A13" s="19"/>
      <c r="B13" s="13" t="s">
        <v>707</v>
      </c>
      <c r="C13" s="14">
        <v>0.34</v>
      </c>
      <c r="D13" s="14">
        <v>0.38</v>
      </c>
      <c r="E13" s="14">
        <v>0.27</v>
      </c>
      <c r="F13" s="14">
        <v>0.18</v>
      </c>
      <c r="G13" s="14">
        <v>0.62</v>
      </c>
      <c r="H13" s="14">
        <v>0.34</v>
      </c>
      <c r="I13" s="14">
        <v>0.35</v>
      </c>
      <c r="J13" s="14">
        <v>0.38</v>
      </c>
      <c r="K13" s="14">
        <v>0.32</v>
      </c>
      <c r="L13" s="14">
        <v>0.43</v>
      </c>
      <c r="M13" s="14">
        <v>0.47</v>
      </c>
      <c r="N13" s="14">
        <v>0.49</v>
      </c>
      <c r="O13" s="14">
        <v>0.33</v>
      </c>
      <c r="P13" s="14">
        <v>0.28999999999999998</v>
      </c>
      <c r="Q13" s="14">
        <v>0.28000000000000003</v>
      </c>
      <c r="R13" s="14">
        <v>0.57999999999999996</v>
      </c>
      <c r="S13" s="14">
        <v>0.3</v>
      </c>
      <c r="T13" s="14">
        <v>0.37</v>
      </c>
      <c r="U13" s="14">
        <v>0.37</v>
      </c>
      <c r="V13" s="14">
        <v>0.26</v>
      </c>
      <c r="W13" s="14">
        <v>0.34</v>
      </c>
      <c r="X13" s="14">
        <v>0.28999999999999998</v>
      </c>
      <c r="Y13" s="14">
        <v>0.41</v>
      </c>
      <c r="Z13" s="14">
        <v>0.22</v>
      </c>
      <c r="AA13" s="14">
        <v>0.15</v>
      </c>
      <c r="AB13" s="14">
        <v>0.24</v>
      </c>
      <c r="AC13" s="14">
        <v>0.4</v>
      </c>
      <c r="AD13" s="14">
        <v>0.31</v>
      </c>
      <c r="AE13" s="14">
        <v>0.51</v>
      </c>
      <c r="AF13" s="14">
        <v>0.70000000000000007</v>
      </c>
    </row>
    <row r="14" spans="1:32">
      <c r="A14" s="19"/>
      <c r="B14" s="11" t="s">
        <v>490</v>
      </c>
      <c r="C14" s="12">
        <v>12761</v>
      </c>
      <c r="D14" s="12">
        <v>486</v>
      </c>
      <c r="E14" s="12">
        <v>461</v>
      </c>
      <c r="F14" s="12">
        <v>542</v>
      </c>
      <c r="G14" s="12">
        <v>285</v>
      </c>
      <c r="H14" s="12">
        <v>621</v>
      </c>
      <c r="I14" s="12">
        <v>755</v>
      </c>
      <c r="J14" s="12">
        <v>133</v>
      </c>
      <c r="K14" s="12">
        <v>492</v>
      </c>
      <c r="L14" s="12">
        <v>435</v>
      </c>
      <c r="M14" s="12">
        <v>445</v>
      </c>
      <c r="N14" s="12">
        <v>342</v>
      </c>
      <c r="O14" s="12">
        <v>468</v>
      </c>
      <c r="P14" s="12">
        <v>527</v>
      </c>
      <c r="Q14" s="12">
        <v>608</v>
      </c>
      <c r="R14" s="12">
        <v>150</v>
      </c>
      <c r="S14" s="12">
        <v>494</v>
      </c>
      <c r="T14" s="12">
        <v>491</v>
      </c>
      <c r="U14" s="12">
        <v>233</v>
      </c>
      <c r="V14" s="12">
        <v>542</v>
      </c>
      <c r="W14" s="12">
        <v>211</v>
      </c>
      <c r="X14" s="12">
        <v>529</v>
      </c>
      <c r="Y14" s="12">
        <v>439</v>
      </c>
      <c r="Z14" s="12">
        <v>581</v>
      </c>
      <c r="AA14" s="12">
        <v>676</v>
      </c>
      <c r="AB14" s="12">
        <v>507</v>
      </c>
      <c r="AC14" s="12">
        <v>458</v>
      </c>
      <c r="AD14" s="12">
        <v>475</v>
      </c>
      <c r="AE14" s="12">
        <v>378</v>
      </c>
      <c r="AF14" s="12">
        <v>238</v>
      </c>
    </row>
    <row r="15" spans="1:32">
      <c r="A15" s="19"/>
      <c r="B15" s="13" t="s">
        <v>491</v>
      </c>
      <c r="C15" s="14">
        <v>0.48</v>
      </c>
      <c r="D15" s="14">
        <v>0.48</v>
      </c>
      <c r="E15" s="14">
        <v>0.44</v>
      </c>
      <c r="F15" s="14">
        <v>0.51</v>
      </c>
      <c r="G15" s="14">
        <v>0.28000000000000003</v>
      </c>
      <c r="H15" s="14">
        <v>0.51</v>
      </c>
      <c r="I15" s="14">
        <v>0.49</v>
      </c>
      <c r="J15" s="14">
        <v>0.45</v>
      </c>
      <c r="K15" s="14">
        <v>0.49</v>
      </c>
      <c r="L15" s="14">
        <v>0.43</v>
      </c>
      <c r="M15" s="14">
        <v>0.44</v>
      </c>
      <c r="N15" s="14">
        <v>0.34</v>
      </c>
      <c r="O15" s="14">
        <v>0.46</v>
      </c>
      <c r="P15" s="14">
        <v>0.53</v>
      </c>
      <c r="Q15" s="14">
        <v>0.59</v>
      </c>
      <c r="R15" s="14">
        <v>0.3</v>
      </c>
      <c r="S15" s="14">
        <v>0.49</v>
      </c>
      <c r="T15" s="14">
        <v>0.48</v>
      </c>
      <c r="U15" s="14">
        <v>0.46</v>
      </c>
      <c r="V15" s="14">
        <v>0.53</v>
      </c>
      <c r="W15" s="14">
        <v>0.42</v>
      </c>
      <c r="X15" s="14">
        <v>0.52</v>
      </c>
      <c r="Y15" s="14">
        <v>0.44</v>
      </c>
      <c r="Z15" s="14">
        <v>0.57000000000000006</v>
      </c>
      <c r="AA15" s="14">
        <v>0.65</v>
      </c>
      <c r="AB15" s="14">
        <v>0.49</v>
      </c>
      <c r="AC15" s="14">
        <v>0.46</v>
      </c>
      <c r="AD15" s="14">
        <v>0.47</v>
      </c>
      <c r="AE15" s="14">
        <v>0.38</v>
      </c>
      <c r="AF15" s="14">
        <v>0.23</v>
      </c>
    </row>
    <row r="16" spans="1:32">
      <c r="A16" s="19"/>
      <c r="B16" s="11" t="s">
        <v>492</v>
      </c>
      <c r="C16" s="12">
        <v>2478</v>
      </c>
      <c r="D16" s="12">
        <v>110</v>
      </c>
      <c r="E16" s="12">
        <v>129</v>
      </c>
      <c r="F16" s="12">
        <v>199</v>
      </c>
      <c r="G16" s="12">
        <v>34</v>
      </c>
      <c r="H16" s="12">
        <v>81</v>
      </c>
      <c r="I16" s="12">
        <v>109</v>
      </c>
      <c r="J16" s="12">
        <v>28</v>
      </c>
      <c r="K16" s="12">
        <v>104</v>
      </c>
      <c r="L16" s="12">
        <v>37</v>
      </c>
      <c r="M16" s="12">
        <v>50</v>
      </c>
      <c r="N16" s="12">
        <v>67</v>
      </c>
      <c r="O16" s="12">
        <v>99</v>
      </c>
      <c r="P16" s="12">
        <v>120</v>
      </c>
      <c r="Q16" s="12">
        <v>88</v>
      </c>
      <c r="R16" s="12">
        <v>29</v>
      </c>
      <c r="S16" s="12">
        <v>85</v>
      </c>
      <c r="T16" s="12">
        <v>80</v>
      </c>
      <c r="U16" s="12">
        <v>46</v>
      </c>
      <c r="V16" s="12">
        <v>171</v>
      </c>
      <c r="W16" s="12">
        <v>70</v>
      </c>
      <c r="X16" s="12">
        <v>103</v>
      </c>
      <c r="Y16" s="12">
        <v>95</v>
      </c>
      <c r="Z16" s="12">
        <v>157</v>
      </c>
      <c r="AA16" s="12">
        <v>26</v>
      </c>
      <c r="AB16" s="12">
        <v>183</v>
      </c>
      <c r="AC16" s="12">
        <v>102</v>
      </c>
      <c r="AD16" s="12">
        <v>110</v>
      </c>
      <c r="AE16" s="12">
        <v>62</v>
      </c>
      <c r="AF16" s="12">
        <v>28</v>
      </c>
    </row>
    <row r="17" spans="1:32">
      <c r="A17" s="19"/>
      <c r="B17" s="13" t="s">
        <v>493</v>
      </c>
      <c r="C17" s="14">
        <v>0.09</v>
      </c>
      <c r="D17" s="14">
        <v>0.11</v>
      </c>
      <c r="E17" s="14">
        <v>0.12</v>
      </c>
      <c r="F17" s="14">
        <v>0.19</v>
      </c>
      <c r="G17" s="14">
        <v>0.04</v>
      </c>
      <c r="H17" s="14">
        <v>7.0000000000000007E-2</v>
      </c>
      <c r="I17" s="14">
        <v>7.0000000000000007E-2</v>
      </c>
      <c r="J17" s="14">
        <v>0.09</v>
      </c>
      <c r="K17" s="14">
        <v>0.1</v>
      </c>
      <c r="L17" s="14">
        <v>0.04</v>
      </c>
      <c r="M17" s="14">
        <v>0.05</v>
      </c>
      <c r="N17" s="14">
        <v>0.06</v>
      </c>
      <c r="O17" s="14">
        <v>0.1</v>
      </c>
      <c r="P17" s="14">
        <v>0.12</v>
      </c>
      <c r="Q17" s="14">
        <v>0.09</v>
      </c>
      <c r="R17" s="14">
        <v>0.06</v>
      </c>
      <c r="S17" s="14">
        <v>0.08</v>
      </c>
      <c r="T17" s="14">
        <v>0.08</v>
      </c>
      <c r="U17" s="14">
        <v>0.09</v>
      </c>
      <c r="V17" s="14">
        <v>0.17</v>
      </c>
      <c r="W17" s="14">
        <v>0.14000000000000001</v>
      </c>
      <c r="X17" s="14">
        <v>0.1</v>
      </c>
      <c r="Y17" s="14">
        <v>0.09</v>
      </c>
      <c r="Z17" s="14">
        <v>0.16</v>
      </c>
      <c r="AA17" s="14">
        <v>0.03</v>
      </c>
      <c r="AB17" s="14">
        <v>0.17</v>
      </c>
      <c r="AC17" s="14">
        <v>0.1</v>
      </c>
      <c r="AD17" s="14">
        <v>0.11</v>
      </c>
      <c r="AE17" s="14">
        <v>0.06</v>
      </c>
      <c r="AF17" s="14">
        <v>0.03</v>
      </c>
    </row>
    <row r="18" spans="1:32">
      <c r="A18" s="19"/>
      <c r="B18" s="11" t="s">
        <v>494</v>
      </c>
      <c r="C18" s="12">
        <v>410</v>
      </c>
      <c r="D18" s="12">
        <v>16</v>
      </c>
      <c r="E18" s="12">
        <v>26</v>
      </c>
      <c r="F18" s="12">
        <v>24</v>
      </c>
      <c r="G18" s="12">
        <v>11</v>
      </c>
      <c r="H18" s="12">
        <v>15</v>
      </c>
      <c r="I18" s="12">
        <v>23</v>
      </c>
      <c r="J18" s="12">
        <v>7</v>
      </c>
      <c r="K18" s="12">
        <v>30</v>
      </c>
      <c r="L18" s="12">
        <v>9</v>
      </c>
      <c r="M18" s="12">
        <v>8</v>
      </c>
      <c r="N18" s="12">
        <v>18</v>
      </c>
      <c r="O18" s="12">
        <v>8</v>
      </c>
      <c r="P18" s="12">
        <v>30</v>
      </c>
      <c r="Q18" s="12">
        <v>14</v>
      </c>
      <c r="R18" s="12">
        <v>5</v>
      </c>
      <c r="S18" s="12">
        <v>16</v>
      </c>
      <c r="T18" s="12">
        <v>6</v>
      </c>
      <c r="U18" s="12">
        <v>3</v>
      </c>
      <c r="V18" s="12">
        <v>20</v>
      </c>
      <c r="W18" s="12">
        <v>40</v>
      </c>
      <c r="X18" s="12">
        <v>12</v>
      </c>
      <c r="Y18" s="12">
        <v>17</v>
      </c>
      <c r="Z18" s="12">
        <v>22</v>
      </c>
      <c r="AA18" s="12">
        <v>3</v>
      </c>
      <c r="AB18" s="12">
        <v>49</v>
      </c>
      <c r="AC18" s="12">
        <v>13</v>
      </c>
      <c r="AD18" s="12">
        <v>14</v>
      </c>
      <c r="AE18" s="12">
        <v>8</v>
      </c>
      <c r="AF18" s="12">
        <v>3</v>
      </c>
    </row>
    <row r="19" spans="1:32">
      <c r="A19" s="19"/>
      <c r="B19" s="13" t="s">
        <v>708</v>
      </c>
      <c r="C19" s="14">
        <v>0.02</v>
      </c>
      <c r="D19" s="14">
        <v>0.01</v>
      </c>
      <c r="E19" s="14">
        <v>0.03</v>
      </c>
      <c r="F19" s="14">
        <v>0.02</v>
      </c>
      <c r="G19" s="14">
        <v>0.01</v>
      </c>
      <c r="H19" s="14">
        <v>0.01</v>
      </c>
      <c r="I19" s="14">
        <v>0.02</v>
      </c>
      <c r="J19" s="14">
        <v>0.03</v>
      </c>
      <c r="K19" s="14">
        <v>0.03</v>
      </c>
      <c r="L19" s="14">
        <v>0.01</v>
      </c>
      <c r="M19" s="14">
        <v>0.01</v>
      </c>
      <c r="N19" s="14">
        <v>0.02</v>
      </c>
      <c r="O19" s="14">
        <v>0.01</v>
      </c>
      <c r="P19" s="14">
        <v>0.03</v>
      </c>
      <c r="Q19" s="14">
        <v>0.01</v>
      </c>
      <c r="R19" s="14">
        <v>0.01</v>
      </c>
      <c r="S19" s="14">
        <v>0.02</v>
      </c>
      <c r="T19" s="14">
        <v>0.01</v>
      </c>
      <c r="U19" s="14">
        <v>0.01</v>
      </c>
      <c r="V19" s="14">
        <v>0.02</v>
      </c>
      <c r="W19" s="14">
        <v>0.08</v>
      </c>
      <c r="X19" s="14">
        <v>0.01</v>
      </c>
      <c r="Y19" s="14">
        <v>0.02</v>
      </c>
      <c r="Z19" s="14">
        <v>0.02</v>
      </c>
      <c r="AA19" s="15" t="s">
        <v>375</v>
      </c>
      <c r="AB19" s="14">
        <v>0.05</v>
      </c>
      <c r="AC19" s="14">
        <v>0.01</v>
      </c>
      <c r="AD19" s="14">
        <v>0.01</v>
      </c>
      <c r="AE19" s="14">
        <v>0.01</v>
      </c>
      <c r="AF19" s="15" t="s">
        <v>375</v>
      </c>
    </row>
    <row r="20" spans="1:32">
      <c r="A20" s="19"/>
      <c r="B20" s="11" t="s">
        <v>386</v>
      </c>
      <c r="C20" s="12">
        <v>1717</v>
      </c>
      <c r="D20" s="12">
        <v>18</v>
      </c>
      <c r="E20" s="12">
        <v>151</v>
      </c>
      <c r="F20" s="12">
        <v>106</v>
      </c>
      <c r="G20" s="12">
        <v>52</v>
      </c>
      <c r="H20" s="12">
        <v>88</v>
      </c>
      <c r="I20" s="12">
        <v>104</v>
      </c>
      <c r="J20" s="12">
        <v>15</v>
      </c>
      <c r="K20" s="12">
        <v>62</v>
      </c>
      <c r="L20" s="12">
        <v>92</v>
      </c>
      <c r="M20" s="12">
        <v>31</v>
      </c>
      <c r="N20" s="12">
        <v>87</v>
      </c>
      <c r="O20" s="12">
        <v>98</v>
      </c>
      <c r="P20" s="12">
        <v>35</v>
      </c>
      <c r="Q20" s="12">
        <v>27</v>
      </c>
      <c r="R20" s="12">
        <v>25</v>
      </c>
      <c r="S20" s="12">
        <v>108</v>
      </c>
      <c r="T20" s="12">
        <v>66</v>
      </c>
      <c r="U20" s="12">
        <v>36</v>
      </c>
      <c r="V20" s="12">
        <v>23</v>
      </c>
      <c r="W20" s="12">
        <v>12</v>
      </c>
      <c r="X20" s="12">
        <v>74</v>
      </c>
      <c r="Y20" s="12">
        <v>43</v>
      </c>
      <c r="Z20" s="12">
        <v>29</v>
      </c>
      <c r="AA20" s="12">
        <v>180</v>
      </c>
      <c r="AB20" s="12">
        <v>55</v>
      </c>
      <c r="AC20" s="12">
        <v>27</v>
      </c>
      <c r="AD20" s="12">
        <v>95</v>
      </c>
      <c r="AE20" s="12">
        <v>45</v>
      </c>
      <c r="AF20" s="12">
        <v>41</v>
      </c>
    </row>
    <row r="21" spans="1:32">
      <c r="A21" s="19"/>
      <c r="B21" s="13" t="s">
        <v>399</v>
      </c>
      <c r="C21" s="14">
        <v>7.0000000000000007E-2</v>
      </c>
      <c r="D21" s="14">
        <v>0.02</v>
      </c>
      <c r="E21" s="14">
        <v>0.14000000000000001</v>
      </c>
      <c r="F21" s="14">
        <v>0.1</v>
      </c>
      <c r="G21" s="14">
        <v>0.05</v>
      </c>
      <c r="H21" s="14">
        <v>7.0000000000000007E-2</v>
      </c>
      <c r="I21" s="14">
        <v>7.0000000000000007E-2</v>
      </c>
      <c r="J21" s="14">
        <v>0.05</v>
      </c>
      <c r="K21" s="14">
        <v>0.06</v>
      </c>
      <c r="L21" s="14">
        <v>0.09</v>
      </c>
      <c r="M21" s="14">
        <v>0.03</v>
      </c>
      <c r="N21" s="14">
        <v>0.09</v>
      </c>
      <c r="O21" s="14">
        <v>0.1</v>
      </c>
      <c r="P21" s="14">
        <v>0.03</v>
      </c>
      <c r="Q21" s="14">
        <v>0.03</v>
      </c>
      <c r="R21" s="14">
        <v>0.05</v>
      </c>
      <c r="S21" s="14">
        <v>0.11</v>
      </c>
      <c r="T21" s="14">
        <v>0.06</v>
      </c>
      <c r="U21" s="14">
        <v>7.0000000000000007E-2</v>
      </c>
      <c r="V21" s="14">
        <v>0.02</v>
      </c>
      <c r="W21" s="14">
        <v>0.02</v>
      </c>
      <c r="X21" s="14">
        <v>0.08</v>
      </c>
      <c r="Y21" s="14">
        <v>0.04</v>
      </c>
      <c r="Z21" s="14">
        <v>0.03</v>
      </c>
      <c r="AA21" s="14">
        <v>0.17</v>
      </c>
      <c r="AB21" s="14">
        <v>0.05</v>
      </c>
      <c r="AC21" s="14">
        <v>0.03</v>
      </c>
      <c r="AD21" s="14">
        <v>0.1</v>
      </c>
      <c r="AE21" s="14">
        <v>0.04</v>
      </c>
      <c r="AF21" s="14">
        <v>0.04</v>
      </c>
    </row>
    <row r="22" spans="1:32">
      <c r="A22" s="19"/>
      <c r="B22" s="11" t="s">
        <v>496</v>
      </c>
      <c r="C22" s="12">
        <v>21849</v>
      </c>
      <c r="D22" s="12">
        <v>877</v>
      </c>
      <c r="E22" s="12">
        <v>739</v>
      </c>
      <c r="F22" s="12">
        <v>735</v>
      </c>
      <c r="G22" s="12">
        <v>919</v>
      </c>
      <c r="H22" s="12">
        <v>1045</v>
      </c>
      <c r="I22" s="12">
        <v>1293</v>
      </c>
      <c r="J22" s="12">
        <v>246</v>
      </c>
      <c r="K22" s="12">
        <v>810</v>
      </c>
      <c r="L22" s="12">
        <v>868</v>
      </c>
      <c r="M22" s="12">
        <v>919</v>
      </c>
      <c r="N22" s="12">
        <v>839</v>
      </c>
      <c r="O22" s="12">
        <v>799</v>
      </c>
      <c r="P22" s="12">
        <v>819</v>
      </c>
      <c r="Q22" s="12">
        <v>902</v>
      </c>
      <c r="R22" s="12">
        <v>442</v>
      </c>
      <c r="S22" s="12">
        <v>795</v>
      </c>
      <c r="T22" s="12">
        <v>871</v>
      </c>
      <c r="U22" s="12">
        <v>422</v>
      </c>
      <c r="V22" s="12">
        <v>813</v>
      </c>
      <c r="W22" s="12">
        <v>379</v>
      </c>
      <c r="X22" s="12">
        <v>820</v>
      </c>
      <c r="Y22" s="12">
        <v>847</v>
      </c>
      <c r="Z22" s="12">
        <v>807</v>
      </c>
      <c r="AA22" s="12">
        <v>827</v>
      </c>
      <c r="AB22" s="12">
        <v>754</v>
      </c>
      <c r="AC22" s="12">
        <v>864</v>
      </c>
      <c r="AD22" s="12">
        <v>784</v>
      </c>
      <c r="AE22" s="12">
        <v>886</v>
      </c>
      <c r="AF22" s="12">
        <v>960</v>
      </c>
    </row>
    <row r="23" spans="1:32">
      <c r="A23" s="19"/>
      <c r="B23" s="13" t="s">
        <v>497</v>
      </c>
      <c r="C23" s="14">
        <v>0.82000000000000006</v>
      </c>
      <c r="D23" s="14">
        <v>0.86</v>
      </c>
      <c r="E23" s="14">
        <v>0.71</v>
      </c>
      <c r="F23" s="14">
        <v>0.69000000000000006</v>
      </c>
      <c r="G23" s="14">
        <v>0.9</v>
      </c>
      <c r="H23" s="14">
        <v>0.85</v>
      </c>
      <c r="I23" s="14">
        <v>0.84</v>
      </c>
      <c r="J23" s="14">
        <v>0.83000000000000007</v>
      </c>
      <c r="K23" s="14">
        <v>0.81</v>
      </c>
      <c r="L23" s="14">
        <v>0.86</v>
      </c>
      <c r="M23" s="14">
        <v>0.91</v>
      </c>
      <c r="N23" s="14">
        <v>0.83000000000000007</v>
      </c>
      <c r="O23" s="14">
        <v>0.79</v>
      </c>
      <c r="P23" s="14">
        <v>0.82000000000000006</v>
      </c>
      <c r="Q23" s="14">
        <v>0.87</v>
      </c>
      <c r="R23" s="14">
        <v>0.88</v>
      </c>
      <c r="S23" s="14">
        <v>0.79</v>
      </c>
      <c r="T23" s="14">
        <v>0.85</v>
      </c>
      <c r="U23" s="14">
        <v>0.83000000000000007</v>
      </c>
      <c r="V23" s="14">
        <v>0.79</v>
      </c>
      <c r="W23" s="14">
        <v>0.76</v>
      </c>
      <c r="X23" s="14">
        <v>0.81</v>
      </c>
      <c r="Y23" s="14">
        <v>0.85</v>
      </c>
      <c r="Z23" s="14">
        <v>0.79</v>
      </c>
      <c r="AA23" s="14">
        <v>0.8</v>
      </c>
      <c r="AB23" s="14">
        <v>0.73</v>
      </c>
      <c r="AC23" s="14">
        <v>0.86</v>
      </c>
      <c r="AD23" s="14">
        <v>0.78</v>
      </c>
      <c r="AE23" s="14">
        <v>0.89</v>
      </c>
      <c r="AF23" s="14">
        <v>0.93</v>
      </c>
    </row>
    <row r="24" spans="1:32">
      <c r="A24" s="19"/>
      <c r="B24" s="11" t="s">
        <v>498</v>
      </c>
      <c r="C24" s="12">
        <v>2888</v>
      </c>
      <c r="D24" s="12">
        <v>126</v>
      </c>
      <c r="E24" s="12">
        <v>155</v>
      </c>
      <c r="F24" s="12">
        <v>223</v>
      </c>
      <c r="G24" s="12">
        <v>45</v>
      </c>
      <c r="H24" s="12">
        <v>96</v>
      </c>
      <c r="I24" s="12">
        <v>132</v>
      </c>
      <c r="J24" s="12">
        <v>35</v>
      </c>
      <c r="K24" s="12">
        <v>134</v>
      </c>
      <c r="L24" s="12">
        <v>46</v>
      </c>
      <c r="M24" s="12">
        <v>58</v>
      </c>
      <c r="N24" s="12">
        <v>85</v>
      </c>
      <c r="O24" s="12">
        <v>107</v>
      </c>
      <c r="P24" s="12">
        <v>150</v>
      </c>
      <c r="Q24" s="12">
        <v>102</v>
      </c>
      <c r="R24" s="12">
        <v>34</v>
      </c>
      <c r="S24" s="12">
        <v>101</v>
      </c>
      <c r="T24" s="12">
        <v>86</v>
      </c>
      <c r="U24" s="12">
        <v>49</v>
      </c>
      <c r="V24" s="12">
        <v>191</v>
      </c>
      <c r="W24" s="12">
        <v>110</v>
      </c>
      <c r="X24" s="12">
        <v>115</v>
      </c>
      <c r="Y24" s="12">
        <v>112</v>
      </c>
      <c r="Z24" s="12">
        <v>179</v>
      </c>
      <c r="AA24" s="12">
        <v>29</v>
      </c>
      <c r="AB24" s="12">
        <v>232</v>
      </c>
      <c r="AC24" s="12">
        <v>115</v>
      </c>
      <c r="AD24" s="12">
        <v>124</v>
      </c>
      <c r="AE24" s="12">
        <v>70</v>
      </c>
      <c r="AF24" s="12">
        <v>31</v>
      </c>
    </row>
    <row r="25" spans="1:32">
      <c r="A25" s="19"/>
      <c r="B25" s="13" t="s">
        <v>499</v>
      </c>
      <c r="C25" s="14">
        <v>0.11</v>
      </c>
      <c r="D25" s="14">
        <v>0.12</v>
      </c>
      <c r="E25" s="14">
        <v>0.15</v>
      </c>
      <c r="F25" s="14">
        <v>0.21</v>
      </c>
      <c r="G25" s="14">
        <v>0.05</v>
      </c>
      <c r="H25" s="14">
        <v>0.08</v>
      </c>
      <c r="I25" s="14">
        <v>0.09</v>
      </c>
      <c r="J25" s="14">
        <v>0.12</v>
      </c>
      <c r="K25" s="14">
        <v>0.13</v>
      </c>
      <c r="L25" s="14">
        <v>0.05</v>
      </c>
      <c r="M25" s="14">
        <v>0.06</v>
      </c>
      <c r="N25" s="14">
        <v>0.08</v>
      </c>
      <c r="O25" s="14">
        <v>0.11</v>
      </c>
      <c r="P25" s="14">
        <v>0.15</v>
      </c>
      <c r="Q25" s="14">
        <v>0.1</v>
      </c>
      <c r="R25" s="14">
        <v>7.0000000000000007E-2</v>
      </c>
      <c r="S25" s="14">
        <v>0.1</v>
      </c>
      <c r="T25" s="14">
        <v>0.09</v>
      </c>
      <c r="U25" s="14">
        <v>0.1</v>
      </c>
      <c r="V25" s="14">
        <v>0.19</v>
      </c>
      <c r="W25" s="14">
        <v>0.22</v>
      </c>
      <c r="X25" s="14">
        <v>0.11</v>
      </c>
      <c r="Y25" s="14">
        <v>0.11</v>
      </c>
      <c r="Z25" s="14">
        <v>0.18</v>
      </c>
      <c r="AA25" s="14">
        <v>0.03</v>
      </c>
      <c r="AB25" s="14">
        <v>0.22</v>
      </c>
      <c r="AC25" s="14">
        <v>0.11</v>
      </c>
      <c r="AD25" s="14">
        <v>0.12</v>
      </c>
      <c r="AE25" s="14">
        <v>7.0000000000000007E-2</v>
      </c>
      <c r="AF25" s="14">
        <v>0.03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769</v>
      </c>
      <c r="C3" s="17"/>
      <c r="D3" s="17"/>
      <c r="E3" s="17"/>
      <c r="F3" s="17"/>
      <c r="H3" s="17" t="s">
        <v>770</v>
      </c>
      <c r="I3" s="17"/>
      <c r="J3" s="17"/>
      <c r="K3" s="17"/>
      <c r="L3" s="17"/>
    </row>
    <row r="4" spans="1:32" ht="27" customHeight="1">
      <c r="B4" s="17" t="s">
        <v>771</v>
      </c>
      <c r="C4" s="17"/>
      <c r="D4" s="17"/>
      <c r="E4" s="17"/>
      <c r="F4" s="17"/>
      <c r="H4" s="17" t="s">
        <v>772</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HYPERLINK("#Content!A69","&lt;&lt;Back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6680</v>
      </c>
      <c r="D12" s="12">
        <v>338</v>
      </c>
      <c r="E12" s="12">
        <v>249</v>
      </c>
      <c r="F12" s="12">
        <v>170</v>
      </c>
      <c r="G12" s="12">
        <v>531</v>
      </c>
      <c r="H12" s="12">
        <v>278</v>
      </c>
      <c r="I12" s="12">
        <v>331</v>
      </c>
      <c r="J12" s="12">
        <v>53</v>
      </c>
      <c r="K12" s="12">
        <v>225</v>
      </c>
      <c r="L12" s="12">
        <v>317</v>
      </c>
      <c r="M12" s="12">
        <v>358</v>
      </c>
      <c r="N12" s="12">
        <v>407</v>
      </c>
      <c r="O12" s="12">
        <v>221</v>
      </c>
      <c r="P12" s="12">
        <v>232</v>
      </c>
      <c r="Q12" s="12">
        <v>193</v>
      </c>
      <c r="R12" s="12">
        <v>198</v>
      </c>
      <c r="S12" s="12">
        <v>194</v>
      </c>
      <c r="T12" s="12">
        <v>295</v>
      </c>
      <c r="U12" s="12">
        <v>143</v>
      </c>
      <c r="V12" s="12">
        <v>236</v>
      </c>
      <c r="W12" s="12">
        <v>148</v>
      </c>
      <c r="X12" s="12">
        <v>322</v>
      </c>
      <c r="Y12" s="12">
        <v>306</v>
      </c>
      <c r="Z12" s="12">
        <v>159</v>
      </c>
      <c r="AA12" s="12">
        <v>119</v>
      </c>
      <c r="AB12" s="12">
        <v>203</v>
      </c>
      <c r="AC12" s="12">
        <v>305</v>
      </c>
      <c r="AD12" s="12">
        <v>190</v>
      </c>
      <c r="AE12" s="12">
        <v>433</v>
      </c>
      <c r="AF12" s="12">
        <v>537</v>
      </c>
    </row>
    <row r="13" spans="1:32">
      <c r="A13" s="19"/>
      <c r="B13" s="13" t="s">
        <v>707</v>
      </c>
      <c r="C13" s="14">
        <v>0.25</v>
      </c>
      <c r="D13" s="14">
        <v>0.33</v>
      </c>
      <c r="E13" s="14">
        <v>0.24</v>
      </c>
      <c r="F13" s="14">
        <v>0.16</v>
      </c>
      <c r="G13" s="14">
        <v>0.52</v>
      </c>
      <c r="H13" s="14">
        <v>0.23</v>
      </c>
      <c r="I13" s="14">
        <v>0.22</v>
      </c>
      <c r="J13" s="14">
        <v>0.18</v>
      </c>
      <c r="K13" s="14">
        <v>0.22</v>
      </c>
      <c r="L13" s="14">
        <v>0.31</v>
      </c>
      <c r="M13" s="14">
        <v>0.35</v>
      </c>
      <c r="N13" s="14">
        <v>0.4</v>
      </c>
      <c r="O13" s="14">
        <v>0.22</v>
      </c>
      <c r="P13" s="14">
        <v>0.23</v>
      </c>
      <c r="Q13" s="14">
        <v>0.19</v>
      </c>
      <c r="R13" s="14">
        <v>0.4</v>
      </c>
      <c r="S13" s="14">
        <v>0.19</v>
      </c>
      <c r="T13" s="14">
        <v>0.28999999999999998</v>
      </c>
      <c r="U13" s="14">
        <v>0.28000000000000003</v>
      </c>
      <c r="V13" s="14">
        <v>0.23</v>
      </c>
      <c r="W13" s="14">
        <v>0.28999999999999998</v>
      </c>
      <c r="X13" s="14">
        <v>0.32</v>
      </c>
      <c r="Y13" s="14">
        <v>0.3</v>
      </c>
      <c r="Z13" s="14">
        <v>0.16</v>
      </c>
      <c r="AA13" s="14">
        <v>0.11</v>
      </c>
      <c r="AB13" s="14">
        <v>0.2</v>
      </c>
      <c r="AC13" s="14">
        <v>0.3</v>
      </c>
      <c r="AD13" s="14">
        <v>0.19</v>
      </c>
      <c r="AE13" s="14">
        <v>0.43</v>
      </c>
      <c r="AF13" s="14">
        <v>0.52</v>
      </c>
    </row>
    <row r="14" spans="1:32">
      <c r="A14" s="19"/>
      <c r="B14" s="11" t="s">
        <v>490</v>
      </c>
      <c r="C14" s="12">
        <v>13162</v>
      </c>
      <c r="D14" s="12">
        <v>520</v>
      </c>
      <c r="E14" s="12">
        <v>446</v>
      </c>
      <c r="F14" s="12">
        <v>491</v>
      </c>
      <c r="G14" s="12">
        <v>363</v>
      </c>
      <c r="H14" s="12">
        <v>609</v>
      </c>
      <c r="I14" s="12">
        <v>730</v>
      </c>
      <c r="J14" s="12">
        <v>121</v>
      </c>
      <c r="K14" s="12">
        <v>447</v>
      </c>
      <c r="L14" s="12">
        <v>502</v>
      </c>
      <c r="M14" s="12">
        <v>489</v>
      </c>
      <c r="N14" s="12">
        <v>395</v>
      </c>
      <c r="O14" s="12">
        <v>465</v>
      </c>
      <c r="P14" s="12">
        <v>541</v>
      </c>
      <c r="Q14" s="12">
        <v>640</v>
      </c>
      <c r="R14" s="12">
        <v>226</v>
      </c>
      <c r="S14" s="12">
        <v>450</v>
      </c>
      <c r="T14" s="12">
        <v>503</v>
      </c>
      <c r="U14" s="12">
        <v>263</v>
      </c>
      <c r="V14" s="12">
        <v>563</v>
      </c>
      <c r="W14" s="12">
        <v>213</v>
      </c>
      <c r="X14" s="12">
        <v>518</v>
      </c>
      <c r="Y14" s="12">
        <v>438</v>
      </c>
      <c r="Z14" s="12">
        <v>598</v>
      </c>
      <c r="AA14" s="12">
        <v>678</v>
      </c>
      <c r="AB14" s="12">
        <v>482</v>
      </c>
      <c r="AC14" s="12">
        <v>489</v>
      </c>
      <c r="AD14" s="12">
        <v>542</v>
      </c>
      <c r="AE14" s="12">
        <v>452</v>
      </c>
      <c r="AF14" s="12">
        <v>405</v>
      </c>
    </row>
    <row r="15" spans="1:32">
      <c r="A15" s="19"/>
      <c r="B15" s="13" t="s">
        <v>491</v>
      </c>
      <c r="C15" s="14">
        <v>0.5</v>
      </c>
      <c r="D15" s="14">
        <v>0.51</v>
      </c>
      <c r="E15" s="14">
        <v>0.43</v>
      </c>
      <c r="F15" s="14">
        <v>0.46</v>
      </c>
      <c r="G15" s="14">
        <v>0.36</v>
      </c>
      <c r="H15" s="14">
        <v>0.5</v>
      </c>
      <c r="I15" s="14">
        <v>0.48</v>
      </c>
      <c r="J15" s="14">
        <v>0.41</v>
      </c>
      <c r="K15" s="14">
        <v>0.45</v>
      </c>
      <c r="L15" s="14">
        <v>0.5</v>
      </c>
      <c r="M15" s="14">
        <v>0.48</v>
      </c>
      <c r="N15" s="14">
        <v>0.39</v>
      </c>
      <c r="O15" s="14">
        <v>0.46</v>
      </c>
      <c r="P15" s="14">
        <v>0.54</v>
      </c>
      <c r="Q15" s="14">
        <v>0.62</v>
      </c>
      <c r="R15" s="14">
        <v>0.45</v>
      </c>
      <c r="S15" s="14">
        <v>0.45</v>
      </c>
      <c r="T15" s="14">
        <v>0.49</v>
      </c>
      <c r="U15" s="14">
        <v>0.52</v>
      </c>
      <c r="V15" s="14">
        <v>0.55000000000000004</v>
      </c>
      <c r="W15" s="14">
        <v>0.42</v>
      </c>
      <c r="X15" s="14">
        <v>0.51</v>
      </c>
      <c r="Y15" s="14">
        <v>0.44</v>
      </c>
      <c r="Z15" s="14">
        <v>0.59</v>
      </c>
      <c r="AA15" s="14">
        <v>0.65</v>
      </c>
      <c r="AB15" s="14">
        <v>0.46</v>
      </c>
      <c r="AC15" s="14">
        <v>0.49</v>
      </c>
      <c r="AD15" s="14">
        <v>0.54</v>
      </c>
      <c r="AE15" s="14">
        <v>0.45</v>
      </c>
      <c r="AF15" s="14">
        <v>0.39</v>
      </c>
    </row>
    <row r="16" spans="1:32">
      <c r="A16" s="19"/>
      <c r="B16" s="11" t="s">
        <v>492</v>
      </c>
      <c r="C16" s="12">
        <v>4181</v>
      </c>
      <c r="D16" s="12">
        <v>126</v>
      </c>
      <c r="E16" s="12">
        <v>188</v>
      </c>
      <c r="F16" s="12">
        <v>279</v>
      </c>
      <c r="G16" s="12">
        <v>71</v>
      </c>
      <c r="H16" s="12">
        <v>209</v>
      </c>
      <c r="I16" s="12">
        <v>293</v>
      </c>
      <c r="J16" s="12">
        <v>84</v>
      </c>
      <c r="K16" s="12">
        <v>231</v>
      </c>
      <c r="L16" s="12">
        <v>91</v>
      </c>
      <c r="M16" s="12">
        <v>118</v>
      </c>
      <c r="N16" s="12">
        <v>126</v>
      </c>
      <c r="O16" s="12">
        <v>188</v>
      </c>
      <c r="P16" s="12">
        <v>160</v>
      </c>
      <c r="Q16" s="12">
        <v>136</v>
      </c>
      <c r="R16" s="12">
        <v>41</v>
      </c>
      <c r="S16" s="12">
        <v>188</v>
      </c>
      <c r="T16" s="12">
        <v>141</v>
      </c>
      <c r="U16" s="12">
        <v>53</v>
      </c>
      <c r="V16" s="12">
        <v>187</v>
      </c>
      <c r="W16" s="12">
        <v>101</v>
      </c>
      <c r="X16" s="12">
        <v>108</v>
      </c>
      <c r="Y16" s="12">
        <v>185</v>
      </c>
      <c r="Z16" s="12">
        <v>185</v>
      </c>
      <c r="AA16" s="12">
        <v>69</v>
      </c>
      <c r="AB16" s="12">
        <v>218</v>
      </c>
      <c r="AC16" s="12">
        <v>141</v>
      </c>
      <c r="AD16" s="12">
        <v>183</v>
      </c>
      <c r="AE16" s="12">
        <v>76</v>
      </c>
      <c r="AF16" s="12">
        <v>44</v>
      </c>
    </row>
    <row r="17" spans="1:32">
      <c r="A17" s="19"/>
      <c r="B17" s="13" t="s">
        <v>493</v>
      </c>
      <c r="C17" s="14">
        <v>0.16</v>
      </c>
      <c r="D17" s="14">
        <v>0.13</v>
      </c>
      <c r="E17" s="14">
        <v>0.18</v>
      </c>
      <c r="F17" s="14">
        <v>0.26</v>
      </c>
      <c r="G17" s="14">
        <v>7.0000000000000007E-2</v>
      </c>
      <c r="H17" s="14">
        <v>0.17</v>
      </c>
      <c r="I17" s="14">
        <v>0.19</v>
      </c>
      <c r="J17" s="14">
        <v>0.28000000000000003</v>
      </c>
      <c r="K17" s="14">
        <v>0.23</v>
      </c>
      <c r="L17" s="14">
        <v>0.09</v>
      </c>
      <c r="M17" s="14">
        <v>0.12</v>
      </c>
      <c r="N17" s="14">
        <v>0.12</v>
      </c>
      <c r="O17" s="14">
        <v>0.19</v>
      </c>
      <c r="P17" s="14">
        <v>0.16</v>
      </c>
      <c r="Q17" s="14">
        <v>0.13</v>
      </c>
      <c r="R17" s="14">
        <v>0.08</v>
      </c>
      <c r="S17" s="14">
        <v>0.19</v>
      </c>
      <c r="T17" s="14">
        <v>0.14000000000000001</v>
      </c>
      <c r="U17" s="14">
        <v>0.1</v>
      </c>
      <c r="V17" s="14">
        <v>0.18</v>
      </c>
      <c r="W17" s="14">
        <v>0.2</v>
      </c>
      <c r="X17" s="14">
        <v>0.11</v>
      </c>
      <c r="Y17" s="14">
        <v>0.18</v>
      </c>
      <c r="Z17" s="14">
        <v>0.18</v>
      </c>
      <c r="AA17" s="14">
        <v>7.0000000000000007E-2</v>
      </c>
      <c r="AB17" s="14">
        <v>0.21</v>
      </c>
      <c r="AC17" s="14">
        <v>0.14000000000000001</v>
      </c>
      <c r="AD17" s="14">
        <v>0.18</v>
      </c>
      <c r="AE17" s="14">
        <v>0.08</v>
      </c>
      <c r="AF17" s="14">
        <v>0.04</v>
      </c>
    </row>
    <row r="18" spans="1:32">
      <c r="A18" s="19"/>
      <c r="B18" s="11" t="s">
        <v>494</v>
      </c>
      <c r="C18" s="12">
        <v>731</v>
      </c>
      <c r="D18" s="12">
        <v>23</v>
      </c>
      <c r="E18" s="12">
        <v>31</v>
      </c>
      <c r="F18" s="12">
        <v>34</v>
      </c>
      <c r="G18" s="12">
        <v>19</v>
      </c>
      <c r="H18" s="12">
        <v>31</v>
      </c>
      <c r="I18" s="12">
        <v>49</v>
      </c>
      <c r="J18" s="12">
        <v>18</v>
      </c>
      <c r="K18" s="12">
        <v>33</v>
      </c>
      <c r="L18" s="12">
        <v>9</v>
      </c>
      <c r="M18" s="12">
        <v>16</v>
      </c>
      <c r="N18" s="12">
        <v>27</v>
      </c>
      <c r="O18" s="12">
        <v>36</v>
      </c>
      <c r="P18" s="12">
        <v>25</v>
      </c>
      <c r="Q18" s="12">
        <v>23</v>
      </c>
      <c r="R18" s="12">
        <v>12</v>
      </c>
      <c r="S18" s="12">
        <v>42</v>
      </c>
      <c r="T18" s="12">
        <v>11</v>
      </c>
      <c r="U18" s="12">
        <v>10</v>
      </c>
      <c r="V18" s="12">
        <v>20</v>
      </c>
      <c r="W18" s="12">
        <v>33</v>
      </c>
      <c r="X18" s="12">
        <v>21</v>
      </c>
      <c r="Y18" s="12">
        <v>28</v>
      </c>
      <c r="Z18" s="12">
        <v>22</v>
      </c>
      <c r="AA18" s="12">
        <v>8</v>
      </c>
      <c r="AB18" s="12">
        <v>71</v>
      </c>
      <c r="AC18" s="12">
        <v>31</v>
      </c>
      <c r="AD18" s="12">
        <v>21</v>
      </c>
      <c r="AE18" s="12">
        <v>14</v>
      </c>
      <c r="AF18" s="12">
        <v>5</v>
      </c>
    </row>
    <row r="19" spans="1:32">
      <c r="A19" s="19"/>
      <c r="B19" s="13" t="s">
        <v>708</v>
      </c>
      <c r="C19" s="14">
        <v>0.03</v>
      </c>
      <c r="D19" s="14">
        <v>0.02</v>
      </c>
      <c r="E19" s="14">
        <v>0.03</v>
      </c>
      <c r="F19" s="14">
        <v>0.03</v>
      </c>
      <c r="G19" s="14">
        <v>0.02</v>
      </c>
      <c r="H19" s="14">
        <v>0.02</v>
      </c>
      <c r="I19" s="14">
        <v>0.03</v>
      </c>
      <c r="J19" s="14">
        <v>0.06</v>
      </c>
      <c r="K19" s="14">
        <v>0.03</v>
      </c>
      <c r="L19" s="14">
        <v>0.01</v>
      </c>
      <c r="M19" s="14">
        <v>0.02</v>
      </c>
      <c r="N19" s="14">
        <v>0.03</v>
      </c>
      <c r="O19" s="14">
        <v>0.04</v>
      </c>
      <c r="P19" s="14">
        <v>0.03</v>
      </c>
      <c r="Q19" s="14">
        <v>0.02</v>
      </c>
      <c r="R19" s="14">
        <v>0.02</v>
      </c>
      <c r="S19" s="14">
        <v>0.04</v>
      </c>
      <c r="T19" s="14">
        <v>0.01</v>
      </c>
      <c r="U19" s="14">
        <v>0.02</v>
      </c>
      <c r="V19" s="14">
        <v>0.02</v>
      </c>
      <c r="W19" s="14">
        <v>7.0000000000000007E-2</v>
      </c>
      <c r="X19" s="14">
        <v>0.02</v>
      </c>
      <c r="Y19" s="14">
        <v>0.03</v>
      </c>
      <c r="Z19" s="14">
        <v>0.02</v>
      </c>
      <c r="AA19" s="14">
        <v>0.01</v>
      </c>
      <c r="AB19" s="14">
        <v>7.0000000000000007E-2</v>
      </c>
      <c r="AC19" s="14">
        <v>0.03</v>
      </c>
      <c r="AD19" s="14">
        <v>0.02</v>
      </c>
      <c r="AE19" s="14">
        <v>0.01</v>
      </c>
      <c r="AF19" s="14">
        <v>0.01</v>
      </c>
    </row>
    <row r="20" spans="1:32">
      <c r="A20" s="19"/>
      <c r="B20" s="11" t="s">
        <v>386</v>
      </c>
      <c r="C20" s="12">
        <v>1698</v>
      </c>
      <c r="D20" s="12">
        <v>13</v>
      </c>
      <c r="E20" s="12">
        <v>132</v>
      </c>
      <c r="F20" s="12">
        <v>90</v>
      </c>
      <c r="G20" s="12">
        <v>32</v>
      </c>
      <c r="H20" s="12">
        <v>102</v>
      </c>
      <c r="I20" s="12">
        <v>124</v>
      </c>
      <c r="J20" s="12">
        <v>22</v>
      </c>
      <c r="K20" s="12">
        <v>70</v>
      </c>
      <c r="L20" s="12">
        <v>87</v>
      </c>
      <c r="M20" s="12">
        <v>27</v>
      </c>
      <c r="N20" s="12">
        <v>56</v>
      </c>
      <c r="O20" s="12">
        <v>95</v>
      </c>
      <c r="P20" s="12">
        <v>45</v>
      </c>
      <c r="Q20" s="12">
        <v>39</v>
      </c>
      <c r="R20" s="12">
        <v>24</v>
      </c>
      <c r="S20" s="12">
        <v>131</v>
      </c>
      <c r="T20" s="12">
        <v>73</v>
      </c>
      <c r="U20" s="12">
        <v>39</v>
      </c>
      <c r="V20" s="12">
        <v>20</v>
      </c>
      <c r="W20" s="12">
        <v>8</v>
      </c>
      <c r="X20" s="12">
        <v>41</v>
      </c>
      <c r="Y20" s="12">
        <v>47</v>
      </c>
      <c r="Z20" s="12">
        <v>53</v>
      </c>
      <c r="AA20" s="12">
        <v>163</v>
      </c>
      <c r="AB20" s="12">
        <v>67</v>
      </c>
      <c r="AC20" s="12">
        <v>39</v>
      </c>
      <c r="AD20" s="12">
        <v>66</v>
      </c>
      <c r="AE20" s="12">
        <v>25</v>
      </c>
      <c r="AF20" s="12">
        <v>40</v>
      </c>
    </row>
    <row r="21" spans="1:32">
      <c r="A21" s="19"/>
      <c r="B21" s="13" t="s">
        <v>399</v>
      </c>
      <c r="C21" s="14">
        <v>0.06</v>
      </c>
      <c r="D21" s="14">
        <v>0.01</v>
      </c>
      <c r="E21" s="14">
        <v>0.12</v>
      </c>
      <c r="F21" s="14">
        <v>0.09</v>
      </c>
      <c r="G21" s="14">
        <v>0.03</v>
      </c>
      <c r="H21" s="14">
        <v>0.08</v>
      </c>
      <c r="I21" s="14">
        <v>0.08</v>
      </c>
      <c r="J21" s="14">
        <v>7.0000000000000007E-2</v>
      </c>
      <c r="K21" s="14">
        <v>7.0000000000000007E-2</v>
      </c>
      <c r="L21" s="14">
        <v>0.09</v>
      </c>
      <c r="M21" s="14">
        <v>0.03</v>
      </c>
      <c r="N21" s="14">
        <v>0.06</v>
      </c>
      <c r="O21" s="14">
        <v>0.09</v>
      </c>
      <c r="P21" s="14">
        <v>0.04</v>
      </c>
      <c r="Q21" s="14">
        <v>0.04</v>
      </c>
      <c r="R21" s="14">
        <v>0.05</v>
      </c>
      <c r="S21" s="14">
        <v>0.13</v>
      </c>
      <c r="T21" s="14">
        <v>7.0000000000000007E-2</v>
      </c>
      <c r="U21" s="14">
        <v>0.08</v>
      </c>
      <c r="V21" s="14">
        <v>0.02</v>
      </c>
      <c r="W21" s="14">
        <v>0.02</v>
      </c>
      <c r="X21" s="14">
        <v>0.04</v>
      </c>
      <c r="Y21" s="14">
        <v>0.05</v>
      </c>
      <c r="Z21" s="14">
        <v>0.05</v>
      </c>
      <c r="AA21" s="14">
        <v>0.16</v>
      </c>
      <c r="AB21" s="14">
        <v>0.06</v>
      </c>
      <c r="AC21" s="14">
        <v>0.04</v>
      </c>
      <c r="AD21" s="14">
        <v>7.0000000000000007E-2</v>
      </c>
      <c r="AE21" s="14">
        <v>0.03</v>
      </c>
      <c r="AF21" s="14">
        <v>0.04</v>
      </c>
    </row>
    <row r="22" spans="1:32">
      <c r="A22" s="19"/>
      <c r="B22" s="11" t="s">
        <v>496</v>
      </c>
      <c r="C22" s="12">
        <v>19842</v>
      </c>
      <c r="D22" s="12">
        <v>858</v>
      </c>
      <c r="E22" s="12">
        <v>695</v>
      </c>
      <c r="F22" s="12">
        <v>661</v>
      </c>
      <c r="G22" s="12">
        <v>894</v>
      </c>
      <c r="H22" s="12">
        <v>887</v>
      </c>
      <c r="I22" s="12">
        <v>1061</v>
      </c>
      <c r="J22" s="12">
        <v>174</v>
      </c>
      <c r="K22" s="12">
        <v>672</v>
      </c>
      <c r="L22" s="12">
        <v>819</v>
      </c>
      <c r="M22" s="12">
        <v>847</v>
      </c>
      <c r="N22" s="12">
        <v>802</v>
      </c>
      <c r="O22" s="12">
        <v>686</v>
      </c>
      <c r="P22" s="12">
        <v>773</v>
      </c>
      <c r="Q22" s="12">
        <v>833</v>
      </c>
      <c r="R22" s="12">
        <v>424</v>
      </c>
      <c r="S22" s="12">
        <v>644</v>
      </c>
      <c r="T22" s="12">
        <v>798</v>
      </c>
      <c r="U22" s="12">
        <v>406</v>
      </c>
      <c r="V22" s="12">
        <v>799</v>
      </c>
      <c r="W22" s="12">
        <v>361</v>
      </c>
      <c r="X22" s="12">
        <v>840</v>
      </c>
      <c r="Y22" s="12">
        <v>744</v>
      </c>
      <c r="Z22" s="12">
        <v>757</v>
      </c>
      <c r="AA22" s="12">
        <v>797</v>
      </c>
      <c r="AB22" s="12">
        <v>685</v>
      </c>
      <c r="AC22" s="12">
        <v>794</v>
      </c>
      <c r="AD22" s="12">
        <v>732</v>
      </c>
      <c r="AE22" s="12">
        <v>885</v>
      </c>
      <c r="AF22" s="12">
        <v>942</v>
      </c>
    </row>
    <row r="23" spans="1:32">
      <c r="A23" s="19"/>
      <c r="B23" s="13" t="s">
        <v>497</v>
      </c>
      <c r="C23" s="14">
        <v>0.75</v>
      </c>
      <c r="D23" s="14">
        <v>0.84</v>
      </c>
      <c r="E23" s="14">
        <v>0.67</v>
      </c>
      <c r="F23" s="14">
        <v>0.62</v>
      </c>
      <c r="G23" s="14">
        <v>0.88</v>
      </c>
      <c r="H23" s="14">
        <v>0.73</v>
      </c>
      <c r="I23" s="14">
        <v>0.70000000000000007</v>
      </c>
      <c r="J23" s="14">
        <v>0.59</v>
      </c>
      <c r="K23" s="14">
        <v>0.67</v>
      </c>
      <c r="L23" s="14">
        <v>0.81</v>
      </c>
      <c r="M23" s="14">
        <v>0.83000000000000007</v>
      </c>
      <c r="N23" s="14">
        <v>0.79</v>
      </c>
      <c r="O23" s="14">
        <v>0.68</v>
      </c>
      <c r="P23" s="14">
        <v>0.77</v>
      </c>
      <c r="Q23" s="14">
        <v>0.81</v>
      </c>
      <c r="R23" s="14">
        <v>0.85</v>
      </c>
      <c r="S23" s="14">
        <v>0.64</v>
      </c>
      <c r="T23" s="14">
        <v>0.78</v>
      </c>
      <c r="U23" s="14">
        <v>0.8</v>
      </c>
      <c r="V23" s="14">
        <v>0.78</v>
      </c>
      <c r="W23" s="14">
        <v>0.71</v>
      </c>
      <c r="X23" s="14">
        <v>0.83000000000000007</v>
      </c>
      <c r="Y23" s="14">
        <v>0.74</v>
      </c>
      <c r="Z23" s="14">
        <v>0.75</v>
      </c>
      <c r="AA23" s="14">
        <v>0.76</v>
      </c>
      <c r="AB23" s="14">
        <v>0.66</v>
      </c>
      <c r="AC23" s="14">
        <v>0.79</v>
      </c>
      <c r="AD23" s="14">
        <v>0.73</v>
      </c>
      <c r="AE23" s="14">
        <v>0.88</v>
      </c>
      <c r="AF23" s="14">
        <v>0.91</v>
      </c>
    </row>
    <row r="24" spans="1:32">
      <c r="A24" s="19"/>
      <c r="B24" s="11" t="s">
        <v>498</v>
      </c>
      <c r="C24" s="12">
        <v>4912</v>
      </c>
      <c r="D24" s="12">
        <v>149</v>
      </c>
      <c r="E24" s="12">
        <v>219</v>
      </c>
      <c r="F24" s="12">
        <v>313</v>
      </c>
      <c r="G24" s="12">
        <v>90</v>
      </c>
      <c r="H24" s="12">
        <v>240</v>
      </c>
      <c r="I24" s="12">
        <v>342</v>
      </c>
      <c r="J24" s="12">
        <v>102</v>
      </c>
      <c r="K24" s="12">
        <v>264</v>
      </c>
      <c r="L24" s="12">
        <v>100</v>
      </c>
      <c r="M24" s="12">
        <v>134</v>
      </c>
      <c r="N24" s="12">
        <v>153</v>
      </c>
      <c r="O24" s="12">
        <v>224</v>
      </c>
      <c r="P24" s="12">
        <v>185</v>
      </c>
      <c r="Q24" s="12">
        <v>159</v>
      </c>
      <c r="R24" s="12">
        <v>53</v>
      </c>
      <c r="S24" s="12">
        <v>230</v>
      </c>
      <c r="T24" s="12">
        <v>152</v>
      </c>
      <c r="U24" s="12">
        <v>63</v>
      </c>
      <c r="V24" s="12">
        <v>207</v>
      </c>
      <c r="W24" s="12">
        <v>134</v>
      </c>
      <c r="X24" s="12">
        <v>129</v>
      </c>
      <c r="Y24" s="12">
        <v>213</v>
      </c>
      <c r="Z24" s="12">
        <v>207</v>
      </c>
      <c r="AA24" s="12">
        <v>77</v>
      </c>
      <c r="AB24" s="12">
        <v>289</v>
      </c>
      <c r="AC24" s="12">
        <v>172</v>
      </c>
      <c r="AD24" s="12">
        <v>204</v>
      </c>
      <c r="AE24" s="12">
        <v>90</v>
      </c>
      <c r="AF24" s="12">
        <v>49</v>
      </c>
    </row>
    <row r="25" spans="1:32">
      <c r="A25" s="19"/>
      <c r="B25" s="13" t="s">
        <v>499</v>
      </c>
      <c r="C25" s="14">
        <v>0.19</v>
      </c>
      <c r="D25" s="14">
        <v>0.15</v>
      </c>
      <c r="E25" s="14">
        <v>0.21</v>
      </c>
      <c r="F25" s="14">
        <v>0.28999999999999998</v>
      </c>
      <c r="G25" s="14">
        <v>0.09</v>
      </c>
      <c r="H25" s="14">
        <v>0.19</v>
      </c>
      <c r="I25" s="14">
        <v>0.22</v>
      </c>
      <c r="J25" s="14">
        <v>0.34</v>
      </c>
      <c r="K25" s="14">
        <v>0.26</v>
      </c>
      <c r="L25" s="14">
        <v>0.1</v>
      </c>
      <c r="M25" s="14">
        <v>0.14000000000000001</v>
      </c>
      <c r="N25" s="14">
        <v>0.15</v>
      </c>
      <c r="O25" s="14">
        <v>0.23</v>
      </c>
      <c r="P25" s="14">
        <v>0.19</v>
      </c>
      <c r="Q25" s="14">
        <v>0.15</v>
      </c>
      <c r="R25" s="14">
        <v>0.1</v>
      </c>
      <c r="S25" s="14">
        <v>0.23</v>
      </c>
      <c r="T25" s="14">
        <v>0.15</v>
      </c>
      <c r="U25" s="14">
        <v>0.12</v>
      </c>
      <c r="V25" s="14">
        <v>0.2</v>
      </c>
      <c r="W25" s="14">
        <v>0.27</v>
      </c>
      <c r="X25" s="14">
        <v>0.13</v>
      </c>
      <c r="Y25" s="14">
        <v>0.21</v>
      </c>
      <c r="Z25" s="14">
        <v>0.2</v>
      </c>
      <c r="AA25" s="14">
        <v>0.08</v>
      </c>
      <c r="AB25" s="14">
        <v>0.28000000000000003</v>
      </c>
      <c r="AC25" s="14">
        <v>0.17</v>
      </c>
      <c r="AD25" s="14">
        <v>0.2</v>
      </c>
      <c r="AE25" s="14">
        <v>0.09</v>
      </c>
      <c r="AF25" s="14">
        <v>0.05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773</v>
      </c>
      <c r="C3" s="17"/>
      <c r="D3" s="17"/>
      <c r="E3" s="17"/>
      <c r="F3" s="17"/>
      <c r="H3" s="17" t="s">
        <v>774</v>
      </c>
      <c r="I3" s="17"/>
      <c r="J3" s="17"/>
      <c r="K3" s="17"/>
      <c r="L3" s="17"/>
    </row>
    <row r="4" spans="1:32" ht="27" customHeight="1">
      <c r="B4" s="17" t="s">
        <v>775</v>
      </c>
      <c r="C4" s="17"/>
      <c r="D4" s="17"/>
      <c r="E4" s="17"/>
      <c r="F4" s="17"/>
      <c r="H4" s="17" t="s">
        <v>776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4371</v>
      </c>
      <c r="D12" s="12">
        <v>130</v>
      </c>
      <c r="E12" s="12">
        <v>173</v>
      </c>
      <c r="F12" s="12">
        <v>102</v>
      </c>
      <c r="G12" s="12">
        <v>209</v>
      </c>
      <c r="H12" s="12">
        <v>129</v>
      </c>
      <c r="I12" s="12">
        <v>164</v>
      </c>
      <c r="J12" s="12">
        <v>35</v>
      </c>
      <c r="K12" s="12">
        <v>126</v>
      </c>
      <c r="L12" s="12">
        <v>254</v>
      </c>
      <c r="M12" s="12">
        <v>149</v>
      </c>
      <c r="N12" s="12">
        <v>289</v>
      </c>
      <c r="O12" s="12">
        <v>119</v>
      </c>
      <c r="P12" s="12">
        <v>180</v>
      </c>
      <c r="Q12" s="12">
        <v>186</v>
      </c>
      <c r="R12" s="12">
        <v>104</v>
      </c>
      <c r="S12" s="12">
        <v>120</v>
      </c>
      <c r="T12" s="12">
        <v>212</v>
      </c>
      <c r="U12" s="12">
        <v>61</v>
      </c>
      <c r="V12" s="12">
        <v>199</v>
      </c>
      <c r="W12" s="12">
        <v>108</v>
      </c>
      <c r="X12" s="12">
        <v>95</v>
      </c>
      <c r="Y12" s="12">
        <v>290</v>
      </c>
      <c r="Z12" s="12">
        <v>220</v>
      </c>
      <c r="AA12" s="12">
        <v>91</v>
      </c>
      <c r="AB12" s="12">
        <v>210</v>
      </c>
      <c r="AC12" s="12">
        <v>278</v>
      </c>
      <c r="AD12" s="12">
        <v>193</v>
      </c>
      <c r="AE12" s="12">
        <v>121</v>
      </c>
      <c r="AF12" s="12">
        <v>146</v>
      </c>
    </row>
    <row r="13" spans="1:32">
      <c r="A13" s="19"/>
      <c r="B13" s="13" t="s">
        <v>707</v>
      </c>
      <c r="C13" s="14">
        <v>0.17</v>
      </c>
      <c r="D13" s="14">
        <v>0.13</v>
      </c>
      <c r="E13" s="14">
        <v>0.17</v>
      </c>
      <c r="F13" s="14">
        <v>0.1</v>
      </c>
      <c r="G13" s="14">
        <v>0.21</v>
      </c>
      <c r="H13" s="14">
        <v>0.1</v>
      </c>
      <c r="I13" s="14">
        <v>0.11</v>
      </c>
      <c r="J13" s="14">
        <v>0.12</v>
      </c>
      <c r="K13" s="14">
        <v>0.13</v>
      </c>
      <c r="L13" s="14">
        <v>0.25</v>
      </c>
      <c r="M13" s="14">
        <v>0.15</v>
      </c>
      <c r="N13" s="14">
        <v>0.28999999999999998</v>
      </c>
      <c r="O13" s="14">
        <v>0.12</v>
      </c>
      <c r="P13" s="14">
        <v>0.18</v>
      </c>
      <c r="Q13" s="14">
        <v>0.18</v>
      </c>
      <c r="R13" s="14">
        <v>0.21</v>
      </c>
      <c r="S13" s="14">
        <v>0.12</v>
      </c>
      <c r="T13" s="14">
        <v>0.21</v>
      </c>
      <c r="U13" s="14">
        <v>0.12</v>
      </c>
      <c r="V13" s="14">
        <v>0.19</v>
      </c>
      <c r="W13" s="14">
        <v>0.22</v>
      </c>
      <c r="X13" s="14">
        <v>0.1</v>
      </c>
      <c r="Y13" s="14">
        <v>0.28999999999999998</v>
      </c>
      <c r="Z13" s="14">
        <v>0.22</v>
      </c>
      <c r="AA13" s="14">
        <v>0.09</v>
      </c>
      <c r="AB13" s="14">
        <v>0.2</v>
      </c>
      <c r="AC13" s="14">
        <v>0.28000000000000003</v>
      </c>
      <c r="AD13" s="14">
        <v>0.19</v>
      </c>
      <c r="AE13" s="14">
        <v>0.12</v>
      </c>
      <c r="AF13" s="14">
        <v>0.14000000000000001</v>
      </c>
    </row>
    <row r="14" spans="1:32">
      <c r="A14" s="19"/>
      <c r="B14" s="11" t="s">
        <v>490</v>
      </c>
      <c r="C14" s="12">
        <v>13173</v>
      </c>
      <c r="D14" s="12">
        <v>556</v>
      </c>
      <c r="E14" s="12">
        <v>469</v>
      </c>
      <c r="F14" s="12">
        <v>532</v>
      </c>
      <c r="G14" s="12">
        <v>454</v>
      </c>
      <c r="H14" s="12">
        <v>478</v>
      </c>
      <c r="I14" s="12">
        <v>619</v>
      </c>
      <c r="J14" s="12">
        <v>141</v>
      </c>
      <c r="K14" s="12">
        <v>541</v>
      </c>
      <c r="L14" s="12">
        <v>505</v>
      </c>
      <c r="M14" s="12">
        <v>567</v>
      </c>
      <c r="N14" s="12">
        <v>439</v>
      </c>
      <c r="O14" s="12">
        <v>479</v>
      </c>
      <c r="P14" s="12">
        <v>609</v>
      </c>
      <c r="Q14" s="12">
        <v>646</v>
      </c>
      <c r="R14" s="12">
        <v>262</v>
      </c>
      <c r="S14" s="12">
        <v>467</v>
      </c>
      <c r="T14" s="12">
        <v>527</v>
      </c>
      <c r="U14" s="12">
        <v>257</v>
      </c>
      <c r="V14" s="12">
        <v>617</v>
      </c>
      <c r="W14" s="12">
        <v>303</v>
      </c>
      <c r="X14" s="12">
        <v>476</v>
      </c>
      <c r="Y14" s="12">
        <v>424</v>
      </c>
      <c r="Z14" s="12">
        <v>579</v>
      </c>
      <c r="AA14" s="12">
        <v>691</v>
      </c>
      <c r="AB14" s="12">
        <v>502</v>
      </c>
      <c r="AC14" s="12">
        <v>529</v>
      </c>
      <c r="AD14" s="12">
        <v>525</v>
      </c>
      <c r="AE14" s="12">
        <v>436</v>
      </c>
      <c r="AF14" s="12">
        <v>466</v>
      </c>
    </row>
    <row r="15" spans="1:32">
      <c r="A15" s="19"/>
      <c r="B15" s="13" t="s">
        <v>491</v>
      </c>
      <c r="C15" s="14">
        <v>0.5</v>
      </c>
      <c r="D15" s="14">
        <v>0.54</v>
      </c>
      <c r="E15" s="14">
        <v>0.45</v>
      </c>
      <c r="F15" s="14">
        <v>0.5</v>
      </c>
      <c r="G15" s="14">
        <v>0.45</v>
      </c>
      <c r="H15" s="14">
        <v>0.39</v>
      </c>
      <c r="I15" s="14">
        <v>0.4</v>
      </c>
      <c r="J15" s="14">
        <v>0.47</v>
      </c>
      <c r="K15" s="14">
        <v>0.54</v>
      </c>
      <c r="L15" s="14">
        <v>0.5</v>
      </c>
      <c r="M15" s="14">
        <v>0.56000000000000005</v>
      </c>
      <c r="N15" s="14">
        <v>0.43</v>
      </c>
      <c r="O15" s="14">
        <v>0.48</v>
      </c>
      <c r="P15" s="14">
        <v>0.61</v>
      </c>
      <c r="Q15" s="14">
        <v>0.63</v>
      </c>
      <c r="R15" s="14">
        <v>0.52</v>
      </c>
      <c r="S15" s="14">
        <v>0.46</v>
      </c>
      <c r="T15" s="14">
        <v>0.51</v>
      </c>
      <c r="U15" s="14">
        <v>0.5</v>
      </c>
      <c r="V15" s="14">
        <v>0.6</v>
      </c>
      <c r="W15" s="14">
        <v>0.6</v>
      </c>
      <c r="X15" s="14">
        <v>0.47</v>
      </c>
      <c r="Y15" s="14">
        <v>0.42</v>
      </c>
      <c r="Z15" s="14">
        <v>0.57000000000000006</v>
      </c>
      <c r="AA15" s="14">
        <v>0.66</v>
      </c>
      <c r="AB15" s="14">
        <v>0.48</v>
      </c>
      <c r="AC15" s="14">
        <v>0.52</v>
      </c>
      <c r="AD15" s="14">
        <v>0.52</v>
      </c>
      <c r="AE15" s="14">
        <v>0.44</v>
      </c>
      <c r="AF15" s="14">
        <v>0.45</v>
      </c>
    </row>
    <row r="16" spans="1:32">
      <c r="A16" s="19"/>
      <c r="B16" s="11" t="s">
        <v>492</v>
      </c>
      <c r="C16" s="12">
        <v>4351</v>
      </c>
      <c r="D16" s="12">
        <v>254</v>
      </c>
      <c r="E16" s="12">
        <v>141</v>
      </c>
      <c r="F16" s="12">
        <v>236</v>
      </c>
      <c r="G16" s="12">
        <v>168</v>
      </c>
      <c r="H16" s="12">
        <v>318</v>
      </c>
      <c r="I16" s="12">
        <v>393</v>
      </c>
      <c r="J16" s="12">
        <v>75</v>
      </c>
      <c r="K16" s="12">
        <v>164</v>
      </c>
      <c r="L16" s="12">
        <v>64</v>
      </c>
      <c r="M16" s="12">
        <v>148</v>
      </c>
      <c r="N16" s="12">
        <v>84</v>
      </c>
      <c r="O16" s="12">
        <v>166</v>
      </c>
      <c r="P16" s="12">
        <v>138</v>
      </c>
      <c r="Q16" s="12">
        <v>85</v>
      </c>
      <c r="R16" s="12">
        <v>57</v>
      </c>
      <c r="S16" s="12">
        <v>152</v>
      </c>
      <c r="T16" s="12">
        <v>82</v>
      </c>
      <c r="U16" s="12">
        <v>80</v>
      </c>
      <c r="V16" s="12">
        <v>152</v>
      </c>
      <c r="W16" s="12">
        <v>44</v>
      </c>
      <c r="X16" s="12">
        <v>285</v>
      </c>
      <c r="Y16" s="12">
        <v>145</v>
      </c>
      <c r="Z16" s="12">
        <v>154</v>
      </c>
      <c r="AA16" s="12">
        <v>34</v>
      </c>
      <c r="AB16" s="12">
        <v>188</v>
      </c>
      <c r="AC16" s="12">
        <v>127</v>
      </c>
      <c r="AD16" s="12">
        <v>151</v>
      </c>
      <c r="AE16" s="12">
        <v>249</v>
      </c>
      <c r="AF16" s="12">
        <v>210</v>
      </c>
    </row>
    <row r="17" spans="1:32">
      <c r="A17" s="19"/>
      <c r="B17" s="13" t="s">
        <v>493</v>
      </c>
      <c r="C17" s="14">
        <v>0.16</v>
      </c>
      <c r="D17" s="14">
        <v>0.25</v>
      </c>
      <c r="E17" s="14">
        <v>0.13</v>
      </c>
      <c r="F17" s="14">
        <v>0.22</v>
      </c>
      <c r="G17" s="14">
        <v>0.16</v>
      </c>
      <c r="H17" s="14">
        <v>0.26</v>
      </c>
      <c r="I17" s="14">
        <v>0.26</v>
      </c>
      <c r="J17" s="14">
        <v>0.25</v>
      </c>
      <c r="K17" s="14">
        <v>0.16</v>
      </c>
      <c r="L17" s="14">
        <v>0.06</v>
      </c>
      <c r="M17" s="14">
        <v>0.15</v>
      </c>
      <c r="N17" s="14">
        <v>0.08</v>
      </c>
      <c r="O17" s="14">
        <v>0.16</v>
      </c>
      <c r="P17" s="14">
        <v>0.14000000000000001</v>
      </c>
      <c r="Q17" s="14">
        <v>0.08</v>
      </c>
      <c r="R17" s="14">
        <v>0.11</v>
      </c>
      <c r="S17" s="14">
        <v>0.15</v>
      </c>
      <c r="T17" s="14">
        <v>0.08</v>
      </c>
      <c r="U17" s="14">
        <v>0.16</v>
      </c>
      <c r="V17" s="14">
        <v>0.15</v>
      </c>
      <c r="W17" s="14">
        <v>0.09</v>
      </c>
      <c r="X17" s="14">
        <v>0.28000000000000003</v>
      </c>
      <c r="Y17" s="14">
        <v>0.15</v>
      </c>
      <c r="Z17" s="14">
        <v>0.15</v>
      </c>
      <c r="AA17" s="14">
        <v>0.03</v>
      </c>
      <c r="AB17" s="14">
        <v>0.18</v>
      </c>
      <c r="AC17" s="14">
        <v>0.13</v>
      </c>
      <c r="AD17" s="14">
        <v>0.15</v>
      </c>
      <c r="AE17" s="14">
        <v>0.25</v>
      </c>
      <c r="AF17" s="14">
        <v>0.2</v>
      </c>
    </row>
    <row r="18" spans="1:32">
      <c r="A18" s="19"/>
      <c r="B18" s="11" t="s">
        <v>494</v>
      </c>
      <c r="C18" s="12">
        <v>725</v>
      </c>
      <c r="D18" s="12">
        <v>31</v>
      </c>
      <c r="E18" s="12">
        <v>29</v>
      </c>
      <c r="F18" s="12">
        <v>50</v>
      </c>
      <c r="G18" s="12">
        <v>38</v>
      </c>
      <c r="H18" s="12">
        <v>39</v>
      </c>
      <c r="I18" s="12">
        <v>53</v>
      </c>
      <c r="J18" s="12">
        <v>13</v>
      </c>
      <c r="K18" s="12">
        <v>30</v>
      </c>
      <c r="L18" s="12">
        <v>7</v>
      </c>
      <c r="M18" s="12">
        <v>39</v>
      </c>
      <c r="N18" s="12">
        <v>20</v>
      </c>
      <c r="O18" s="12">
        <v>36</v>
      </c>
      <c r="P18" s="12">
        <v>16</v>
      </c>
      <c r="Q18" s="12">
        <v>14</v>
      </c>
      <c r="R18" s="12">
        <v>25</v>
      </c>
      <c r="S18" s="12">
        <v>26</v>
      </c>
      <c r="T18" s="12">
        <v>9</v>
      </c>
      <c r="U18" s="12">
        <v>9</v>
      </c>
      <c r="V18" s="12">
        <v>19</v>
      </c>
      <c r="W18" s="12">
        <v>15</v>
      </c>
      <c r="X18" s="12">
        <v>43</v>
      </c>
      <c r="Y18" s="12">
        <v>24</v>
      </c>
      <c r="Z18" s="12">
        <v>11</v>
      </c>
      <c r="AA18" s="12">
        <v>8</v>
      </c>
      <c r="AB18" s="12">
        <v>42</v>
      </c>
      <c r="AC18" s="12">
        <v>24</v>
      </c>
      <c r="AD18" s="12">
        <v>17</v>
      </c>
      <c r="AE18" s="12">
        <v>42</v>
      </c>
      <c r="AF18" s="12">
        <v>48</v>
      </c>
    </row>
    <row r="19" spans="1:32">
      <c r="A19" s="19"/>
      <c r="B19" s="13" t="s">
        <v>708</v>
      </c>
      <c r="C19" s="14">
        <v>0.03</v>
      </c>
      <c r="D19" s="14">
        <v>0.03</v>
      </c>
      <c r="E19" s="14">
        <v>0.03</v>
      </c>
      <c r="F19" s="14">
        <v>0.05</v>
      </c>
      <c r="G19" s="14">
        <v>0.04</v>
      </c>
      <c r="H19" s="14">
        <v>0.03</v>
      </c>
      <c r="I19" s="14">
        <v>0.03</v>
      </c>
      <c r="J19" s="14">
        <v>0.05</v>
      </c>
      <c r="K19" s="14">
        <v>0.03</v>
      </c>
      <c r="L19" s="14">
        <v>0.01</v>
      </c>
      <c r="M19" s="14">
        <v>0.04</v>
      </c>
      <c r="N19" s="14">
        <v>0.02</v>
      </c>
      <c r="O19" s="14">
        <v>0.04</v>
      </c>
      <c r="P19" s="14">
        <v>0.01</v>
      </c>
      <c r="Q19" s="14">
        <v>0.01</v>
      </c>
      <c r="R19" s="14">
        <v>0.05</v>
      </c>
      <c r="S19" s="14">
        <v>0.03</v>
      </c>
      <c r="T19" s="14">
        <v>0.01</v>
      </c>
      <c r="U19" s="14">
        <v>0.02</v>
      </c>
      <c r="V19" s="14">
        <v>0.02</v>
      </c>
      <c r="W19" s="14">
        <v>0.03</v>
      </c>
      <c r="X19" s="14">
        <v>0.04</v>
      </c>
      <c r="Y19" s="14">
        <v>0.02</v>
      </c>
      <c r="Z19" s="14">
        <v>0.01</v>
      </c>
      <c r="AA19" s="14">
        <v>0.01</v>
      </c>
      <c r="AB19" s="14">
        <v>0.04</v>
      </c>
      <c r="AC19" s="14">
        <v>0.02</v>
      </c>
      <c r="AD19" s="14">
        <v>0.02</v>
      </c>
      <c r="AE19" s="14">
        <v>0.04</v>
      </c>
      <c r="AF19" s="14">
        <v>0.05</v>
      </c>
    </row>
    <row r="20" spans="1:32">
      <c r="A20" s="19"/>
      <c r="B20" s="11" t="s">
        <v>386</v>
      </c>
      <c r="C20" s="12">
        <v>3833</v>
      </c>
      <c r="D20" s="12">
        <v>50</v>
      </c>
      <c r="E20" s="12">
        <v>234</v>
      </c>
      <c r="F20" s="12">
        <v>144</v>
      </c>
      <c r="G20" s="12">
        <v>147</v>
      </c>
      <c r="H20" s="12">
        <v>266</v>
      </c>
      <c r="I20" s="12">
        <v>299</v>
      </c>
      <c r="J20" s="12">
        <v>33</v>
      </c>
      <c r="K20" s="12">
        <v>145</v>
      </c>
      <c r="L20" s="12">
        <v>175</v>
      </c>
      <c r="M20" s="12">
        <v>104</v>
      </c>
      <c r="N20" s="12">
        <v>179</v>
      </c>
      <c r="O20" s="12">
        <v>204</v>
      </c>
      <c r="P20" s="12">
        <v>60</v>
      </c>
      <c r="Q20" s="12">
        <v>101</v>
      </c>
      <c r="R20" s="12">
        <v>53</v>
      </c>
      <c r="S20" s="12">
        <v>239</v>
      </c>
      <c r="T20" s="12">
        <v>193</v>
      </c>
      <c r="U20" s="12">
        <v>100</v>
      </c>
      <c r="V20" s="12">
        <v>38</v>
      </c>
      <c r="W20" s="12">
        <v>32</v>
      </c>
      <c r="X20" s="12">
        <v>111</v>
      </c>
      <c r="Y20" s="12">
        <v>121</v>
      </c>
      <c r="Z20" s="12">
        <v>51</v>
      </c>
      <c r="AA20" s="12">
        <v>214</v>
      </c>
      <c r="AB20" s="12">
        <v>99</v>
      </c>
      <c r="AC20" s="12">
        <v>48</v>
      </c>
      <c r="AD20" s="12">
        <v>117</v>
      </c>
      <c r="AE20" s="12">
        <v>153</v>
      </c>
      <c r="AF20" s="12">
        <v>161</v>
      </c>
    </row>
    <row r="21" spans="1:32">
      <c r="A21" s="19"/>
      <c r="B21" s="13" t="s">
        <v>399</v>
      </c>
      <c r="C21" s="14">
        <v>0.14000000000000001</v>
      </c>
      <c r="D21" s="14">
        <v>0.05</v>
      </c>
      <c r="E21" s="14">
        <v>0.22</v>
      </c>
      <c r="F21" s="14">
        <v>0.13</v>
      </c>
      <c r="G21" s="14">
        <v>0.14000000000000001</v>
      </c>
      <c r="H21" s="14">
        <v>0.22</v>
      </c>
      <c r="I21" s="14">
        <v>0.2</v>
      </c>
      <c r="J21" s="14">
        <v>0.11</v>
      </c>
      <c r="K21" s="14">
        <v>0.14000000000000001</v>
      </c>
      <c r="L21" s="14">
        <v>0.18</v>
      </c>
      <c r="M21" s="14">
        <v>0.1</v>
      </c>
      <c r="N21" s="14">
        <v>0.18</v>
      </c>
      <c r="O21" s="14">
        <v>0.2</v>
      </c>
      <c r="P21" s="14">
        <v>0.06</v>
      </c>
      <c r="Q21" s="14">
        <v>0.1</v>
      </c>
      <c r="R21" s="14">
        <v>0.11</v>
      </c>
      <c r="S21" s="14">
        <v>0.24</v>
      </c>
      <c r="T21" s="14">
        <v>0.19</v>
      </c>
      <c r="U21" s="14">
        <v>0.2</v>
      </c>
      <c r="V21" s="14">
        <v>0.04</v>
      </c>
      <c r="W21" s="14">
        <v>0.06</v>
      </c>
      <c r="X21" s="14">
        <v>0.11</v>
      </c>
      <c r="Y21" s="14">
        <v>0.12</v>
      </c>
      <c r="Z21" s="14">
        <v>0.05</v>
      </c>
      <c r="AA21" s="14">
        <v>0.21</v>
      </c>
      <c r="AB21" s="14">
        <v>0.1</v>
      </c>
      <c r="AC21" s="14">
        <v>0.05</v>
      </c>
      <c r="AD21" s="14">
        <v>0.12</v>
      </c>
      <c r="AE21" s="14">
        <v>0.15</v>
      </c>
      <c r="AF21" s="14">
        <v>0.16</v>
      </c>
    </row>
    <row r="22" spans="1:32">
      <c r="A22" s="19"/>
      <c r="B22" s="11" t="s">
        <v>496</v>
      </c>
      <c r="C22" s="12">
        <v>17544</v>
      </c>
      <c r="D22" s="12">
        <v>686</v>
      </c>
      <c r="E22" s="12">
        <v>642</v>
      </c>
      <c r="F22" s="12">
        <v>634</v>
      </c>
      <c r="G22" s="12">
        <v>663</v>
      </c>
      <c r="H22" s="12">
        <v>607</v>
      </c>
      <c r="I22" s="12">
        <v>783</v>
      </c>
      <c r="J22" s="12">
        <v>176</v>
      </c>
      <c r="K22" s="12">
        <v>667</v>
      </c>
      <c r="L22" s="12">
        <v>759</v>
      </c>
      <c r="M22" s="12">
        <v>716</v>
      </c>
      <c r="N22" s="12">
        <v>728</v>
      </c>
      <c r="O22" s="12">
        <v>598</v>
      </c>
      <c r="P22" s="12">
        <v>789</v>
      </c>
      <c r="Q22" s="12">
        <v>832</v>
      </c>
      <c r="R22" s="12">
        <v>366</v>
      </c>
      <c r="S22" s="12">
        <v>587</v>
      </c>
      <c r="T22" s="12">
        <v>739</v>
      </c>
      <c r="U22" s="12">
        <v>318</v>
      </c>
      <c r="V22" s="12">
        <v>816</v>
      </c>
      <c r="W22" s="12">
        <v>411</v>
      </c>
      <c r="X22" s="12">
        <v>571</v>
      </c>
      <c r="Y22" s="12">
        <v>714</v>
      </c>
      <c r="Z22" s="12">
        <v>799</v>
      </c>
      <c r="AA22" s="12">
        <v>782</v>
      </c>
      <c r="AB22" s="12">
        <v>712</v>
      </c>
      <c r="AC22" s="12">
        <v>807</v>
      </c>
      <c r="AD22" s="12">
        <v>718</v>
      </c>
      <c r="AE22" s="12">
        <v>557</v>
      </c>
      <c r="AF22" s="12">
        <v>612</v>
      </c>
    </row>
    <row r="23" spans="1:32">
      <c r="A23" s="19"/>
      <c r="B23" s="13" t="s">
        <v>497</v>
      </c>
      <c r="C23" s="14">
        <v>0.67</v>
      </c>
      <c r="D23" s="14">
        <v>0.67</v>
      </c>
      <c r="E23" s="14">
        <v>0.62</v>
      </c>
      <c r="F23" s="14">
        <v>0.6</v>
      </c>
      <c r="G23" s="14">
        <v>0.66</v>
      </c>
      <c r="H23" s="14">
        <v>0.49</v>
      </c>
      <c r="I23" s="14">
        <v>0.51</v>
      </c>
      <c r="J23" s="14">
        <v>0.59</v>
      </c>
      <c r="K23" s="14">
        <v>0.67</v>
      </c>
      <c r="L23" s="14">
        <v>0.75</v>
      </c>
      <c r="M23" s="14">
        <v>0.71</v>
      </c>
      <c r="N23" s="14">
        <v>0.72</v>
      </c>
      <c r="O23" s="14">
        <v>0.6</v>
      </c>
      <c r="P23" s="14">
        <v>0.79</v>
      </c>
      <c r="Q23" s="14">
        <v>0.81</v>
      </c>
      <c r="R23" s="14">
        <v>0.73</v>
      </c>
      <c r="S23" s="14">
        <v>0.57999999999999996</v>
      </c>
      <c r="T23" s="14">
        <v>0.72</v>
      </c>
      <c r="U23" s="14">
        <v>0.62</v>
      </c>
      <c r="V23" s="14">
        <v>0.79</v>
      </c>
      <c r="W23" s="14">
        <v>0.82000000000000006</v>
      </c>
      <c r="X23" s="14">
        <v>0.57000000000000006</v>
      </c>
      <c r="Y23" s="14">
        <v>0.71</v>
      </c>
      <c r="Z23" s="14">
        <v>0.79</v>
      </c>
      <c r="AA23" s="14">
        <v>0.75</v>
      </c>
      <c r="AB23" s="14">
        <v>0.68</v>
      </c>
      <c r="AC23" s="14">
        <v>0.8</v>
      </c>
      <c r="AD23" s="14">
        <v>0.71</v>
      </c>
      <c r="AE23" s="14">
        <v>0.56000000000000005</v>
      </c>
      <c r="AF23" s="14">
        <v>0.59</v>
      </c>
    </row>
    <row r="24" spans="1:32">
      <c r="A24" s="19"/>
      <c r="B24" s="11" t="s">
        <v>498</v>
      </c>
      <c r="C24" s="12">
        <v>5076</v>
      </c>
      <c r="D24" s="12">
        <v>285</v>
      </c>
      <c r="E24" s="12">
        <v>170</v>
      </c>
      <c r="F24" s="12">
        <v>286</v>
      </c>
      <c r="G24" s="12">
        <v>206</v>
      </c>
      <c r="H24" s="12">
        <v>357</v>
      </c>
      <c r="I24" s="12">
        <v>446</v>
      </c>
      <c r="J24" s="12">
        <v>88</v>
      </c>
      <c r="K24" s="12">
        <v>194</v>
      </c>
      <c r="L24" s="12">
        <v>71</v>
      </c>
      <c r="M24" s="12">
        <v>187</v>
      </c>
      <c r="N24" s="12">
        <v>104</v>
      </c>
      <c r="O24" s="12">
        <v>202</v>
      </c>
      <c r="P24" s="12">
        <v>154</v>
      </c>
      <c r="Q24" s="12">
        <v>99</v>
      </c>
      <c r="R24" s="12">
        <v>82</v>
      </c>
      <c r="S24" s="12">
        <v>178</v>
      </c>
      <c r="T24" s="12">
        <v>91</v>
      </c>
      <c r="U24" s="12">
        <v>89</v>
      </c>
      <c r="V24" s="12">
        <v>171</v>
      </c>
      <c r="W24" s="12">
        <v>59</v>
      </c>
      <c r="X24" s="12">
        <v>328</v>
      </c>
      <c r="Y24" s="12">
        <v>169</v>
      </c>
      <c r="Z24" s="12">
        <v>165</v>
      </c>
      <c r="AA24" s="12">
        <v>42</v>
      </c>
      <c r="AB24" s="12">
        <v>230</v>
      </c>
      <c r="AC24" s="12">
        <v>151</v>
      </c>
      <c r="AD24" s="12">
        <v>168</v>
      </c>
      <c r="AE24" s="12">
        <v>291</v>
      </c>
      <c r="AF24" s="12">
        <v>258</v>
      </c>
    </row>
    <row r="25" spans="1:32">
      <c r="A25" s="19"/>
      <c r="B25" s="13" t="s">
        <v>499</v>
      </c>
      <c r="C25" s="14">
        <v>0.19</v>
      </c>
      <c r="D25" s="14">
        <v>0.28000000000000003</v>
      </c>
      <c r="E25" s="14">
        <v>0.16</v>
      </c>
      <c r="F25" s="14">
        <v>0.27</v>
      </c>
      <c r="G25" s="14">
        <v>0.2</v>
      </c>
      <c r="H25" s="14">
        <v>0.28999999999999998</v>
      </c>
      <c r="I25" s="14">
        <v>0.28999999999999998</v>
      </c>
      <c r="J25" s="14">
        <v>0.3</v>
      </c>
      <c r="K25" s="14">
        <v>0.19</v>
      </c>
      <c r="L25" s="14">
        <v>7.0000000000000007E-2</v>
      </c>
      <c r="M25" s="14">
        <v>0.19</v>
      </c>
      <c r="N25" s="14">
        <v>0.1</v>
      </c>
      <c r="O25" s="14">
        <v>0.2</v>
      </c>
      <c r="P25" s="14">
        <v>0.15</v>
      </c>
      <c r="Q25" s="14">
        <v>0.09</v>
      </c>
      <c r="R25" s="14">
        <v>0.16</v>
      </c>
      <c r="S25" s="14">
        <v>0.18</v>
      </c>
      <c r="T25" s="14">
        <v>0.09</v>
      </c>
      <c r="U25" s="14">
        <v>0.18</v>
      </c>
      <c r="V25" s="14">
        <v>0.17</v>
      </c>
      <c r="W25" s="14">
        <v>0.12</v>
      </c>
      <c r="X25" s="14">
        <v>0.32</v>
      </c>
      <c r="Y25" s="14">
        <v>0.17</v>
      </c>
      <c r="Z25" s="14">
        <v>0.16</v>
      </c>
      <c r="AA25" s="14">
        <v>0.04</v>
      </c>
      <c r="AB25" s="14">
        <v>0.22</v>
      </c>
      <c r="AC25" s="14">
        <v>0.15</v>
      </c>
      <c r="AD25" s="14">
        <v>0.17</v>
      </c>
      <c r="AE25" s="14">
        <v>0.28999999999999998</v>
      </c>
      <c r="AF25" s="14">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777</v>
      </c>
      <c r="C3" s="17"/>
      <c r="D3" s="17"/>
      <c r="E3" s="17"/>
      <c r="F3" s="17"/>
      <c r="H3" s="17" t="s">
        <v>778</v>
      </c>
      <c r="I3" s="17"/>
      <c r="J3" s="17"/>
      <c r="K3" s="17"/>
      <c r="L3" s="17"/>
    </row>
    <row r="4" spans="1:32" ht="27" customHeight="1">
      <c r="B4" s="17" t="s">
        <v>779</v>
      </c>
      <c r="C4" s="17"/>
      <c r="D4" s="17"/>
      <c r="E4" s="17"/>
      <c r="F4" s="17"/>
      <c r="H4" s="17" t="s">
        <v>780</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3798</v>
      </c>
      <c r="D12" s="12">
        <v>128</v>
      </c>
      <c r="E12" s="12">
        <v>388</v>
      </c>
      <c r="F12" s="12">
        <v>251</v>
      </c>
      <c r="G12" s="12">
        <v>79</v>
      </c>
      <c r="H12" s="12">
        <v>98</v>
      </c>
      <c r="I12" s="12">
        <v>137</v>
      </c>
      <c r="J12" s="12">
        <v>39</v>
      </c>
      <c r="K12" s="12">
        <v>198</v>
      </c>
      <c r="L12" s="12">
        <v>211</v>
      </c>
      <c r="M12" s="12">
        <v>216</v>
      </c>
      <c r="N12" s="12">
        <v>152</v>
      </c>
      <c r="O12" s="12">
        <v>102</v>
      </c>
      <c r="P12" s="12">
        <v>214</v>
      </c>
      <c r="Q12" s="12">
        <v>159</v>
      </c>
      <c r="R12" s="12">
        <v>154</v>
      </c>
      <c r="S12" s="12">
        <v>198</v>
      </c>
      <c r="T12" s="12">
        <v>279</v>
      </c>
      <c r="U12" s="12">
        <v>49</v>
      </c>
      <c r="V12" s="12">
        <v>325</v>
      </c>
      <c r="W12" s="12">
        <v>65</v>
      </c>
      <c r="X12" s="12">
        <v>55</v>
      </c>
      <c r="Y12" s="12">
        <v>232</v>
      </c>
      <c r="Z12" s="12">
        <v>176</v>
      </c>
      <c r="AA12" s="12">
        <v>85</v>
      </c>
      <c r="AB12" s="12">
        <v>257</v>
      </c>
      <c r="AC12" s="12">
        <v>176</v>
      </c>
      <c r="AD12" s="12">
        <v>311</v>
      </c>
      <c r="AE12" s="12">
        <v>60</v>
      </c>
      <c r="AF12" s="12">
        <v>20</v>
      </c>
    </row>
    <row r="13" spans="1:32">
      <c r="A13" s="19"/>
      <c r="B13" s="13" t="s">
        <v>707</v>
      </c>
      <c r="C13" s="14">
        <v>0.14000000000000001</v>
      </c>
      <c r="D13" s="14">
        <v>0.13</v>
      </c>
      <c r="E13" s="14">
        <v>0.37</v>
      </c>
      <c r="F13" s="14">
        <v>0.24</v>
      </c>
      <c r="G13" s="14">
        <v>0.08</v>
      </c>
      <c r="H13" s="14">
        <v>0.08</v>
      </c>
      <c r="I13" s="14">
        <v>0.09</v>
      </c>
      <c r="J13" s="14">
        <v>0.13</v>
      </c>
      <c r="K13" s="14">
        <v>0.2</v>
      </c>
      <c r="L13" s="14">
        <v>0.21</v>
      </c>
      <c r="M13" s="14">
        <v>0.21</v>
      </c>
      <c r="N13" s="14">
        <v>0.15</v>
      </c>
      <c r="O13" s="14">
        <v>0.1</v>
      </c>
      <c r="P13" s="14">
        <v>0.21</v>
      </c>
      <c r="Q13" s="14">
        <v>0.15</v>
      </c>
      <c r="R13" s="14">
        <v>0.31</v>
      </c>
      <c r="S13" s="14">
        <v>0.2</v>
      </c>
      <c r="T13" s="14">
        <v>0.27</v>
      </c>
      <c r="U13" s="14">
        <v>0.1</v>
      </c>
      <c r="V13" s="14">
        <v>0.32</v>
      </c>
      <c r="W13" s="14">
        <v>0.13</v>
      </c>
      <c r="X13" s="14">
        <v>0.05</v>
      </c>
      <c r="Y13" s="14">
        <v>0.23</v>
      </c>
      <c r="Z13" s="14">
        <v>0.17</v>
      </c>
      <c r="AA13" s="14">
        <v>0.08</v>
      </c>
      <c r="AB13" s="14">
        <v>0.25</v>
      </c>
      <c r="AC13" s="14">
        <v>0.18</v>
      </c>
      <c r="AD13" s="14">
        <v>0.31</v>
      </c>
      <c r="AE13" s="14">
        <v>0.06</v>
      </c>
      <c r="AF13" s="14">
        <v>0.02</v>
      </c>
    </row>
    <row r="14" spans="1:32">
      <c r="A14" s="19"/>
      <c r="B14" s="11" t="s">
        <v>490</v>
      </c>
      <c r="C14" s="12">
        <v>10882</v>
      </c>
      <c r="D14" s="12">
        <v>420</v>
      </c>
      <c r="E14" s="12">
        <v>482</v>
      </c>
      <c r="F14" s="12">
        <v>568</v>
      </c>
      <c r="G14" s="12">
        <v>244</v>
      </c>
      <c r="H14" s="12">
        <v>447</v>
      </c>
      <c r="I14" s="12">
        <v>543</v>
      </c>
      <c r="J14" s="12">
        <v>95</v>
      </c>
      <c r="K14" s="12">
        <v>482</v>
      </c>
      <c r="L14" s="12">
        <v>338</v>
      </c>
      <c r="M14" s="12">
        <v>471</v>
      </c>
      <c r="N14" s="12">
        <v>300</v>
      </c>
      <c r="O14" s="12">
        <v>335</v>
      </c>
      <c r="P14" s="12">
        <v>544</v>
      </c>
      <c r="Q14" s="12">
        <v>593</v>
      </c>
      <c r="R14" s="12">
        <v>171</v>
      </c>
      <c r="S14" s="12">
        <v>415</v>
      </c>
      <c r="T14" s="12">
        <v>443</v>
      </c>
      <c r="U14" s="12">
        <v>167</v>
      </c>
      <c r="V14" s="12">
        <v>556</v>
      </c>
      <c r="W14" s="12">
        <v>183</v>
      </c>
      <c r="X14" s="12">
        <v>219</v>
      </c>
      <c r="Y14" s="12">
        <v>395</v>
      </c>
      <c r="Z14" s="12">
        <v>624</v>
      </c>
      <c r="AA14" s="12">
        <v>626</v>
      </c>
      <c r="AB14" s="12">
        <v>452</v>
      </c>
      <c r="AC14" s="12">
        <v>362</v>
      </c>
      <c r="AD14" s="12">
        <v>551</v>
      </c>
      <c r="AE14" s="12">
        <v>223</v>
      </c>
      <c r="AF14" s="12">
        <v>135</v>
      </c>
    </row>
    <row r="15" spans="1:32">
      <c r="A15" s="19"/>
      <c r="B15" s="13" t="s">
        <v>491</v>
      </c>
      <c r="C15" s="14">
        <v>0.41</v>
      </c>
      <c r="D15" s="14">
        <v>0.41</v>
      </c>
      <c r="E15" s="14">
        <v>0.46</v>
      </c>
      <c r="F15" s="14">
        <v>0.53</v>
      </c>
      <c r="G15" s="14">
        <v>0.24</v>
      </c>
      <c r="H15" s="14">
        <v>0.36</v>
      </c>
      <c r="I15" s="14">
        <v>0.36</v>
      </c>
      <c r="J15" s="14">
        <v>0.32</v>
      </c>
      <c r="K15" s="14">
        <v>0.48</v>
      </c>
      <c r="L15" s="14">
        <v>0.34</v>
      </c>
      <c r="M15" s="14">
        <v>0.47</v>
      </c>
      <c r="N15" s="14">
        <v>0.28999999999999998</v>
      </c>
      <c r="O15" s="14">
        <v>0.33</v>
      </c>
      <c r="P15" s="14">
        <v>0.54</v>
      </c>
      <c r="Q15" s="14">
        <v>0.57000000000000006</v>
      </c>
      <c r="R15" s="14">
        <v>0.34</v>
      </c>
      <c r="S15" s="14">
        <v>0.41</v>
      </c>
      <c r="T15" s="14">
        <v>0.43</v>
      </c>
      <c r="U15" s="14">
        <v>0.33</v>
      </c>
      <c r="V15" s="14">
        <v>0.54</v>
      </c>
      <c r="W15" s="14">
        <v>0.36</v>
      </c>
      <c r="X15" s="14">
        <v>0.22</v>
      </c>
      <c r="Y15" s="14">
        <v>0.39</v>
      </c>
      <c r="Z15" s="14">
        <v>0.62</v>
      </c>
      <c r="AA15" s="14">
        <v>0.6</v>
      </c>
      <c r="AB15" s="14">
        <v>0.43</v>
      </c>
      <c r="AC15" s="14">
        <v>0.36</v>
      </c>
      <c r="AD15" s="14">
        <v>0.55000000000000004</v>
      </c>
      <c r="AE15" s="14">
        <v>0.22</v>
      </c>
      <c r="AF15" s="14">
        <v>0.13</v>
      </c>
    </row>
    <row r="16" spans="1:32">
      <c r="A16" s="19"/>
      <c r="B16" s="11" t="s">
        <v>492</v>
      </c>
      <c r="C16" s="12">
        <v>6611</v>
      </c>
      <c r="D16" s="12">
        <v>323</v>
      </c>
      <c r="E16" s="12">
        <v>101</v>
      </c>
      <c r="F16" s="12">
        <v>181</v>
      </c>
      <c r="G16" s="12">
        <v>332</v>
      </c>
      <c r="H16" s="12">
        <v>373</v>
      </c>
      <c r="I16" s="12">
        <v>483</v>
      </c>
      <c r="J16" s="12">
        <v>110</v>
      </c>
      <c r="K16" s="12">
        <v>237</v>
      </c>
      <c r="L16" s="12">
        <v>280</v>
      </c>
      <c r="M16" s="12">
        <v>203</v>
      </c>
      <c r="N16" s="12">
        <v>230</v>
      </c>
      <c r="O16" s="12">
        <v>338</v>
      </c>
      <c r="P16" s="12">
        <v>167</v>
      </c>
      <c r="Q16" s="12">
        <v>181</v>
      </c>
      <c r="R16" s="12">
        <v>97</v>
      </c>
      <c r="S16" s="12">
        <v>249</v>
      </c>
      <c r="T16" s="12">
        <v>211</v>
      </c>
      <c r="U16" s="12">
        <v>145</v>
      </c>
      <c r="V16" s="12">
        <v>105</v>
      </c>
      <c r="W16" s="12">
        <v>110</v>
      </c>
      <c r="X16" s="12">
        <v>390</v>
      </c>
      <c r="Y16" s="12">
        <v>222</v>
      </c>
      <c r="Z16" s="12">
        <v>171</v>
      </c>
      <c r="AA16" s="12">
        <v>145</v>
      </c>
      <c r="AB16" s="12">
        <v>237</v>
      </c>
      <c r="AC16" s="12">
        <v>275</v>
      </c>
      <c r="AD16" s="12">
        <v>110</v>
      </c>
      <c r="AE16" s="12">
        <v>361</v>
      </c>
      <c r="AF16" s="12">
        <v>226</v>
      </c>
    </row>
    <row r="17" spans="1:32">
      <c r="A17" s="19"/>
      <c r="B17" s="13" t="s">
        <v>493</v>
      </c>
      <c r="C17" s="14">
        <v>0.25</v>
      </c>
      <c r="D17" s="14">
        <v>0.32</v>
      </c>
      <c r="E17" s="14">
        <v>0.1</v>
      </c>
      <c r="F17" s="14">
        <v>0.17</v>
      </c>
      <c r="G17" s="14">
        <v>0.32</v>
      </c>
      <c r="H17" s="14">
        <v>0.3</v>
      </c>
      <c r="I17" s="14">
        <v>0.32</v>
      </c>
      <c r="J17" s="14">
        <v>0.37</v>
      </c>
      <c r="K17" s="14">
        <v>0.23</v>
      </c>
      <c r="L17" s="14">
        <v>0.28000000000000003</v>
      </c>
      <c r="M17" s="14">
        <v>0.2</v>
      </c>
      <c r="N17" s="14">
        <v>0.23</v>
      </c>
      <c r="O17" s="14">
        <v>0.34</v>
      </c>
      <c r="P17" s="14">
        <v>0.17</v>
      </c>
      <c r="Q17" s="14">
        <v>0.18</v>
      </c>
      <c r="R17" s="14">
        <v>0.19</v>
      </c>
      <c r="S17" s="14">
        <v>0.25</v>
      </c>
      <c r="T17" s="14">
        <v>0.21</v>
      </c>
      <c r="U17" s="14">
        <v>0.28999999999999998</v>
      </c>
      <c r="V17" s="14">
        <v>0.1</v>
      </c>
      <c r="W17" s="14">
        <v>0.22</v>
      </c>
      <c r="X17" s="14">
        <v>0.39</v>
      </c>
      <c r="Y17" s="14">
        <v>0.22</v>
      </c>
      <c r="Z17" s="14">
        <v>0.17</v>
      </c>
      <c r="AA17" s="14">
        <v>0.14000000000000001</v>
      </c>
      <c r="AB17" s="14">
        <v>0.23</v>
      </c>
      <c r="AC17" s="14">
        <v>0.27</v>
      </c>
      <c r="AD17" s="14">
        <v>0.11</v>
      </c>
      <c r="AE17" s="14">
        <v>0.36</v>
      </c>
      <c r="AF17" s="14">
        <v>0.22</v>
      </c>
    </row>
    <row r="18" spans="1:32">
      <c r="A18" s="19"/>
      <c r="B18" s="11" t="s">
        <v>494</v>
      </c>
      <c r="C18" s="12">
        <v>4108</v>
      </c>
      <c r="D18" s="12">
        <v>138</v>
      </c>
      <c r="E18" s="12">
        <v>12</v>
      </c>
      <c r="F18" s="12">
        <v>34</v>
      </c>
      <c r="G18" s="12">
        <v>303</v>
      </c>
      <c r="H18" s="12">
        <v>276</v>
      </c>
      <c r="I18" s="12">
        <v>326</v>
      </c>
      <c r="J18" s="12">
        <v>50</v>
      </c>
      <c r="K18" s="12">
        <v>41</v>
      </c>
      <c r="L18" s="12">
        <v>141</v>
      </c>
      <c r="M18" s="12">
        <v>86</v>
      </c>
      <c r="N18" s="12">
        <v>270</v>
      </c>
      <c r="O18" s="12">
        <v>158</v>
      </c>
      <c r="P18" s="12">
        <v>51</v>
      </c>
      <c r="Q18" s="12">
        <v>61</v>
      </c>
      <c r="R18" s="12">
        <v>57</v>
      </c>
      <c r="S18" s="12">
        <v>106</v>
      </c>
      <c r="T18" s="12">
        <v>70</v>
      </c>
      <c r="U18" s="12">
        <v>130</v>
      </c>
      <c r="V18" s="12">
        <v>28</v>
      </c>
      <c r="W18" s="12">
        <v>140</v>
      </c>
      <c r="X18" s="12">
        <v>330</v>
      </c>
      <c r="Y18" s="12">
        <v>141</v>
      </c>
      <c r="Z18" s="12">
        <v>12</v>
      </c>
      <c r="AA18" s="12">
        <v>62</v>
      </c>
      <c r="AB18" s="12">
        <v>50</v>
      </c>
      <c r="AC18" s="12">
        <v>155</v>
      </c>
      <c r="AD18" s="12">
        <v>20</v>
      </c>
      <c r="AE18" s="12">
        <v>345</v>
      </c>
      <c r="AF18" s="12">
        <v>638</v>
      </c>
    </row>
    <row r="19" spans="1:32">
      <c r="A19" s="19"/>
      <c r="B19" s="13" t="s">
        <v>708</v>
      </c>
      <c r="C19" s="14">
        <v>0.16</v>
      </c>
      <c r="D19" s="14">
        <v>0.13</v>
      </c>
      <c r="E19" s="14">
        <v>0.01</v>
      </c>
      <c r="F19" s="14">
        <v>0.03</v>
      </c>
      <c r="G19" s="14">
        <v>0.3</v>
      </c>
      <c r="H19" s="14">
        <v>0.23</v>
      </c>
      <c r="I19" s="14">
        <v>0.21</v>
      </c>
      <c r="J19" s="14">
        <v>0.17</v>
      </c>
      <c r="K19" s="14">
        <v>0.04</v>
      </c>
      <c r="L19" s="14">
        <v>0.14000000000000001</v>
      </c>
      <c r="M19" s="14">
        <v>0.09</v>
      </c>
      <c r="N19" s="14">
        <v>0.27</v>
      </c>
      <c r="O19" s="14">
        <v>0.16</v>
      </c>
      <c r="P19" s="14">
        <v>0.05</v>
      </c>
      <c r="Q19" s="14">
        <v>0.06</v>
      </c>
      <c r="R19" s="14">
        <v>0.11</v>
      </c>
      <c r="S19" s="14">
        <v>0.1</v>
      </c>
      <c r="T19" s="14">
        <v>7.0000000000000007E-2</v>
      </c>
      <c r="U19" s="14">
        <v>0.25</v>
      </c>
      <c r="V19" s="14">
        <v>0.03</v>
      </c>
      <c r="W19" s="14">
        <v>0.28000000000000003</v>
      </c>
      <c r="X19" s="14">
        <v>0.33</v>
      </c>
      <c r="Y19" s="14">
        <v>0.14000000000000001</v>
      </c>
      <c r="Z19" s="14">
        <v>0.01</v>
      </c>
      <c r="AA19" s="14">
        <v>0.06</v>
      </c>
      <c r="AB19" s="14">
        <v>0.05</v>
      </c>
      <c r="AC19" s="14">
        <v>0.15</v>
      </c>
      <c r="AD19" s="14">
        <v>0.02</v>
      </c>
      <c r="AE19" s="14">
        <v>0.35</v>
      </c>
      <c r="AF19" s="14">
        <v>0.62</v>
      </c>
    </row>
    <row r="20" spans="1:32">
      <c r="A20" s="19"/>
      <c r="B20" s="11" t="s">
        <v>386</v>
      </c>
      <c r="C20" s="12">
        <v>1054</v>
      </c>
      <c r="D20" s="12">
        <v>12</v>
      </c>
      <c r="E20" s="12">
        <v>63</v>
      </c>
      <c r="F20" s="12">
        <v>30</v>
      </c>
      <c r="G20" s="12">
        <v>58</v>
      </c>
      <c r="H20" s="12">
        <v>35</v>
      </c>
      <c r="I20" s="12">
        <v>38</v>
      </c>
      <c r="J20" s="12">
        <v>3</v>
      </c>
      <c r="K20" s="12">
        <v>48</v>
      </c>
      <c r="L20" s="12">
        <v>35</v>
      </c>
      <c r="M20" s="12">
        <v>31</v>
      </c>
      <c r="N20" s="12">
        <v>59</v>
      </c>
      <c r="O20" s="12">
        <v>71</v>
      </c>
      <c r="P20" s="12">
        <v>27</v>
      </c>
      <c r="Q20" s="12">
        <v>37</v>
      </c>
      <c r="R20" s="12">
        <v>22</v>
      </c>
      <c r="S20" s="12">
        <v>36</v>
      </c>
      <c r="T20" s="12">
        <v>19</v>
      </c>
      <c r="U20" s="12">
        <v>17</v>
      </c>
      <c r="V20" s="12">
        <v>11</v>
      </c>
      <c r="W20" s="12">
        <v>3</v>
      </c>
      <c r="X20" s="12">
        <v>16</v>
      </c>
      <c r="Y20" s="12">
        <v>14</v>
      </c>
      <c r="Z20" s="12">
        <v>33</v>
      </c>
      <c r="AA20" s="12">
        <v>119</v>
      </c>
      <c r="AB20" s="12">
        <v>44</v>
      </c>
      <c r="AC20" s="12">
        <v>37</v>
      </c>
      <c r="AD20" s="12">
        <v>10</v>
      </c>
      <c r="AE20" s="12">
        <v>11</v>
      </c>
      <c r="AF20" s="12">
        <v>11</v>
      </c>
    </row>
    <row r="21" spans="1:32">
      <c r="A21" s="19"/>
      <c r="B21" s="13" t="s">
        <v>399</v>
      </c>
      <c r="C21" s="14">
        <v>0.04</v>
      </c>
      <c r="D21" s="14">
        <v>0.01</v>
      </c>
      <c r="E21" s="14">
        <v>0.06</v>
      </c>
      <c r="F21" s="14">
        <v>0.03</v>
      </c>
      <c r="G21" s="14">
        <v>0.06</v>
      </c>
      <c r="H21" s="14">
        <v>0.03</v>
      </c>
      <c r="I21" s="14">
        <v>0.02</v>
      </c>
      <c r="J21" s="14">
        <v>0.01</v>
      </c>
      <c r="K21" s="14">
        <v>0.05</v>
      </c>
      <c r="L21" s="14">
        <v>0.03</v>
      </c>
      <c r="M21" s="14">
        <v>0.03</v>
      </c>
      <c r="N21" s="14">
        <v>0.06</v>
      </c>
      <c r="O21" s="14">
        <v>7.0000000000000007E-2</v>
      </c>
      <c r="P21" s="14">
        <v>0.03</v>
      </c>
      <c r="Q21" s="14">
        <v>0.04</v>
      </c>
      <c r="R21" s="14">
        <v>0.05</v>
      </c>
      <c r="S21" s="14">
        <v>0.04</v>
      </c>
      <c r="T21" s="14">
        <v>0.02</v>
      </c>
      <c r="U21" s="14">
        <v>0.03</v>
      </c>
      <c r="V21" s="14">
        <v>0.01</v>
      </c>
      <c r="W21" s="14">
        <v>0.01</v>
      </c>
      <c r="X21" s="14">
        <v>0.01</v>
      </c>
      <c r="Y21" s="14">
        <v>0.02</v>
      </c>
      <c r="Z21" s="14">
        <v>0.03</v>
      </c>
      <c r="AA21" s="14">
        <v>0.12</v>
      </c>
      <c r="AB21" s="14">
        <v>0.04</v>
      </c>
      <c r="AC21" s="14">
        <v>0.04</v>
      </c>
      <c r="AD21" s="14">
        <v>0.01</v>
      </c>
      <c r="AE21" s="14">
        <v>0.01</v>
      </c>
      <c r="AF21" s="14">
        <v>0.01</v>
      </c>
    </row>
    <row r="22" spans="1:32">
      <c r="A22" s="19"/>
      <c r="B22" s="11" t="s">
        <v>496</v>
      </c>
      <c r="C22" s="12">
        <v>14680</v>
      </c>
      <c r="D22" s="12">
        <v>548</v>
      </c>
      <c r="E22" s="12">
        <v>870</v>
      </c>
      <c r="F22" s="12">
        <v>819</v>
      </c>
      <c r="G22" s="12">
        <v>323</v>
      </c>
      <c r="H22" s="12">
        <v>545</v>
      </c>
      <c r="I22" s="12">
        <v>680</v>
      </c>
      <c r="J22" s="12">
        <v>134</v>
      </c>
      <c r="K22" s="12">
        <v>680</v>
      </c>
      <c r="L22" s="12">
        <v>549</v>
      </c>
      <c r="M22" s="12">
        <v>687</v>
      </c>
      <c r="N22" s="12">
        <v>452</v>
      </c>
      <c r="O22" s="12">
        <v>437</v>
      </c>
      <c r="P22" s="12">
        <v>758</v>
      </c>
      <c r="Q22" s="12">
        <v>752</v>
      </c>
      <c r="R22" s="12">
        <v>325</v>
      </c>
      <c r="S22" s="12">
        <v>613</v>
      </c>
      <c r="T22" s="12">
        <v>722</v>
      </c>
      <c r="U22" s="12">
        <v>216</v>
      </c>
      <c r="V22" s="12">
        <v>881</v>
      </c>
      <c r="W22" s="12">
        <v>248</v>
      </c>
      <c r="X22" s="12">
        <v>274</v>
      </c>
      <c r="Y22" s="12">
        <v>627</v>
      </c>
      <c r="Z22" s="12">
        <v>800</v>
      </c>
      <c r="AA22" s="12">
        <v>711</v>
      </c>
      <c r="AB22" s="12">
        <v>709</v>
      </c>
      <c r="AC22" s="12">
        <v>538</v>
      </c>
      <c r="AD22" s="12">
        <v>862</v>
      </c>
      <c r="AE22" s="12">
        <v>283</v>
      </c>
      <c r="AF22" s="12">
        <v>155</v>
      </c>
    </row>
    <row r="23" spans="1:32">
      <c r="A23" s="19"/>
      <c r="B23" s="13" t="s">
        <v>497</v>
      </c>
      <c r="C23" s="14">
        <v>0.55000000000000004</v>
      </c>
      <c r="D23" s="14">
        <v>0.54</v>
      </c>
      <c r="E23" s="14">
        <v>0.83000000000000007</v>
      </c>
      <c r="F23" s="14">
        <v>0.77</v>
      </c>
      <c r="G23" s="14">
        <v>0.32</v>
      </c>
      <c r="H23" s="14">
        <v>0.44</v>
      </c>
      <c r="I23" s="14">
        <v>0.45</v>
      </c>
      <c r="J23" s="14">
        <v>0.45</v>
      </c>
      <c r="K23" s="14">
        <v>0.68</v>
      </c>
      <c r="L23" s="14">
        <v>0.55000000000000004</v>
      </c>
      <c r="M23" s="14">
        <v>0.68</v>
      </c>
      <c r="N23" s="14">
        <v>0.44</v>
      </c>
      <c r="O23" s="14">
        <v>0.43</v>
      </c>
      <c r="P23" s="14">
        <v>0.75</v>
      </c>
      <c r="Q23" s="14">
        <v>0.72</v>
      </c>
      <c r="R23" s="14">
        <v>0.65</v>
      </c>
      <c r="S23" s="14">
        <v>0.61</v>
      </c>
      <c r="T23" s="14">
        <v>0.70000000000000007</v>
      </c>
      <c r="U23" s="14">
        <v>0.43</v>
      </c>
      <c r="V23" s="14">
        <v>0.86</v>
      </c>
      <c r="W23" s="14">
        <v>0.49</v>
      </c>
      <c r="X23" s="14">
        <v>0.27</v>
      </c>
      <c r="Y23" s="14">
        <v>0.62</v>
      </c>
      <c r="Z23" s="14">
        <v>0.79</v>
      </c>
      <c r="AA23" s="14">
        <v>0.68</v>
      </c>
      <c r="AB23" s="14">
        <v>0.68</v>
      </c>
      <c r="AC23" s="14">
        <v>0.54</v>
      </c>
      <c r="AD23" s="14">
        <v>0.86</v>
      </c>
      <c r="AE23" s="14">
        <v>0.28000000000000003</v>
      </c>
      <c r="AF23" s="14">
        <v>0.15</v>
      </c>
    </row>
    <row r="24" spans="1:32">
      <c r="A24" s="19"/>
      <c r="B24" s="11" t="s">
        <v>498</v>
      </c>
      <c r="C24" s="12">
        <v>10719</v>
      </c>
      <c r="D24" s="12">
        <v>461</v>
      </c>
      <c r="E24" s="12">
        <v>113</v>
      </c>
      <c r="F24" s="12">
        <v>215</v>
      </c>
      <c r="G24" s="12">
        <v>635</v>
      </c>
      <c r="H24" s="12">
        <v>649</v>
      </c>
      <c r="I24" s="12">
        <v>809</v>
      </c>
      <c r="J24" s="12">
        <v>160</v>
      </c>
      <c r="K24" s="12">
        <v>278</v>
      </c>
      <c r="L24" s="12">
        <v>421</v>
      </c>
      <c r="M24" s="12">
        <v>289</v>
      </c>
      <c r="N24" s="12">
        <v>500</v>
      </c>
      <c r="O24" s="12">
        <v>496</v>
      </c>
      <c r="P24" s="12">
        <v>218</v>
      </c>
      <c r="Q24" s="12">
        <v>242</v>
      </c>
      <c r="R24" s="12">
        <v>154</v>
      </c>
      <c r="S24" s="12">
        <v>355</v>
      </c>
      <c r="T24" s="12">
        <v>281</v>
      </c>
      <c r="U24" s="12">
        <v>275</v>
      </c>
      <c r="V24" s="12">
        <v>133</v>
      </c>
      <c r="W24" s="12">
        <v>250</v>
      </c>
      <c r="X24" s="12">
        <v>720</v>
      </c>
      <c r="Y24" s="12">
        <v>363</v>
      </c>
      <c r="Z24" s="12">
        <v>183</v>
      </c>
      <c r="AA24" s="12">
        <v>207</v>
      </c>
      <c r="AB24" s="12">
        <v>287</v>
      </c>
      <c r="AC24" s="12">
        <v>430</v>
      </c>
      <c r="AD24" s="12">
        <v>130</v>
      </c>
      <c r="AE24" s="12">
        <v>706</v>
      </c>
      <c r="AF24" s="12">
        <v>864</v>
      </c>
    </row>
    <row r="25" spans="1:32">
      <c r="A25" s="19"/>
      <c r="B25" s="13" t="s">
        <v>499</v>
      </c>
      <c r="C25" s="14">
        <v>0.41</v>
      </c>
      <c r="D25" s="14">
        <v>0.45</v>
      </c>
      <c r="E25" s="14">
        <v>0.11</v>
      </c>
      <c r="F25" s="14">
        <v>0.2</v>
      </c>
      <c r="G25" s="14">
        <v>0.62</v>
      </c>
      <c r="H25" s="14">
        <v>0.53</v>
      </c>
      <c r="I25" s="14">
        <v>0.53</v>
      </c>
      <c r="J25" s="14">
        <v>0.54</v>
      </c>
      <c r="K25" s="14">
        <v>0.27</v>
      </c>
      <c r="L25" s="14">
        <v>0.42</v>
      </c>
      <c r="M25" s="14">
        <v>0.28999999999999998</v>
      </c>
      <c r="N25" s="14">
        <v>0.5</v>
      </c>
      <c r="O25" s="14">
        <v>0.5</v>
      </c>
      <c r="P25" s="14">
        <v>0.22</v>
      </c>
      <c r="Q25" s="14">
        <v>0.24</v>
      </c>
      <c r="R25" s="14">
        <v>0.3</v>
      </c>
      <c r="S25" s="14">
        <v>0.35</v>
      </c>
      <c r="T25" s="14">
        <v>0.28000000000000003</v>
      </c>
      <c r="U25" s="14">
        <v>0.54</v>
      </c>
      <c r="V25" s="14">
        <v>0.13</v>
      </c>
      <c r="W25" s="14">
        <v>0.5</v>
      </c>
      <c r="X25" s="14">
        <v>0.72</v>
      </c>
      <c r="Y25" s="14">
        <v>0.36</v>
      </c>
      <c r="Z25" s="14">
        <v>0.18</v>
      </c>
      <c r="AA25" s="14">
        <v>0.2</v>
      </c>
      <c r="AB25" s="14">
        <v>0.28000000000000003</v>
      </c>
      <c r="AC25" s="14">
        <v>0.42</v>
      </c>
      <c r="AD25" s="14">
        <v>0.13</v>
      </c>
      <c r="AE25" s="14">
        <v>0.71</v>
      </c>
      <c r="AF25" s="14">
        <v>0.84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781</v>
      </c>
      <c r="C3" s="17"/>
      <c r="D3" s="17"/>
      <c r="E3" s="17"/>
      <c r="F3" s="17"/>
      <c r="H3" s="17" t="s">
        <v>782</v>
      </c>
      <c r="I3" s="17"/>
      <c r="J3" s="17"/>
      <c r="K3" s="17"/>
      <c r="L3" s="17"/>
    </row>
    <row r="4" spans="1:32" ht="27" customHeight="1">
      <c r="B4" s="17" t="s">
        <v>783</v>
      </c>
      <c r="C4" s="17"/>
      <c r="D4" s="17"/>
      <c r="E4" s="17"/>
      <c r="F4" s="17"/>
      <c r="H4" s="17" t="s">
        <v>784</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5118</v>
      </c>
      <c r="D12" s="12">
        <v>186</v>
      </c>
      <c r="E12" s="12">
        <v>264</v>
      </c>
      <c r="F12" s="12">
        <v>137</v>
      </c>
      <c r="G12" s="12">
        <v>293</v>
      </c>
      <c r="H12" s="12">
        <v>179</v>
      </c>
      <c r="I12" s="12">
        <v>242</v>
      </c>
      <c r="J12" s="12">
        <v>62</v>
      </c>
      <c r="K12" s="12">
        <v>139</v>
      </c>
      <c r="L12" s="12">
        <v>270</v>
      </c>
      <c r="M12" s="12">
        <v>196</v>
      </c>
      <c r="N12" s="12">
        <v>190</v>
      </c>
      <c r="O12" s="12">
        <v>251</v>
      </c>
      <c r="P12" s="12">
        <v>208</v>
      </c>
      <c r="Q12" s="12">
        <v>185</v>
      </c>
      <c r="R12" s="12">
        <v>113</v>
      </c>
      <c r="S12" s="12">
        <v>118</v>
      </c>
      <c r="T12" s="12">
        <v>219</v>
      </c>
      <c r="U12" s="12">
        <v>93</v>
      </c>
      <c r="V12" s="12">
        <v>286</v>
      </c>
      <c r="W12" s="12">
        <v>100</v>
      </c>
      <c r="X12" s="12">
        <v>150</v>
      </c>
      <c r="Y12" s="12">
        <v>309</v>
      </c>
      <c r="Z12" s="12">
        <v>185</v>
      </c>
      <c r="AA12" s="12">
        <v>115</v>
      </c>
      <c r="AB12" s="12">
        <v>189</v>
      </c>
      <c r="AC12" s="12">
        <v>245</v>
      </c>
      <c r="AD12" s="12">
        <v>206</v>
      </c>
      <c r="AE12" s="12">
        <v>215</v>
      </c>
      <c r="AF12" s="12">
        <v>207</v>
      </c>
    </row>
    <row r="13" spans="1:32">
      <c r="A13" s="19"/>
      <c r="B13" s="13" t="s">
        <v>707</v>
      </c>
      <c r="C13" s="14">
        <v>0.19</v>
      </c>
      <c r="D13" s="14">
        <v>0.19</v>
      </c>
      <c r="E13" s="14">
        <v>0.25</v>
      </c>
      <c r="F13" s="14">
        <v>0.13</v>
      </c>
      <c r="G13" s="14">
        <v>0.28999999999999998</v>
      </c>
      <c r="H13" s="14">
        <v>0.14000000000000001</v>
      </c>
      <c r="I13" s="14">
        <v>0.16</v>
      </c>
      <c r="J13" s="14">
        <v>0.21</v>
      </c>
      <c r="K13" s="14">
        <v>0.14000000000000001</v>
      </c>
      <c r="L13" s="14">
        <v>0.27</v>
      </c>
      <c r="M13" s="14">
        <v>0.19</v>
      </c>
      <c r="N13" s="14">
        <v>0.19</v>
      </c>
      <c r="O13" s="14">
        <v>0.25</v>
      </c>
      <c r="P13" s="14">
        <v>0.21</v>
      </c>
      <c r="Q13" s="14">
        <v>0.18</v>
      </c>
      <c r="R13" s="14">
        <v>0.23</v>
      </c>
      <c r="S13" s="14">
        <v>0.12</v>
      </c>
      <c r="T13" s="14">
        <v>0.21</v>
      </c>
      <c r="U13" s="14">
        <v>0.18</v>
      </c>
      <c r="V13" s="14">
        <v>0.28000000000000003</v>
      </c>
      <c r="W13" s="14">
        <v>0.2</v>
      </c>
      <c r="X13" s="14">
        <v>0.15</v>
      </c>
      <c r="Y13" s="14">
        <v>0.31</v>
      </c>
      <c r="Z13" s="14">
        <v>0.18</v>
      </c>
      <c r="AA13" s="14">
        <v>0.11</v>
      </c>
      <c r="AB13" s="14">
        <v>0.18</v>
      </c>
      <c r="AC13" s="14">
        <v>0.24</v>
      </c>
      <c r="AD13" s="14">
        <v>0.21</v>
      </c>
      <c r="AE13" s="14">
        <v>0.21</v>
      </c>
      <c r="AF13" s="14">
        <v>0.2</v>
      </c>
    </row>
    <row r="14" spans="1:32">
      <c r="A14" s="19"/>
      <c r="B14" s="11" t="s">
        <v>490</v>
      </c>
      <c r="C14" s="12">
        <v>13262</v>
      </c>
      <c r="D14" s="12">
        <v>532</v>
      </c>
      <c r="E14" s="12">
        <v>495</v>
      </c>
      <c r="F14" s="12">
        <v>553</v>
      </c>
      <c r="G14" s="12">
        <v>468</v>
      </c>
      <c r="H14" s="12">
        <v>626</v>
      </c>
      <c r="I14" s="12">
        <v>761</v>
      </c>
      <c r="J14" s="12">
        <v>134</v>
      </c>
      <c r="K14" s="12">
        <v>470</v>
      </c>
      <c r="L14" s="12">
        <v>473</v>
      </c>
      <c r="M14" s="12">
        <v>416</v>
      </c>
      <c r="N14" s="12">
        <v>354</v>
      </c>
      <c r="O14" s="12">
        <v>496</v>
      </c>
      <c r="P14" s="12">
        <v>575</v>
      </c>
      <c r="Q14" s="12">
        <v>587</v>
      </c>
      <c r="R14" s="12">
        <v>231</v>
      </c>
      <c r="S14" s="12">
        <v>370</v>
      </c>
      <c r="T14" s="12">
        <v>478</v>
      </c>
      <c r="U14" s="12">
        <v>272</v>
      </c>
      <c r="V14" s="12">
        <v>540</v>
      </c>
      <c r="W14" s="12">
        <v>218</v>
      </c>
      <c r="X14" s="12">
        <v>512</v>
      </c>
      <c r="Y14" s="12">
        <v>445</v>
      </c>
      <c r="Z14" s="12">
        <v>642</v>
      </c>
      <c r="AA14" s="12">
        <v>638</v>
      </c>
      <c r="AB14" s="12">
        <v>485</v>
      </c>
      <c r="AC14" s="12">
        <v>413</v>
      </c>
      <c r="AD14" s="12">
        <v>506</v>
      </c>
      <c r="AE14" s="12">
        <v>520</v>
      </c>
      <c r="AF14" s="12">
        <v>542</v>
      </c>
    </row>
    <row r="15" spans="1:32">
      <c r="A15" s="19"/>
      <c r="B15" s="13" t="s">
        <v>491</v>
      </c>
      <c r="C15" s="14">
        <v>0.5</v>
      </c>
      <c r="D15" s="14">
        <v>0.52</v>
      </c>
      <c r="E15" s="14">
        <v>0.47</v>
      </c>
      <c r="F15" s="14">
        <v>0.52</v>
      </c>
      <c r="G15" s="14">
        <v>0.46</v>
      </c>
      <c r="H15" s="14">
        <v>0.51</v>
      </c>
      <c r="I15" s="14">
        <v>0.5</v>
      </c>
      <c r="J15" s="14">
        <v>0.45</v>
      </c>
      <c r="K15" s="14">
        <v>0.47</v>
      </c>
      <c r="L15" s="14">
        <v>0.47</v>
      </c>
      <c r="M15" s="14">
        <v>0.41</v>
      </c>
      <c r="N15" s="14">
        <v>0.35</v>
      </c>
      <c r="O15" s="14">
        <v>0.49</v>
      </c>
      <c r="P15" s="14">
        <v>0.57000000000000006</v>
      </c>
      <c r="Q15" s="14">
        <v>0.57000000000000006</v>
      </c>
      <c r="R15" s="14">
        <v>0.46</v>
      </c>
      <c r="S15" s="14">
        <v>0.37</v>
      </c>
      <c r="T15" s="14">
        <v>0.47</v>
      </c>
      <c r="U15" s="14">
        <v>0.54</v>
      </c>
      <c r="V15" s="14">
        <v>0.53</v>
      </c>
      <c r="W15" s="14">
        <v>0.43</v>
      </c>
      <c r="X15" s="14">
        <v>0.51</v>
      </c>
      <c r="Y15" s="14">
        <v>0.44</v>
      </c>
      <c r="Z15" s="14">
        <v>0.63</v>
      </c>
      <c r="AA15" s="14">
        <v>0.62</v>
      </c>
      <c r="AB15" s="14">
        <v>0.47</v>
      </c>
      <c r="AC15" s="14">
        <v>0.41</v>
      </c>
      <c r="AD15" s="14">
        <v>0.5</v>
      </c>
      <c r="AE15" s="14">
        <v>0.52</v>
      </c>
      <c r="AF15" s="14">
        <v>0.53</v>
      </c>
    </row>
    <row r="16" spans="1:32">
      <c r="A16" s="19"/>
      <c r="B16" s="11" t="s">
        <v>492</v>
      </c>
      <c r="C16" s="12">
        <v>5220</v>
      </c>
      <c r="D16" s="12">
        <v>227</v>
      </c>
      <c r="E16" s="12">
        <v>172</v>
      </c>
      <c r="F16" s="12">
        <v>298</v>
      </c>
      <c r="G16" s="12">
        <v>120</v>
      </c>
      <c r="H16" s="12">
        <v>282</v>
      </c>
      <c r="I16" s="12">
        <v>342</v>
      </c>
      <c r="J16" s="12">
        <v>61</v>
      </c>
      <c r="K16" s="12">
        <v>266</v>
      </c>
      <c r="L16" s="12">
        <v>178</v>
      </c>
      <c r="M16" s="12">
        <v>309</v>
      </c>
      <c r="N16" s="12">
        <v>248</v>
      </c>
      <c r="O16" s="12">
        <v>156</v>
      </c>
      <c r="P16" s="12">
        <v>162</v>
      </c>
      <c r="Q16" s="12">
        <v>196</v>
      </c>
      <c r="R16" s="12">
        <v>106</v>
      </c>
      <c r="S16" s="12">
        <v>312</v>
      </c>
      <c r="T16" s="12">
        <v>239</v>
      </c>
      <c r="U16" s="12">
        <v>91</v>
      </c>
      <c r="V16" s="12">
        <v>166</v>
      </c>
      <c r="W16" s="12">
        <v>103</v>
      </c>
      <c r="X16" s="12">
        <v>221</v>
      </c>
      <c r="Y16" s="12">
        <v>161</v>
      </c>
      <c r="Z16" s="12">
        <v>142</v>
      </c>
      <c r="AA16" s="12">
        <v>127</v>
      </c>
      <c r="AB16" s="12">
        <v>237</v>
      </c>
      <c r="AC16" s="12">
        <v>233</v>
      </c>
      <c r="AD16" s="12">
        <v>221</v>
      </c>
      <c r="AE16" s="12">
        <v>177</v>
      </c>
      <c r="AF16" s="12">
        <v>143</v>
      </c>
    </row>
    <row r="17" spans="1:32">
      <c r="A17" s="19"/>
      <c r="B17" s="13" t="s">
        <v>493</v>
      </c>
      <c r="C17" s="14">
        <v>0.2</v>
      </c>
      <c r="D17" s="14">
        <v>0.22</v>
      </c>
      <c r="E17" s="14">
        <v>0.17</v>
      </c>
      <c r="F17" s="14">
        <v>0.28000000000000003</v>
      </c>
      <c r="G17" s="14">
        <v>0.12</v>
      </c>
      <c r="H17" s="14">
        <v>0.23</v>
      </c>
      <c r="I17" s="14">
        <v>0.22</v>
      </c>
      <c r="J17" s="14">
        <v>0.2</v>
      </c>
      <c r="K17" s="14">
        <v>0.26</v>
      </c>
      <c r="L17" s="14">
        <v>0.18</v>
      </c>
      <c r="M17" s="14">
        <v>0.31</v>
      </c>
      <c r="N17" s="14">
        <v>0.25</v>
      </c>
      <c r="O17" s="14">
        <v>0.15</v>
      </c>
      <c r="P17" s="14">
        <v>0.16</v>
      </c>
      <c r="Q17" s="14">
        <v>0.19</v>
      </c>
      <c r="R17" s="14">
        <v>0.21</v>
      </c>
      <c r="S17" s="14">
        <v>0.31</v>
      </c>
      <c r="T17" s="14">
        <v>0.23</v>
      </c>
      <c r="U17" s="14">
        <v>0.18</v>
      </c>
      <c r="V17" s="14">
        <v>0.16</v>
      </c>
      <c r="W17" s="14">
        <v>0.21</v>
      </c>
      <c r="X17" s="14">
        <v>0.22</v>
      </c>
      <c r="Y17" s="14">
        <v>0.16</v>
      </c>
      <c r="Z17" s="14">
        <v>0.14000000000000001</v>
      </c>
      <c r="AA17" s="14">
        <v>0.12</v>
      </c>
      <c r="AB17" s="14">
        <v>0.23</v>
      </c>
      <c r="AC17" s="14">
        <v>0.23</v>
      </c>
      <c r="AD17" s="14">
        <v>0.22</v>
      </c>
      <c r="AE17" s="14">
        <v>0.18</v>
      </c>
      <c r="AF17" s="14">
        <v>0.14000000000000001</v>
      </c>
    </row>
    <row r="18" spans="1:32">
      <c r="A18" s="19"/>
      <c r="B18" s="11" t="s">
        <v>494</v>
      </c>
      <c r="C18" s="12">
        <v>1307</v>
      </c>
      <c r="D18" s="12">
        <v>54</v>
      </c>
      <c r="E18" s="12">
        <v>22</v>
      </c>
      <c r="F18" s="12">
        <v>31</v>
      </c>
      <c r="G18" s="12">
        <v>53</v>
      </c>
      <c r="H18" s="12">
        <v>59</v>
      </c>
      <c r="I18" s="12">
        <v>84</v>
      </c>
      <c r="J18" s="12">
        <v>25</v>
      </c>
      <c r="K18" s="12">
        <v>34</v>
      </c>
      <c r="L18" s="12">
        <v>36</v>
      </c>
      <c r="M18" s="12">
        <v>46</v>
      </c>
      <c r="N18" s="12">
        <v>125</v>
      </c>
      <c r="O18" s="12">
        <v>25</v>
      </c>
      <c r="P18" s="12">
        <v>22</v>
      </c>
      <c r="Q18" s="12">
        <v>26</v>
      </c>
      <c r="R18" s="12">
        <v>27</v>
      </c>
      <c r="S18" s="12">
        <v>113</v>
      </c>
      <c r="T18" s="12">
        <v>38</v>
      </c>
      <c r="U18" s="12">
        <v>36</v>
      </c>
      <c r="V18" s="12">
        <v>14</v>
      </c>
      <c r="W18" s="12">
        <v>76</v>
      </c>
      <c r="X18" s="12">
        <v>87</v>
      </c>
      <c r="Y18" s="12">
        <v>44</v>
      </c>
      <c r="Z18" s="12">
        <v>15</v>
      </c>
      <c r="AA18" s="12">
        <v>11</v>
      </c>
      <c r="AB18" s="12">
        <v>62</v>
      </c>
      <c r="AC18" s="12">
        <v>69</v>
      </c>
      <c r="AD18" s="12">
        <v>29</v>
      </c>
      <c r="AE18" s="12">
        <v>64</v>
      </c>
      <c r="AF18" s="12">
        <v>108</v>
      </c>
    </row>
    <row r="19" spans="1:32">
      <c r="A19" s="19"/>
      <c r="B19" s="13" t="s">
        <v>708</v>
      </c>
      <c r="C19" s="14">
        <v>0.05</v>
      </c>
      <c r="D19" s="14">
        <v>0.05</v>
      </c>
      <c r="E19" s="14">
        <v>0.02</v>
      </c>
      <c r="F19" s="14">
        <v>0.03</v>
      </c>
      <c r="G19" s="14">
        <v>0.05</v>
      </c>
      <c r="H19" s="14">
        <v>0.05</v>
      </c>
      <c r="I19" s="14">
        <v>0.06</v>
      </c>
      <c r="J19" s="14">
        <v>0.09</v>
      </c>
      <c r="K19" s="14">
        <v>0.03</v>
      </c>
      <c r="L19" s="14">
        <v>0.03</v>
      </c>
      <c r="M19" s="14">
        <v>0.05</v>
      </c>
      <c r="N19" s="14">
        <v>0.12</v>
      </c>
      <c r="O19" s="14">
        <v>0.03</v>
      </c>
      <c r="P19" s="14">
        <v>0.02</v>
      </c>
      <c r="Q19" s="14">
        <v>0.02</v>
      </c>
      <c r="R19" s="14">
        <v>0.05</v>
      </c>
      <c r="S19" s="14">
        <v>0.11</v>
      </c>
      <c r="T19" s="14">
        <v>0.04</v>
      </c>
      <c r="U19" s="14">
        <v>7.0000000000000007E-2</v>
      </c>
      <c r="V19" s="14">
        <v>0.01</v>
      </c>
      <c r="W19" s="14">
        <v>0.15</v>
      </c>
      <c r="X19" s="14">
        <v>0.08</v>
      </c>
      <c r="Y19" s="14">
        <v>0.04</v>
      </c>
      <c r="Z19" s="14">
        <v>0.02</v>
      </c>
      <c r="AA19" s="14">
        <v>0.01</v>
      </c>
      <c r="AB19" s="14">
        <v>0.06</v>
      </c>
      <c r="AC19" s="14">
        <v>7.0000000000000007E-2</v>
      </c>
      <c r="AD19" s="14">
        <v>0.03</v>
      </c>
      <c r="AE19" s="14">
        <v>0.06</v>
      </c>
      <c r="AF19" s="14">
        <v>0.1</v>
      </c>
    </row>
    <row r="20" spans="1:32">
      <c r="A20" s="19"/>
      <c r="B20" s="11" t="s">
        <v>386</v>
      </c>
      <c r="C20" s="12">
        <v>1547</v>
      </c>
      <c r="D20" s="12">
        <v>22</v>
      </c>
      <c r="E20" s="12">
        <v>93</v>
      </c>
      <c r="F20" s="12">
        <v>45</v>
      </c>
      <c r="G20" s="12">
        <v>81</v>
      </c>
      <c r="H20" s="12">
        <v>84</v>
      </c>
      <c r="I20" s="12">
        <v>98</v>
      </c>
      <c r="J20" s="12">
        <v>15</v>
      </c>
      <c r="K20" s="12">
        <v>97</v>
      </c>
      <c r="L20" s="12">
        <v>48</v>
      </c>
      <c r="M20" s="12">
        <v>41</v>
      </c>
      <c r="N20" s="12">
        <v>94</v>
      </c>
      <c r="O20" s="12">
        <v>76</v>
      </c>
      <c r="P20" s="12">
        <v>37</v>
      </c>
      <c r="Q20" s="12">
        <v>38</v>
      </c>
      <c r="R20" s="12">
        <v>25</v>
      </c>
      <c r="S20" s="12">
        <v>91</v>
      </c>
      <c r="T20" s="12">
        <v>49</v>
      </c>
      <c r="U20" s="12">
        <v>16</v>
      </c>
      <c r="V20" s="12">
        <v>20</v>
      </c>
      <c r="W20" s="12">
        <v>5</v>
      </c>
      <c r="X20" s="12">
        <v>39</v>
      </c>
      <c r="Y20" s="12">
        <v>45</v>
      </c>
      <c r="Z20" s="12">
        <v>32</v>
      </c>
      <c r="AA20" s="12">
        <v>146</v>
      </c>
      <c r="AB20" s="12">
        <v>68</v>
      </c>
      <c r="AC20" s="12">
        <v>45</v>
      </c>
      <c r="AD20" s="12">
        <v>40</v>
      </c>
      <c r="AE20" s="12">
        <v>26</v>
      </c>
      <c r="AF20" s="12">
        <v>31</v>
      </c>
    </row>
    <row r="21" spans="1:32">
      <c r="A21" s="19"/>
      <c r="B21" s="13" t="s">
        <v>399</v>
      </c>
      <c r="C21" s="14">
        <v>0.06</v>
      </c>
      <c r="D21" s="14">
        <v>0.02</v>
      </c>
      <c r="E21" s="14">
        <v>0.09</v>
      </c>
      <c r="F21" s="14">
        <v>0.04</v>
      </c>
      <c r="G21" s="14">
        <v>0.08</v>
      </c>
      <c r="H21" s="14">
        <v>7.0000000000000007E-2</v>
      </c>
      <c r="I21" s="14">
        <v>0.06</v>
      </c>
      <c r="J21" s="14">
        <v>0.05</v>
      </c>
      <c r="K21" s="14">
        <v>0.1</v>
      </c>
      <c r="L21" s="14">
        <v>0.05</v>
      </c>
      <c r="M21" s="14">
        <v>0.04</v>
      </c>
      <c r="N21" s="14">
        <v>0.09</v>
      </c>
      <c r="O21" s="14">
        <v>0.08</v>
      </c>
      <c r="P21" s="14">
        <v>0.04</v>
      </c>
      <c r="Q21" s="14">
        <v>0.04</v>
      </c>
      <c r="R21" s="14">
        <v>0.05</v>
      </c>
      <c r="S21" s="14">
        <v>0.09</v>
      </c>
      <c r="T21" s="14">
        <v>0.05</v>
      </c>
      <c r="U21" s="14">
        <v>0.03</v>
      </c>
      <c r="V21" s="14">
        <v>0.02</v>
      </c>
      <c r="W21" s="14">
        <v>0.01</v>
      </c>
      <c r="X21" s="14">
        <v>0.04</v>
      </c>
      <c r="Y21" s="14">
        <v>0.05</v>
      </c>
      <c r="Z21" s="14">
        <v>0.03</v>
      </c>
      <c r="AA21" s="14">
        <v>0.14000000000000001</v>
      </c>
      <c r="AB21" s="14">
        <v>0.06</v>
      </c>
      <c r="AC21" s="14">
        <v>0.05</v>
      </c>
      <c r="AD21" s="14">
        <v>0.04</v>
      </c>
      <c r="AE21" s="14">
        <v>0.03</v>
      </c>
      <c r="AF21" s="14">
        <v>0.03</v>
      </c>
    </row>
    <row r="22" spans="1:32">
      <c r="A22" s="19"/>
      <c r="B22" s="11" t="s">
        <v>496</v>
      </c>
      <c r="C22" s="12">
        <v>18380</v>
      </c>
      <c r="D22" s="12">
        <v>718</v>
      </c>
      <c r="E22" s="12">
        <v>759</v>
      </c>
      <c r="F22" s="12">
        <v>690</v>
      </c>
      <c r="G22" s="12">
        <v>761</v>
      </c>
      <c r="H22" s="12">
        <v>805</v>
      </c>
      <c r="I22" s="12">
        <v>1003</v>
      </c>
      <c r="J22" s="12">
        <v>196</v>
      </c>
      <c r="K22" s="12">
        <v>609</v>
      </c>
      <c r="L22" s="12">
        <v>743</v>
      </c>
      <c r="M22" s="12">
        <v>612</v>
      </c>
      <c r="N22" s="12">
        <v>544</v>
      </c>
      <c r="O22" s="12">
        <v>747</v>
      </c>
      <c r="P22" s="12">
        <v>783</v>
      </c>
      <c r="Q22" s="12">
        <v>772</v>
      </c>
      <c r="R22" s="12">
        <v>344</v>
      </c>
      <c r="S22" s="12">
        <v>488</v>
      </c>
      <c r="T22" s="12">
        <v>697</v>
      </c>
      <c r="U22" s="12">
        <v>365</v>
      </c>
      <c r="V22" s="12">
        <v>826</v>
      </c>
      <c r="W22" s="12">
        <v>318</v>
      </c>
      <c r="X22" s="12">
        <v>662</v>
      </c>
      <c r="Y22" s="12">
        <v>754</v>
      </c>
      <c r="Z22" s="12">
        <v>827</v>
      </c>
      <c r="AA22" s="12">
        <v>753</v>
      </c>
      <c r="AB22" s="12">
        <v>674</v>
      </c>
      <c r="AC22" s="12">
        <v>658</v>
      </c>
      <c r="AD22" s="12">
        <v>712</v>
      </c>
      <c r="AE22" s="12">
        <v>735</v>
      </c>
      <c r="AF22" s="12">
        <v>749</v>
      </c>
    </row>
    <row r="23" spans="1:32">
      <c r="A23" s="19"/>
      <c r="B23" s="13" t="s">
        <v>497</v>
      </c>
      <c r="C23" s="14">
        <v>0.69000000000000006</v>
      </c>
      <c r="D23" s="14">
        <v>0.71</v>
      </c>
      <c r="E23" s="14">
        <v>0.72</v>
      </c>
      <c r="F23" s="14">
        <v>0.65</v>
      </c>
      <c r="G23" s="14">
        <v>0.75</v>
      </c>
      <c r="H23" s="14">
        <v>0.65</v>
      </c>
      <c r="I23" s="14">
        <v>0.66</v>
      </c>
      <c r="J23" s="14">
        <v>0.66</v>
      </c>
      <c r="K23" s="14">
        <v>0.61</v>
      </c>
      <c r="L23" s="14">
        <v>0.74</v>
      </c>
      <c r="M23" s="14">
        <v>0.6</v>
      </c>
      <c r="N23" s="14">
        <v>0.54</v>
      </c>
      <c r="O23" s="14">
        <v>0.74</v>
      </c>
      <c r="P23" s="14">
        <v>0.78</v>
      </c>
      <c r="Q23" s="14">
        <v>0.75</v>
      </c>
      <c r="R23" s="14">
        <v>0.69000000000000006</v>
      </c>
      <c r="S23" s="14">
        <v>0.49</v>
      </c>
      <c r="T23" s="14">
        <v>0.68</v>
      </c>
      <c r="U23" s="14">
        <v>0.72</v>
      </c>
      <c r="V23" s="14">
        <v>0.81</v>
      </c>
      <c r="W23" s="14">
        <v>0.63</v>
      </c>
      <c r="X23" s="14">
        <v>0.66</v>
      </c>
      <c r="Y23" s="14">
        <v>0.75</v>
      </c>
      <c r="Z23" s="14">
        <v>0.81</v>
      </c>
      <c r="AA23" s="14">
        <v>0.73</v>
      </c>
      <c r="AB23" s="14">
        <v>0.65</v>
      </c>
      <c r="AC23" s="14">
        <v>0.65</v>
      </c>
      <c r="AD23" s="14">
        <v>0.71</v>
      </c>
      <c r="AE23" s="14">
        <v>0.73</v>
      </c>
      <c r="AF23" s="14">
        <v>0.73</v>
      </c>
    </row>
    <row r="24" spans="1:32">
      <c r="A24" s="19"/>
      <c r="B24" s="11" t="s">
        <v>498</v>
      </c>
      <c r="C24" s="12">
        <v>6527</v>
      </c>
      <c r="D24" s="12">
        <v>281</v>
      </c>
      <c r="E24" s="12">
        <v>194</v>
      </c>
      <c r="F24" s="12">
        <v>329</v>
      </c>
      <c r="G24" s="12">
        <v>173</v>
      </c>
      <c r="H24" s="12">
        <v>341</v>
      </c>
      <c r="I24" s="12">
        <v>426</v>
      </c>
      <c r="J24" s="12">
        <v>86</v>
      </c>
      <c r="K24" s="12">
        <v>300</v>
      </c>
      <c r="L24" s="12">
        <v>214</v>
      </c>
      <c r="M24" s="12">
        <v>355</v>
      </c>
      <c r="N24" s="12">
        <v>373</v>
      </c>
      <c r="O24" s="12">
        <v>181</v>
      </c>
      <c r="P24" s="12">
        <v>184</v>
      </c>
      <c r="Q24" s="12">
        <v>222</v>
      </c>
      <c r="R24" s="12">
        <v>133</v>
      </c>
      <c r="S24" s="12">
        <v>425</v>
      </c>
      <c r="T24" s="12">
        <v>277</v>
      </c>
      <c r="U24" s="12">
        <v>127</v>
      </c>
      <c r="V24" s="12">
        <v>180</v>
      </c>
      <c r="W24" s="12">
        <v>179</v>
      </c>
      <c r="X24" s="12">
        <v>308</v>
      </c>
      <c r="Y24" s="12">
        <v>205</v>
      </c>
      <c r="Z24" s="12">
        <v>157</v>
      </c>
      <c r="AA24" s="12">
        <v>138</v>
      </c>
      <c r="AB24" s="12">
        <v>299</v>
      </c>
      <c r="AC24" s="12">
        <v>302</v>
      </c>
      <c r="AD24" s="12">
        <v>250</v>
      </c>
      <c r="AE24" s="12">
        <v>241</v>
      </c>
      <c r="AF24" s="12">
        <v>251</v>
      </c>
    </row>
    <row r="25" spans="1:32">
      <c r="A25" s="19"/>
      <c r="B25" s="13" t="s">
        <v>499</v>
      </c>
      <c r="C25" s="14">
        <v>0.25</v>
      </c>
      <c r="D25" s="14">
        <v>0.27</v>
      </c>
      <c r="E25" s="14">
        <v>0.19</v>
      </c>
      <c r="F25" s="14">
        <v>0.31</v>
      </c>
      <c r="G25" s="14">
        <v>0.17</v>
      </c>
      <c r="H25" s="14">
        <v>0.28000000000000003</v>
      </c>
      <c r="I25" s="14">
        <v>0.28000000000000003</v>
      </c>
      <c r="J25" s="14">
        <v>0.28999999999999998</v>
      </c>
      <c r="K25" s="14">
        <v>0.28999999999999998</v>
      </c>
      <c r="L25" s="14">
        <v>0.21</v>
      </c>
      <c r="M25" s="14">
        <v>0.36</v>
      </c>
      <c r="N25" s="14">
        <v>0.37</v>
      </c>
      <c r="O25" s="14">
        <v>0.18</v>
      </c>
      <c r="P25" s="14">
        <v>0.18</v>
      </c>
      <c r="Q25" s="14">
        <v>0.21</v>
      </c>
      <c r="R25" s="14">
        <v>0.26</v>
      </c>
      <c r="S25" s="14">
        <v>0.42</v>
      </c>
      <c r="T25" s="14">
        <v>0.27</v>
      </c>
      <c r="U25" s="14">
        <v>0.25</v>
      </c>
      <c r="V25" s="14">
        <v>0.17</v>
      </c>
      <c r="W25" s="14">
        <v>0.36</v>
      </c>
      <c r="X25" s="14">
        <v>0.3</v>
      </c>
      <c r="Y25" s="14">
        <v>0.2</v>
      </c>
      <c r="Z25" s="14">
        <v>0.16</v>
      </c>
      <c r="AA25" s="14">
        <v>0.13</v>
      </c>
      <c r="AB25" s="14">
        <v>0.28999999999999998</v>
      </c>
      <c r="AC25" s="14">
        <v>0.3</v>
      </c>
      <c r="AD25" s="14">
        <v>0.25</v>
      </c>
      <c r="AE25" s="14">
        <v>0.24</v>
      </c>
      <c r="AF25" s="14">
        <v>0.24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785</v>
      </c>
      <c r="C3" s="17"/>
      <c r="D3" s="17"/>
      <c r="E3" s="17"/>
      <c r="F3" s="17"/>
      <c r="H3" s="17" t="s">
        <v>786</v>
      </c>
      <c r="I3" s="17"/>
      <c r="J3" s="17"/>
      <c r="K3" s="17"/>
      <c r="L3" s="17"/>
    </row>
    <row r="4" spans="1:32" ht="27" customHeight="1">
      <c r="B4" s="17" t="s">
        <v>787</v>
      </c>
      <c r="C4" s="17"/>
      <c r="D4" s="17"/>
      <c r="E4" s="17"/>
      <c r="F4" s="17"/>
      <c r="H4" s="17" t="s">
        <v>788</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4996</v>
      </c>
      <c r="D12" s="12">
        <v>166</v>
      </c>
      <c r="E12" s="12">
        <v>204</v>
      </c>
      <c r="F12" s="12">
        <v>119</v>
      </c>
      <c r="G12" s="12">
        <v>240</v>
      </c>
      <c r="H12" s="12">
        <v>179</v>
      </c>
      <c r="I12" s="12">
        <v>238</v>
      </c>
      <c r="J12" s="12">
        <v>58</v>
      </c>
      <c r="K12" s="12">
        <v>159</v>
      </c>
      <c r="L12" s="12">
        <v>323</v>
      </c>
      <c r="M12" s="12">
        <v>271</v>
      </c>
      <c r="N12" s="12">
        <v>216</v>
      </c>
      <c r="O12" s="12">
        <v>221</v>
      </c>
      <c r="P12" s="12">
        <v>233</v>
      </c>
      <c r="Q12" s="12">
        <v>211</v>
      </c>
      <c r="R12" s="12">
        <v>188</v>
      </c>
      <c r="S12" s="12">
        <v>130</v>
      </c>
      <c r="T12" s="12">
        <v>233</v>
      </c>
      <c r="U12" s="12">
        <v>107</v>
      </c>
      <c r="V12" s="12">
        <v>214</v>
      </c>
      <c r="W12" s="12">
        <v>96</v>
      </c>
      <c r="X12" s="12">
        <v>150</v>
      </c>
      <c r="Y12" s="12">
        <v>235</v>
      </c>
      <c r="Z12" s="12">
        <v>145</v>
      </c>
      <c r="AA12" s="12">
        <v>114</v>
      </c>
      <c r="AB12" s="12">
        <v>179</v>
      </c>
      <c r="AC12" s="12">
        <v>285</v>
      </c>
      <c r="AD12" s="12">
        <v>199</v>
      </c>
      <c r="AE12" s="12">
        <v>246</v>
      </c>
      <c r="AF12" s="12">
        <v>186</v>
      </c>
    </row>
    <row r="13" spans="1:32">
      <c r="A13" s="19"/>
      <c r="B13" s="13" t="s">
        <v>707</v>
      </c>
      <c r="C13" s="14">
        <v>0.19</v>
      </c>
      <c r="D13" s="14">
        <v>0.16</v>
      </c>
      <c r="E13" s="14">
        <v>0.19</v>
      </c>
      <c r="F13" s="14">
        <v>0.11</v>
      </c>
      <c r="G13" s="14">
        <v>0.24</v>
      </c>
      <c r="H13" s="14">
        <v>0.15</v>
      </c>
      <c r="I13" s="14">
        <v>0.16</v>
      </c>
      <c r="J13" s="14">
        <v>0.2</v>
      </c>
      <c r="K13" s="14">
        <v>0.16</v>
      </c>
      <c r="L13" s="14">
        <v>0.32</v>
      </c>
      <c r="M13" s="14">
        <v>0.27</v>
      </c>
      <c r="N13" s="14">
        <v>0.21</v>
      </c>
      <c r="O13" s="14">
        <v>0.22</v>
      </c>
      <c r="P13" s="14">
        <v>0.23</v>
      </c>
      <c r="Q13" s="14">
        <v>0.2</v>
      </c>
      <c r="R13" s="14">
        <v>0.38</v>
      </c>
      <c r="S13" s="14">
        <v>0.13</v>
      </c>
      <c r="T13" s="14">
        <v>0.23</v>
      </c>
      <c r="U13" s="14">
        <v>0.21</v>
      </c>
      <c r="V13" s="14">
        <v>0.21</v>
      </c>
      <c r="W13" s="14">
        <v>0.19</v>
      </c>
      <c r="X13" s="14">
        <v>0.15</v>
      </c>
      <c r="Y13" s="14">
        <v>0.23</v>
      </c>
      <c r="Z13" s="14">
        <v>0.14000000000000001</v>
      </c>
      <c r="AA13" s="14">
        <v>0.11</v>
      </c>
      <c r="AB13" s="14">
        <v>0.17</v>
      </c>
      <c r="AC13" s="14">
        <v>0.28000000000000003</v>
      </c>
      <c r="AD13" s="14">
        <v>0.2</v>
      </c>
      <c r="AE13" s="14">
        <v>0.25</v>
      </c>
      <c r="AF13" s="14">
        <v>0.18</v>
      </c>
    </row>
    <row r="14" spans="1:32">
      <c r="A14" s="19"/>
      <c r="B14" s="11" t="s">
        <v>490</v>
      </c>
      <c r="C14" s="12">
        <v>13731</v>
      </c>
      <c r="D14" s="12">
        <v>563</v>
      </c>
      <c r="E14" s="12">
        <v>484</v>
      </c>
      <c r="F14" s="12">
        <v>584</v>
      </c>
      <c r="G14" s="12">
        <v>491</v>
      </c>
      <c r="H14" s="12">
        <v>632</v>
      </c>
      <c r="I14" s="12">
        <v>771</v>
      </c>
      <c r="J14" s="12">
        <v>139</v>
      </c>
      <c r="K14" s="12">
        <v>444</v>
      </c>
      <c r="L14" s="12">
        <v>487</v>
      </c>
      <c r="M14" s="12">
        <v>473</v>
      </c>
      <c r="N14" s="12">
        <v>390</v>
      </c>
      <c r="O14" s="12">
        <v>510</v>
      </c>
      <c r="P14" s="12">
        <v>535</v>
      </c>
      <c r="Q14" s="12">
        <v>615</v>
      </c>
      <c r="R14" s="12">
        <v>213</v>
      </c>
      <c r="S14" s="12">
        <v>420</v>
      </c>
      <c r="T14" s="12">
        <v>510</v>
      </c>
      <c r="U14" s="12">
        <v>267</v>
      </c>
      <c r="V14" s="12">
        <v>591</v>
      </c>
      <c r="W14" s="12">
        <v>247</v>
      </c>
      <c r="X14" s="12">
        <v>508</v>
      </c>
      <c r="Y14" s="12">
        <v>544</v>
      </c>
      <c r="Z14" s="12">
        <v>638</v>
      </c>
      <c r="AA14" s="12">
        <v>638</v>
      </c>
      <c r="AB14" s="12">
        <v>517</v>
      </c>
      <c r="AC14" s="12">
        <v>432</v>
      </c>
      <c r="AD14" s="12">
        <v>541</v>
      </c>
      <c r="AE14" s="12">
        <v>502</v>
      </c>
      <c r="AF14" s="12">
        <v>528</v>
      </c>
    </row>
    <row r="15" spans="1:32">
      <c r="A15" s="19"/>
      <c r="B15" s="13" t="s">
        <v>491</v>
      </c>
      <c r="C15" s="14">
        <v>0.52</v>
      </c>
      <c r="D15" s="14">
        <v>0.55000000000000004</v>
      </c>
      <c r="E15" s="14">
        <v>0.46</v>
      </c>
      <c r="F15" s="14">
        <v>0.55000000000000004</v>
      </c>
      <c r="G15" s="14">
        <v>0.48</v>
      </c>
      <c r="H15" s="14">
        <v>0.51</v>
      </c>
      <c r="I15" s="14">
        <v>0.5</v>
      </c>
      <c r="J15" s="14">
        <v>0.46</v>
      </c>
      <c r="K15" s="14">
        <v>0.44</v>
      </c>
      <c r="L15" s="14">
        <v>0.48</v>
      </c>
      <c r="M15" s="14">
        <v>0.47</v>
      </c>
      <c r="N15" s="14">
        <v>0.39</v>
      </c>
      <c r="O15" s="14">
        <v>0.51</v>
      </c>
      <c r="P15" s="14">
        <v>0.53</v>
      </c>
      <c r="Q15" s="14">
        <v>0.6</v>
      </c>
      <c r="R15" s="14">
        <v>0.43</v>
      </c>
      <c r="S15" s="14">
        <v>0.42</v>
      </c>
      <c r="T15" s="14">
        <v>0.5</v>
      </c>
      <c r="U15" s="14">
        <v>0.53</v>
      </c>
      <c r="V15" s="14">
        <v>0.57999999999999996</v>
      </c>
      <c r="W15" s="14">
        <v>0.49</v>
      </c>
      <c r="X15" s="14">
        <v>0.5</v>
      </c>
      <c r="Y15" s="14">
        <v>0.54</v>
      </c>
      <c r="Z15" s="14">
        <v>0.63</v>
      </c>
      <c r="AA15" s="14">
        <v>0.61</v>
      </c>
      <c r="AB15" s="14">
        <v>0.5</v>
      </c>
      <c r="AC15" s="14">
        <v>0.43</v>
      </c>
      <c r="AD15" s="14">
        <v>0.54</v>
      </c>
      <c r="AE15" s="14">
        <v>0.5</v>
      </c>
      <c r="AF15" s="14">
        <v>0.51</v>
      </c>
    </row>
    <row r="16" spans="1:32">
      <c r="A16" s="19"/>
      <c r="B16" s="11" t="s">
        <v>492</v>
      </c>
      <c r="C16" s="12">
        <v>4989</v>
      </c>
      <c r="D16" s="12">
        <v>247</v>
      </c>
      <c r="E16" s="12">
        <v>208</v>
      </c>
      <c r="F16" s="12">
        <v>276</v>
      </c>
      <c r="G16" s="12">
        <v>146</v>
      </c>
      <c r="H16" s="12">
        <v>255</v>
      </c>
      <c r="I16" s="12">
        <v>320</v>
      </c>
      <c r="J16" s="12">
        <v>65</v>
      </c>
      <c r="K16" s="12">
        <v>284</v>
      </c>
      <c r="L16" s="12">
        <v>129</v>
      </c>
      <c r="M16" s="12">
        <v>193</v>
      </c>
      <c r="N16" s="12">
        <v>212</v>
      </c>
      <c r="O16" s="12">
        <v>168</v>
      </c>
      <c r="P16" s="12">
        <v>191</v>
      </c>
      <c r="Q16" s="12">
        <v>158</v>
      </c>
      <c r="R16" s="12">
        <v>68</v>
      </c>
      <c r="S16" s="12">
        <v>277</v>
      </c>
      <c r="T16" s="12">
        <v>190</v>
      </c>
      <c r="U16" s="12">
        <v>82</v>
      </c>
      <c r="V16" s="12">
        <v>175</v>
      </c>
      <c r="W16" s="12">
        <v>107</v>
      </c>
      <c r="X16" s="12">
        <v>249</v>
      </c>
      <c r="Y16" s="12">
        <v>147</v>
      </c>
      <c r="Z16" s="12">
        <v>170</v>
      </c>
      <c r="AA16" s="12">
        <v>136</v>
      </c>
      <c r="AB16" s="12">
        <v>245</v>
      </c>
      <c r="AC16" s="12">
        <v>209</v>
      </c>
      <c r="AD16" s="12">
        <v>203</v>
      </c>
      <c r="AE16" s="12">
        <v>170</v>
      </c>
      <c r="AF16" s="12">
        <v>158</v>
      </c>
    </row>
    <row r="17" spans="1:32">
      <c r="A17" s="19"/>
      <c r="B17" s="13" t="s">
        <v>493</v>
      </c>
      <c r="C17" s="14">
        <v>0.19</v>
      </c>
      <c r="D17" s="14">
        <v>0.24</v>
      </c>
      <c r="E17" s="14">
        <v>0.2</v>
      </c>
      <c r="F17" s="14">
        <v>0.26</v>
      </c>
      <c r="G17" s="14">
        <v>0.14000000000000001</v>
      </c>
      <c r="H17" s="14">
        <v>0.21</v>
      </c>
      <c r="I17" s="14">
        <v>0.21</v>
      </c>
      <c r="J17" s="14">
        <v>0.22</v>
      </c>
      <c r="K17" s="14">
        <v>0.28000000000000003</v>
      </c>
      <c r="L17" s="14">
        <v>0.13</v>
      </c>
      <c r="M17" s="14">
        <v>0.19</v>
      </c>
      <c r="N17" s="14">
        <v>0.21</v>
      </c>
      <c r="O17" s="14">
        <v>0.17</v>
      </c>
      <c r="P17" s="14">
        <v>0.19</v>
      </c>
      <c r="Q17" s="14">
        <v>0.15</v>
      </c>
      <c r="R17" s="14">
        <v>0.13</v>
      </c>
      <c r="S17" s="14">
        <v>0.28000000000000003</v>
      </c>
      <c r="T17" s="14">
        <v>0.18</v>
      </c>
      <c r="U17" s="14">
        <v>0.16</v>
      </c>
      <c r="V17" s="14">
        <v>0.17</v>
      </c>
      <c r="W17" s="14">
        <v>0.21</v>
      </c>
      <c r="X17" s="14">
        <v>0.25</v>
      </c>
      <c r="Y17" s="14">
        <v>0.15</v>
      </c>
      <c r="Z17" s="14">
        <v>0.17</v>
      </c>
      <c r="AA17" s="14">
        <v>0.13</v>
      </c>
      <c r="AB17" s="14">
        <v>0.23</v>
      </c>
      <c r="AC17" s="14">
        <v>0.21</v>
      </c>
      <c r="AD17" s="14">
        <v>0.2</v>
      </c>
      <c r="AE17" s="14">
        <v>0.17</v>
      </c>
      <c r="AF17" s="14">
        <v>0.16</v>
      </c>
    </row>
    <row r="18" spans="1:32">
      <c r="A18" s="19"/>
      <c r="B18" s="11" t="s">
        <v>494</v>
      </c>
      <c r="C18" s="12">
        <v>972</v>
      </c>
      <c r="D18" s="12">
        <v>24</v>
      </c>
      <c r="E18" s="12">
        <v>49</v>
      </c>
      <c r="F18" s="12">
        <v>35</v>
      </c>
      <c r="G18" s="12">
        <v>50</v>
      </c>
      <c r="H18" s="12">
        <v>38</v>
      </c>
      <c r="I18" s="12">
        <v>55</v>
      </c>
      <c r="J18" s="12">
        <v>17</v>
      </c>
      <c r="K18" s="12">
        <v>41</v>
      </c>
      <c r="L18" s="12">
        <v>17</v>
      </c>
      <c r="M18" s="12">
        <v>44</v>
      </c>
      <c r="N18" s="12">
        <v>93</v>
      </c>
      <c r="O18" s="12">
        <v>21</v>
      </c>
      <c r="P18" s="12">
        <v>27</v>
      </c>
      <c r="Q18" s="12">
        <v>20</v>
      </c>
      <c r="R18" s="12">
        <v>10</v>
      </c>
      <c r="S18" s="12">
        <v>65</v>
      </c>
      <c r="T18" s="12">
        <v>38</v>
      </c>
      <c r="U18" s="12">
        <v>26</v>
      </c>
      <c r="V18" s="12">
        <v>33</v>
      </c>
      <c r="W18" s="12">
        <v>46</v>
      </c>
      <c r="X18" s="12">
        <v>40</v>
      </c>
      <c r="Y18" s="12">
        <v>34</v>
      </c>
      <c r="Z18" s="12">
        <v>21</v>
      </c>
      <c r="AA18" s="12">
        <v>17</v>
      </c>
      <c r="AB18" s="12">
        <v>49</v>
      </c>
      <c r="AC18" s="12">
        <v>39</v>
      </c>
      <c r="AD18" s="12">
        <v>23</v>
      </c>
      <c r="AE18" s="12">
        <v>41</v>
      </c>
      <c r="AF18" s="12">
        <v>54</v>
      </c>
    </row>
    <row r="19" spans="1:32">
      <c r="A19" s="19"/>
      <c r="B19" s="13" t="s">
        <v>708</v>
      </c>
      <c r="C19" s="14">
        <v>0.04</v>
      </c>
      <c r="D19" s="14">
        <v>0.03</v>
      </c>
      <c r="E19" s="14">
        <v>0.05</v>
      </c>
      <c r="F19" s="14">
        <v>0.03</v>
      </c>
      <c r="G19" s="14">
        <v>0.05</v>
      </c>
      <c r="H19" s="14">
        <v>0.03</v>
      </c>
      <c r="I19" s="14">
        <v>0.04</v>
      </c>
      <c r="J19" s="14">
        <v>0.06</v>
      </c>
      <c r="K19" s="14">
        <v>0.04</v>
      </c>
      <c r="L19" s="14">
        <v>0.02</v>
      </c>
      <c r="M19" s="14">
        <v>0.04</v>
      </c>
      <c r="N19" s="14">
        <v>0.09</v>
      </c>
      <c r="O19" s="14">
        <v>0.02</v>
      </c>
      <c r="P19" s="14">
        <v>0.03</v>
      </c>
      <c r="Q19" s="14">
        <v>0.02</v>
      </c>
      <c r="R19" s="14">
        <v>0.02</v>
      </c>
      <c r="S19" s="14">
        <v>0.06</v>
      </c>
      <c r="T19" s="14">
        <v>0.04</v>
      </c>
      <c r="U19" s="14">
        <v>0.05</v>
      </c>
      <c r="V19" s="14">
        <v>0.03</v>
      </c>
      <c r="W19" s="14">
        <v>0.09</v>
      </c>
      <c r="X19" s="14">
        <v>0.04</v>
      </c>
      <c r="Y19" s="14">
        <v>0.03</v>
      </c>
      <c r="Z19" s="14">
        <v>0.02</v>
      </c>
      <c r="AA19" s="14">
        <v>0.02</v>
      </c>
      <c r="AB19" s="14">
        <v>0.05</v>
      </c>
      <c r="AC19" s="14">
        <v>0.04</v>
      </c>
      <c r="AD19" s="14">
        <v>0.02</v>
      </c>
      <c r="AE19" s="14">
        <v>0.04</v>
      </c>
      <c r="AF19" s="14">
        <v>0.05</v>
      </c>
    </row>
    <row r="20" spans="1:32">
      <c r="A20" s="19"/>
      <c r="B20" s="11" t="s">
        <v>386</v>
      </c>
      <c r="C20" s="12">
        <v>1764</v>
      </c>
      <c r="D20" s="12">
        <v>22</v>
      </c>
      <c r="E20" s="12">
        <v>100</v>
      </c>
      <c r="F20" s="12">
        <v>49</v>
      </c>
      <c r="G20" s="12">
        <v>89</v>
      </c>
      <c r="H20" s="12">
        <v>126</v>
      </c>
      <c r="I20" s="12">
        <v>144</v>
      </c>
      <c r="J20" s="12">
        <v>18</v>
      </c>
      <c r="K20" s="12">
        <v>78</v>
      </c>
      <c r="L20" s="12">
        <v>50</v>
      </c>
      <c r="M20" s="12">
        <v>25</v>
      </c>
      <c r="N20" s="12">
        <v>101</v>
      </c>
      <c r="O20" s="12">
        <v>84</v>
      </c>
      <c r="P20" s="12">
        <v>17</v>
      </c>
      <c r="Q20" s="12">
        <v>27</v>
      </c>
      <c r="R20" s="12">
        <v>22</v>
      </c>
      <c r="S20" s="12">
        <v>111</v>
      </c>
      <c r="T20" s="12">
        <v>51</v>
      </c>
      <c r="U20" s="12">
        <v>26</v>
      </c>
      <c r="V20" s="12">
        <v>13</v>
      </c>
      <c r="W20" s="12">
        <v>7</v>
      </c>
      <c r="X20" s="12">
        <v>63</v>
      </c>
      <c r="Y20" s="12">
        <v>44</v>
      </c>
      <c r="Z20" s="12">
        <v>41</v>
      </c>
      <c r="AA20" s="12">
        <v>132</v>
      </c>
      <c r="AB20" s="12">
        <v>51</v>
      </c>
      <c r="AC20" s="12">
        <v>40</v>
      </c>
      <c r="AD20" s="12">
        <v>37</v>
      </c>
      <c r="AE20" s="12">
        <v>42</v>
      </c>
      <c r="AF20" s="12">
        <v>105</v>
      </c>
    </row>
    <row r="21" spans="1:32">
      <c r="A21" s="19"/>
      <c r="B21" s="13" t="s">
        <v>399</v>
      </c>
      <c r="C21" s="14">
        <v>0.06</v>
      </c>
      <c r="D21" s="14">
        <v>0.02</v>
      </c>
      <c r="E21" s="14">
        <v>0.1</v>
      </c>
      <c r="F21" s="14">
        <v>0.05</v>
      </c>
      <c r="G21" s="14">
        <v>0.09</v>
      </c>
      <c r="H21" s="14">
        <v>0.1</v>
      </c>
      <c r="I21" s="14">
        <v>0.09</v>
      </c>
      <c r="J21" s="14">
        <v>0.06</v>
      </c>
      <c r="K21" s="14">
        <v>0.08</v>
      </c>
      <c r="L21" s="14">
        <v>0.05</v>
      </c>
      <c r="M21" s="14">
        <v>0.03</v>
      </c>
      <c r="N21" s="14">
        <v>0.1</v>
      </c>
      <c r="O21" s="14">
        <v>0.08</v>
      </c>
      <c r="P21" s="14">
        <v>0.02</v>
      </c>
      <c r="Q21" s="14">
        <v>0.03</v>
      </c>
      <c r="R21" s="14">
        <v>0.04</v>
      </c>
      <c r="S21" s="14">
        <v>0.11</v>
      </c>
      <c r="T21" s="14">
        <v>0.05</v>
      </c>
      <c r="U21" s="14">
        <v>0.05</v>
      </c>
      <c r="V21" s="14">
        <v>0.01</v>
      </c>
      <c r="W21" s="14">
        <v>0.02</v>
      </c>
      <c r="X21" s="14">
        <v>0.06</v>
      </c>
      <c r="Y21" s="14">
        <v>0.05</v>
      </c>
      <c r="Z21" s="14">
        <v>0.04</v>
      </c>
      <c r="AA21" s="14">
        <v>0.13</v>
      </c>
      <c r="AB21" s="14">
        <v>0.05</v>
      </c>
      <c r="AC21" s="14">
        <v>0.04</v>
      </c>
      <c r="AD21" s="14">
        <v>0.04</v>
      </c>
      <c r="AE21" s="14">
        <v>0.04</v>
      </c>
      <c r="AF21" s="14">
        <v>0.1</v>
      </c>
    </row>
    <row r="22" spans="1:32">
      <c r="A22" s="19"/>
      <c r="B22" s="11" t="s">
        <v>496</v>
      </c>
      <c r="C22" s="12">
        <v>18727</v>
      </c>
      <c r="D22" s="12">
        <v>729</v>
      </c>
      <c r="E22" s="12">
        <v>688</v>
      </c>
      <c r="F22" s="12">
        <v>703</v>
      </c>
      <c r="G22" s="12">
        <v>731</v>
      </c>
      <c r="H22" s="12">
        <v>811</v>
      </c>
      <c r="I22" s="12">
        <v>1009</v>
      </c>
      <c r="J22" s="12">
        <v>197</v>
      </c>
      <c r="K22" s="12">
        <v>603</v>
      </c>
      <c r="L22" s="12">
        <v>810</v>
      </c>
      <c r="M22" s="12">
        <v>744</v>
      </c>
      <c r="N22" s="12">
        <v>606</v>
      </c>
      <c r="O22" s="12">
        <v>731</v>
      </c>
      <c r="P22" s="12">
        <v>768</v>
      </c>
      <c r="Q22" s="12">
        <v>826</v>
      </c>
      <c r="R22" s="12">
        <v>401</v>
      </c>
      <c r="S22" s="12">
        <v>550</v>
      </c>
      <c r="T22" s="12">
        <v>743</v>
      </c>
      <c r="U22" s="12">
        <v>374</v>
      </c>
      <c r="V22" s="12">
        <v>805</v>
      </c>
      <c r="W22" s="12">
        <v>343</v>
      </c>
      <c r="X22" s="12">
        <v>658</v>
      </c>
      <c r="Y22" s="12">
        <v>779</v>
      </c>
      <c r="Z22" s="12">
        <v>783</v>
      </c>
      <c r="AA22" s="12">
        <v>752</v>
      </c>
      <c r="AB22" s="12">
        <v>696</v>
      </c>
      <c r="AC22" s="12">
        <v>717</v>
      </c>
      <c r="AD22" s="12">
        <v>740</v>
      </c>
      <c r="AE22" s="12">
        <v>748</v>
      </c>
      <c r="AF22" s="12">
        <v>714</v>
      </c>
    </row>
    <row r="23" spans="1:32">
      <c r="A23" s="19"/>
      <c r="B23" s="13" t="s">
        <v>497</v>
      </c>
      <c r="C23" s="14">
        <v>0.71</v>
      </c>
      <c r="D23" s="14">
        <v>0.71</v>
      </c>
      <c r="E23" s="14">
        <v>0.65</v>
      </c>
      <c r="F23" s="14">
        <v>0.66</v>
      </c>
      <c r="G23" s="14">
        <v>0.72</v>
      </c>
      <c r="H23" s="14">
        <v>0.66</v>
      </c>
      <c r="I23" s="14">
        <v>0.66</v>
      </c>
      <c r="J23" s="14">
        <v>0.66</v>
      </c>
      <c r="K23" s="14">
        <v>0.6</v>
      </c>
      <c r="L23" s="14">
        <v>0.8</v>
      </c>
      <c r="M23" s="14">
        <v>0.74</v>
      </c>
      <c r="N23" s="14">
        <v>0.6</v>
      </c>
      <c r="O23" s="14">
        <v>0.73</v>
      </c>
      <c r="P23" s="14">
        <v>0.76</v>
      </c>
      <c r="Q23" s="14">
        <v>0.8</v>
      </c>
      <c r="R23" s="14">
        <v>0.81</v>
      </c>
      <c r="S23" s="14">
        <v>0.55000000000000004</v>
      </c>
      <c r="T23" s="14">
        <v>0.73</v>
      </c>
      <c r="U23" s="14">
        <v>0.74</v>
      </c>
      <c r="V23" s="14">
        <v>0.79</v>
      </c>
      <c r="W23" s="14">
        <v>0.68</v>
      </c>
      <c r="X23" s="14">
        <v>0.65</v>
      </c>
      <c r="Y23" s="14">
        <v>0.77</v>
      </c>
      <c r="Z23" s="14">
        <v>0.77</v>
      </c>
      <c r="AA23" s="14">
        <v>0.72</v>
      </c>
      <c r="AB23" s="14">
        <v>0.67</v>
      </c>
      <c r="AC23" s="14">
        <v>0.71</v>
      </c>
      <c r="AD23" s="14">
        <v>0.74</v>
      </c>
      <c r="AE23" s="14">
        <v>0.75</v>
      </c>
      <c r="AF23" s="14">
        <v>0.69000000000000006</v>
      </c>
    </row>
    <row r="24" spans="1:32">
      <c r="A24" s="19"/>
      <c r="B24" s="11" t="s">
        <v>498</v>
      </c>
      <c r="C24" s="12">
        <v>5961</v>
      </c>
      <c r="D24" s="12">
        <v>271</v>
      </c>
      <c r="E24" s="12">
        <v>257</v>
      </c>
      <c r="F24" s="12">
        <v>311</v>
      </c>
      <c r="G24" s="12">
        <v>196</v>
      </c>
      <c r="H24" s="12">
        <v>293</v>
      </c>
      <c r="I24" s="12">
        <v>375</v>
      </c>
      <c r="J24" s="12">
        <v>82</v>
      </c>
      <c r="K24" s="12">
        <v>325</v>
      </c>
      <c r="L24" s="12">
        <v>146</v>
      </c>
      <c r="M24" s="12">
        <v>237</v>
      </c>
      <c r="N24" s="12">
        <v>305</v>
      </c>
      <c r="O24" s="12">
        <v>189</v>
      </c>
      <c r="P24" s="12">
        <v>218</v>
      </c>
      <c r="Q24" s="12">
        <v>178</v>
      </c>
      <c r="R24" s="12">
        <v>78</v>
      </c>
      <c r="S24" s="12">
        <v>342</v>
      </c>
      <c r="T24" s="12">
        <v>228</v>
      </c>
      <c r="U24" s="12">
        <v>108</v>
      </c>
      <c r="V24" s="12">
        <v>208</v>
      </c>
      <c r="W24" s="12">
        <v>153</v>
      </c>
      <c r="X24" s="12">
        <v>289</v>
      </c>
      <c r="Y24" s="12">
        <v>181</v>
      </c>
      <c r="Z24" s="12">
        <v>191</v>
      </c>
      <c r="AA24" s="12">
        <v>153</v>
      </c>
      <c r="AB24" s="12">
        <v>294</v>
      </c>
      <c r="AC24" s="12">
        <v>248</v>
      </c>
      <c r="AD24" s="12">
        <v>226</v>
      </c>
      <c r="AE24" s="12">
        <v>211</v>
      </c>
      <c r="AF24" s="12">
        <v>212</v>
      </c>
    </row>
    <row r="25" spans="1:32">
      <c r="A25" s="19"/>
      <c r="B25" s="13" t="s">
        <v>499</v>
      </c>
      <c r="C25" s="14">
        <v>0.23</v>
      </c>
      <c r="D25" s="14">
        <v>0.27</v>
      </c>
      <c r="E25" s="14">
        <v>0.25</v>
      </c>
      <c r="F25" s="14">
        <v>0.28999999999999998</v>
      </c>
      <c r="G25" s="14">
        <v>0.19</v>
      </c>
      <c r="H25" s="14">
        <v>0.24</v>
      </c>
      <c r="I25" s="14">
        <v>0.25</v>
      </c>
      <c r="J25" s="14">
        <v>0.28000000000000003</v>
      </c>
      <c r="K25" s="14">
        <v>0.32</v>
      </c>
      <c r="L25" s="14">
        <v>0.15</v>
      </c>
      <c r="M25" s="14">
        <v>0.23</v>
      </c>
      <c r="N25" s="14">
        <v>0.3</v>
      </c>
      <c r="O25" s="14">
        <v>0.19</v>
      </c>
      <c r="P25" s="14">
        <v>0.22</v>
      </c>
      <c r="Q25" s="14">
        <v>0.17</v>
      </c>
      <c r="R25" s="14">
        <v>0.15</v>
      </c>
      <c r="S25" s="14">
        <v>0.34</v>
      </c>
      <c r="T25" s="14">
        <v>0.22</v>
      </c>
      <c r="U25" s="14">
        <v>0.21</v>
      </c>
      <c r="V25" s="14">
        <v>0.2</v>
      </c>
      <c r="W25" s="14">
        <v>0.3</v>
      </c>
      <c r="X25" s="14">
        <v>0.28999999999999998</v>
      </c>
      <c r="Y25" s="14">
        <v>0.18</v>
      </c>
      <c r="Z25" s="14">
        <v>0.19</v>
      </c>
      <c r="AA25" s="14">
        <v>0.15</v>
      </c>
      <c r="AB25" s="14">
        <v>0.28000000000000003</v>
      </c>
      <c r="AC25" s="14">
        <v>0.25</v>
      </c>
      <c r="AD25" s="14">
        <v>0.22</v>
      </c>
      <c r="AE25" s="14">
        <v>0.21</v>
      </c>
      <c r="AF25" s="14">
        <v>0.21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789</v>
      </c>
      <c r="C3" s="17"/>
      <c r="D3" s="17"/>
      <c r="E3" s="17"/>
      <c r="F3" s="17"/>
      <c r="H3" s="17" t="s">
        <v>790</v>
      </c>
      <c r="I3" s="17"/>
      <c r="J3" s="17"/>
      <c r="K3" s="17"/>
      <c r="L3" s="17"/>
    </row>
    <row r="4" spans="1:32" ht="27" customHeight="1">
      <c r="B4" s="17" t="s">
        <v>791</v>
      </c>
      <c r="C4" s="17"/>
      <c r="D4" s="17"/>
      <c r="E4" s="17"/>
      <c r="F4" s="17"/>
      <c r="H4" s="17" t="s">
        <v>792</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6153</v>
      </c>
      <c r="D12" s="12">
        <v>191</v>
      </c>
      <c r="E12" s="12">
        <v>234</v>
      </c>
      <c r="F12" s="12">
        <v>183</v>
      </c>
      <c r="G12" s="12">
        <v>476</v>
      </c>
      <c r="H12" s="12">
        <v>215</v>
      </c>
      <c r="I12" s="12">
        <v>275</v>
      </c>
      <c r="J12" s="12">
        <v>61</v>
      </c>
      <c r="K12" s="12">
        <v>236</v>
      </c>
      <c r="L12" s="12">
        <v>276</v>
      </c>
      <c r="M12" s="12">
        <v>372</v>
      </c>
      <c r="N12" s="12">
        <v>251</v>
      </c>
      <c r="O12" s="12">
        <v>311</v>
      </c>
      <c r="P12" s="12">
        <v>218</v>
      </c>
      <c r="Q12" s="12">
        <v>229</v>
      </c>
      <c r="R12" s="12">
        <v>237</v>
      </c>
      <c r="S12" s="12">
        <v>172</v>
      </c>
      <c r="T12" s="12">
        <v>337</v>
      </c>
      <c r="U12" s="12">
        <v>114</v>
      </c>
      <c r="V12" s="12">
        <v>304</v>
      </c>
      <c r="W12" s="12">
        <v>98</v>
      </c>
      <c r="X12" s="12">
        <v>97</v>
      </c>
      <c r="Y12" s="12">
        <v>273</v>
      </c>
      <c r="Z12" s="12">
        <v>238</v>
      </c>
      <c r="AA12" s="12">
        <v>116</v>
      </c>
      <c r="AB12" s="12">
        <v>169</v>
      </c>
      <c r="AC12" s="12">
        <v>255</v>
      </c>
      <c r="AD12" s="12">
        <v>213</v>
      </c>
      <c r="AE12" s="12">
        <v>355</v>
      </c>
      <c r="AF12" s="12">
        <v>277</v>
      </c>
    </row>
    <row r="13" spans="1:32">
      <c r="A13" s="19"/>
      <c r="B13" s="13" t="s">
        <v>707</v>
      </c>
      <c r="C13" s="14">
        <v>0.23</v>
      </c>
      <c r="D13" s="14">
        <v>0.19</v>
      </c>
      <c r="E13" s="14">
        <v>0.22</v>
      </c>
      <c r="F13" s="14">
        <v>0.17</v>
      </c>
      <c r="G13" s="14">
        <v>0.47</v>
      </c>
      <c r="H13" s="14">
        <v>0.18</v>
      </c>
      <c r="I13" s="14">
        <v>0.18</v>
      </c>
      <c r="J13" s="14">
        <v>0.2</v>
      </c>
      <c r="K13" s="14">
        <v>0.24</v>
      </c>
      <c r="L13" s="14">
        <v>0.27</v>
      </c>
      <c r="M13" s="14">
        <v>0.37</v>
      </c>
      <c r="N13" s="14">
        <v>0.25</v>
      </c>
      <c r="O13" s="14">
        <v>0.31</v>
      </c>
      <c r="P13" s="14">
        <v>0.22</v>
      </c>
      <c r="Q13" s="14">
        <v>0.22</v>
      </c>
      <c r="R13" s="14">
        <v>0.47</v>
      </c>
      <c r="S13" s="14">
        <v>0.17</v>
      </c>
      <c r="T13" s="14">
        <v>0.33</v>
      </c>
      <c r="U13" s="14">
        <v>0.22</v>
      </c>
      <c r="V13" s="14">
        <v>0.3</v>
      </c>
      <c r="W13" s="14">
        <v>0.2</v>
      </c>
      <c r="X13" s="14">
        <v>0.1</v>
      </c>
      <c r="Y13" s="14">
        <v>0.27</v>
      </c>
      <c r="Z13" s="14">
        <v>0.24</v>
      </c>
      <c r="AA13" s="14">
        <v>0.11</v>
      </c>
      <c r="AB13" s="14">
        <v>0.16</v>
      </c>
      <c r="AC13" s="14">
        <v>0.25</v>
      </c>
      <c r="AD13" s="14">
        <v>0.21</v>
      </c>
      <c r="AE13" s="14">
        <v>0.36</v>
      </c>
      <c r="AF13" s="14">
        <v>0.27</v>
      </c>
    </row>
    <row r="14" spans="1:32">
      <c r="A14" s="19"/>
      <c r="B14" s="11" t="s">
        <v>490</v>
      </c>
      <c r="C14" s="12">
        <v>12468</v>
      </c>
      <c r="D14" s="12">
        <v>500</v>
      </c>
      <c r="E14" s="12">
        <v>471</v>
      </c>
      <c r="F14" s="12">
        <v>565</v>
      </c>
      <c r="G14" s="12">
        <v>403</v>
      </c>
      <c r="H14" s="12">
        <v>554</v>
      </c>
      <c r="I14" s="12">
        <v>677</v>
      </c>
      <c r="J14" s="12">
        <v>122</v>
      </c>
      <c r="K14" s="12">
        <v>520</v>
      </c>
      <c r="L14" s="12">
        <v>516</v>
      </c>
      <c r="M14" s="12">
        <v>500</v>
      </c>
      <c r="N14" s="12">
        <v>315</v>
      </c>
      <c r="O14" s="12">
        <v>466</v>
      </c>
      <c r="P14" s="12">
        <v>562</v>
      </c>
      <c r="Q14" s="12">
        <v>566</v>
      </c>
      <c r="R14" s="12">
        <v>198</v>
      </c>
      <c r="S14" s="12">
        <v>470</v>
      </c>
      <c r="T14" s="12">
        <v>439</v>
      </c>
      <c r="U14" s="12">
        <v>284</v>
      </c>
      <c r="V14" s="12">
        <v>518</v>
      </c>
      <c r="W14" s="12">
        <v>233</v>
      </c>
      <c r="X14" s="12">
        <v>426</v>
      </c>
      <c r="Y14" s="12">
        <v>386</v>
      </c>
      <c r="Z14" s="12">
        <v>588</v>
      </c>
      <c r="AA14" s="12">
        <v>626</v>
      </c>
      <c r="AB14" s="12">
        <v>490</v>
      </c>
      <c r="AC14" s="12">
        <v>437</v>
      </c>
      <c r="AD14" s="12">
        <v>546</v>
      </c>
      <c r="AE14" s="12">
        <v>503</v>
      </c>
      <c r="AF14" s="12">
        <v>538</v>
      </c>
    </row>
    <row r="15" spans="1:32">
      <c r="A15" s="19"/>
      <c r="B15" s="13" t="s">
        <v>491</v>
      </c>
      <c r="C15" s="14">
        <v>0.47</v>
      </c>
      <c r="D15" s="14">
        <v>0.49</v>
      </c>
      <c r="E15" s="14">
        <v>0.45</v>
      </c>
      <c r="F15" s="14">
        <v>0.53</v>
      </c>
      <c r="G15" s="14">
        <v>0.39</v>
      </c>
      <c r="H15" s="14">
        <v>0.45</v>
      </c>
      <c r="I15" s="14">
        <v>0.44</v>
      </c>
      <c r="J15" s="14">
        <v>0.41</v>
      </c>
      <c r="K15" s="14">
        <v>0.52</v>
      </c>
      <c r="L15" s="14">
        <v>0.51</v>
      </c>
      <c r="M15" s="14">
        <v>0.5</v>
      </c>
      <c r="N15" s="14">
        <v>0.31</v>
      </c>
      <c r="O15" s="14">
        <v>0.46</v>
      </c>
      <c r="P15" s="14">
        <v>0.56000000000000005</v>
      </c>
      <c r="Q15" s="14">
        <v>0.55000000000000004</v>
      </c>
      <c r="R15" s="14">
        <v>0.4</v>
      </c>
      <c r="S15" s="14">
        <v>0.47</v>
      </c>
      <c r="T15" s="14">
        <v>0.43</v>
      </c>
      <c r="U15" s="14">
        <v>0.56000000000000005</v>
      </c>
      <c r="V15" s="14">
        <v>0.51</v>
      </c>
      <c r="W15" s="14">
        <v>0.46</v>
      </c>
      <c r="X15" s="14">
        <v>0.42</v>
      </c>
      <c r="Y15" s="14">
        <v>0.38</v>
      </c>
      <c r="Z15" s="14">
        <v>0.57999999999999996</v>
      </c>
      <c r="AA15" s="14">
        <v>0.6</v>
      </c>
      <c r="AB15" s="14">
        <v>0.47</v>
      </c>
      <c r="AC15" s="14">
        <v>0.44</v>
      </c>
      <c r="AD15" s="14">
        <v>0.54</v>
      </c>
      <c r="AE15" s="14">
        <v>0.5</v>
      </c>
      <c r="AF15" s="14">
        <v>0.52</v>
      </c>
    </row>
    <row r="16" spans="1:32">
      <c r="A16" s="19"/>
      <c r="B16" s="11" t="s">
        <v>492</v>
      </c>
      <c r="C16" s="12">
        <v>4808</v>
      </c>
      <c r="D16" s="12">
        <v>265</v>
      </c>
      <c r="E16" s="12">
        <v>171</v>
      </c>
      <c r="F16" s="12">
        <v>234</v>
      </c>
      <c r="G16" s="12">
        <v>60</v>
      </c>
      <c r="H16" s="12">
        <v>259</v>
      </c>
      <c r="I16" s="12">
        <v>337</v>
      </c>
      <c r="J16" s="12">
        <v>78</v>
      </c>
      <c r="K16" s="12">
        <v>143</v>
      </c>
      <c r="L16" s="12">
        <v>128</v>
      </c>
      <c r="M16" s="12">
        <v>88</v>
      </c>
      <c r="N16" s="12">
        <v>242</v>
      </c>
      <c r="O16" s="12">
        <v>113</v>
      </c>
      <c r="P16" s="12">
        <v>169</v>
      </c>
      <c r="Q16" s="12">
        <v>181</v>
      </c>
      <c r="R16" s="12">
        <v>36</v>
      </c>
      <c r="S16" s="12">
        <v>223</v>
      </c>
      <c r="T16" s="12">
        <v>177</v>
      </c>
      <c r="U16" s="12">
        <v>71</v>
      </c>
      <c r="V16" s="12">
        <v>157</v>
      </c>
      <c r="W16" s="12">
        <v>130</v>
      </c>
      <c r="X16" s="12">
        <v>320</v>
      </c>
      <c r="Y16" s="12">
        <v>207</v>
      </c>
      <c r="Z16" s="12">
        <v>144</v>
      </c>
      <c r="AA16" s="12">
        <v>110</v>
      </c>
      <c r="AB16" s="12">
        <v>243</v>
      </c>
      <c r="AC16" s="12">
        <v>201</v>
      </c>
      <c r="AD16" s="12">
        <v>182</v>
      </c>
      <c r="AE16" s="12">
        <v>82</v>
      </c>
      <c r="AF16" s="12">
        <v>117</v>
      </c>
    </row>
    <row r="17" spans="1:32">
      <c r="A17" s="19"/>
      <c r="B17" s="13" t="s">
        <v>493</v>
      </c>
      <c r="C17" s="14">
        <v>0.18</v>
      </c>
      <c r="D17" s="14">
        <v>0.26</v>
      </c>
      <c r="E17" s="14">
        <v>0.17</v>
      </c>
      <c r="F17" s="14">
        <v>0.22</v>
      </c>
      <c r="G17" s="14">
        <v>0.06</v>
      </c>
      <c r="H17" s="14">
        <v>0.21</v>
      </c>
      <c r="I17" s="14">
        <v>0.22</v>
      </c>
      <c r="J17" s="14">
        <v>0.26</v>
      </c>
      <c r="K17" s="14">
        <v>0.14000000000000001</v>
      </c>
      <c r="L17" s="14">
        <v>0.13</v>
      </c>
      <c r="M17" s="14">
        <v>0.09</v>
      </c>
      <c r="N17" s="14">
        <v>0.24</v>
      </c>
      <c r="O17" s="14">
        <v>0.11</v>
      </c>
      <c r="P17" s="14">
        <v>0.17</v>
      </c>
      <c r="Q17" s="14">
        <v>0.18</v>
      </c>
      <c r="R17" s="14">
        <v>7.0000000000000007E-2</v>
      </c>
      <c r="S17" s="14">
        <v>0.22</v>
      </c>
      <c r="T17" s="14">
        <v>0.17</v>
      </c>
      <c r="U17" s="14">
        <v>0.14000000000000001</v>
      </c>
      <c r="V17" s="14">
        <v>0.15</v>
      </c>
      <c r="W17" s="14">
        <v>0.26</v>
      </c>
      <c r="X17" s="14">
        <v>0.32</v>
      </c>
      <c r="Y17" s="14">
        <v>0.21</v>
      </c>
      <c r="Z17" s="14">
        <v>0.14000000000000001</v>
      </c>
      <c r="AA17" s="14">
        <v>0.11</v>
      </c>
      <c r="AB17" s="14">
        <v>0.23</v>
      </c>
      <c r="AC17" s="14">
        <v>0.2</v>
      </c>
      <c r="AD17" s="14">
        <v>0.18</v>
      </c>
      <c r="AE17" s="14">
        <v>0.08</v>
      </c>
      <c r="AF17" s="14">
        <v>0.11</v>
      </c>
    </row>
    <row r="18" spans="1:32">
      <c r="A18" s="19"/>
      <c r="B18" s="11" t="s">
        <v>494</v>
      </c>
      <c r="C18" s="12">
        <v>1076</v>
      </c>
      <c r="D18" s="12">
        <v>34</v>
      </c>
      <c r="E18" s="12">
        <v>42</v>
      </c>
      <c r="F18" s="12">
        <v>32</v>
      </c>
      <c r="G18" s="12">
        <v>18</v>
      </c>
      <c r="H18" s="12">
        <v>50</v>
      </c>
      <c r="I18" s="12">
        <v>73</v>
      </c>
      <c r="J18" s="12">
        <v>23</v>
      </c>
      <c r="K18" s="12">
        <v>24</v>
      </c>
      <c r="L18" s="12">
        <v>20</v>
      </c>
      <c r="M18" s="12">
        <v>21</v>
      </c>
      <c r="N18" s="12">
        <v>114</v>
      </c>
      <c r="O18" s="12">
        <v>18</v>
      </c>
      <c r="P18" s="12">
        <v>29</v>
      </c>
      <c r="Q18" s="12">
        <v>13</v>
      </c>
      <c r="R18" s="12">
        <v>9</v>
      </c>
      <c r="S18" s="12">
        <v>43</v>
      </c>
      <c r="T18" s="12">
        <v>22</v>
      </c>
      <c r="U18" s="12">
        <v>18</v>
      </c>
      <c r="V18" s="12">
        <v>22</v>
      </c>
      <c r="W18" s="12">
        <v>32</v>
      </c>
      <c r="X18" s="12">
        <v>61</v>
      </c>
      <c r="Y18" s="12">
        <v>66</v>
      </c>
      <c r="Z18" s="12">
        <v>24</v>
      </c>
      <c r="AA18" s="12">
        <v>15</v>
      </c>
      <c r="AB18" s="12">
        <v>79</v>
      </c>
      <c r="AC18" s="12">
        <v>70</v>
      </c>
      <c r="AD18" s="12">
        <v>15</v>
      </c>
      <c r="AE18" s="12">
        <v>24</v>
      </c>
      <c r="AF18" s="12">
        <v>28</v>
      </c>
    </row>
    <row r="19" spans="1:32">
      <c r="A19" s="19"/>
      <c r="B19" s="13" t="s">
        <v>708</v>
      </c>
      <c r="C19" s="14">
        <v>0.04</v>
      </c>
      <c r="D19" s="14">
        <v>0.03</v>
      </c>
      <c r="E19" s="14">
        <v>0.04</v>
      </c>
      <c r="F19" s="14">
        <v>0.03</v>
      </c>
      <c r="G19" s="14">
        <v>0.02</v>
      </c>
      <c r="H19" s="14">
        <v>0.04</v>
      </c>
      <c r="I19" s="14">
        <v>0.05</v>
      </c>
      <c r="J19" s="14">
        <v>0.08</v>
      </c>
      <c r="K19" s="14">
        <v>0.02</v>
      </c>
      <c r="L19" s="14">
        <v>0.02</v>
      </c>
      <c r="M19" s="14">
        <v>0.02</v>
      </c>
      <c r="N19" s="14">
        <v>0.11</v>
      </c>
      <c r="O19" s="14">
        <v>0.02</v>
      </c>
      <c r="P19" s="14">
        <v>0.03</v>
      </c>
      <c r="Q19" s="14">
        <v>0.01</v>
      </c>
      <c r="R19" s="14">
        <v>0.02</v>
      </c>
      <c r="S19" s="14">
        <v>0.04</v>
      </c>
      <c r="T19" s="14">
        <v>0.02</v>
      </c>
      <c r="U19" s="14">
        <v>0.04</v>
      </c>
      <c r="V19" s="14">
        <v>0.02</v>
      </c>
      <c r="W19" s="14">
        <v>0.06</v>
      </c>
      <c r="X19" s="14">
        <v>0.06</v>
      </c>
      <c r="Y19" s="14">
        <v>7.0000000000000007E-2</v>
      </c>
      <c r="Z19" s="14">
        <v>0.02</v>
      </c>
      <c r="AA19" s="14">
        <v>0.02</v>
      </c>
      <c r="AB19" s="14">
        <v>0.08</v>
      </c>
      <c r="AC19" s="14">
        <v>7.0000000000000007E-2</v>
      </c>
      <c r="AD19" s="14">
        <v>0.02</v>
      </c>
      <c r="AE19" s="14">
        <v>0.02</v>
      </c>
      <c r="AF19" s="14">
        <v>0.03</v>
      </c>
    </row>
    <row r="20" spans="1:32">
      <c r="A20" s="19"/>
      <c r="B20" s="11" t="s">
        <v>386</v>
      </c>
      <c r="C20" s="12">
        <v>1948</v>
      </c>
      <c r="D20" s="12">
        <v>32</v>
      </c>
      <c r="E20" s="12">
        <v>129</v>
      </c>
      <c r="F20" s="12">
        <v>50</v>
      </c>
      <c r="G20" s="12">
        <v>58</v>
      </c>
      <c r="H20" s="12">
        <v>152</v>
      </c>
      <c r="I20" s="12">
        <v>166</v>
      </c>
      <c r="J20" s="12">
        <v>14</v>
      </c>
      <c r="K20" s="12">
        <v>82</v>
      </c>
      <c r="L20" s="12">
        <v>65</v>
      </c>
      <c r="M20" s="12">
        <v>26</v>
      </c>
      <c r="N20" s="12">
        <v>88</v>
      </c>
      <c r="O20" s="12">
        <v>96</v>
      </c>
      <c r="P20" s="12">
        <v>25</v>
      </c>
      <c r="Q20" s="12">
        <v>41</v>
      </c>
      <c r="R20" s="12">
        <v>21</v>
      </c>
      <c r="S20" s="12">
        <v>97</v>
      </c>
      <c r="T20" s="12">
        <v>48</v>
      </c>
      <c r="U20" s="12">
        <v>21</v>
      </c>
      <c r="V20" s="12">
        <v>24</v>
      </c>
      <c r="W20" s="12">
        <v>10</v>
      </c>
      <c r="X20" s="12">
        <v>106</v>
      </c>
      <c r="Y20" s="12">
        <v>70</v>
      </c>
      <c r="Z20" s="12">
        <v>22</v>
      </c>
      <c r="AA20" s="12">
        <v>170</v>
      </c>
      <c r="AB20" s="12">
        <v>59</v>
      </c>
      <c r="AC20" s="12">
        <v>42</v>
      </c>
      <c r="AD20" s="12">
        <v>47</v>
      </c>
      <c r="AE20" s="12">
        <v>37</v>
      </c>
      <c r="AF20" s="12">
        <v>71</v>
      </c>
    </row>
    <row r="21" spans="1:32">
      <c r="A21" s="19"/>
      <c r="B21" s="13" t="s">
        <v>399</v>
      </c>
      <c r="C21" s="14">
        <v>0.08</v>
      </c>
      <c r="D21" s="14">
        <v>0.03</v>
      </c>
      <c r="E21" s="14">
        <v>0.12</v>
      </c>
      <c r="F21" s="14">
        <v>0.05</v>
      </c>
      <c r="G21" s="14">
        <v>0.06</v>
      </c>
      <c r="H21" s="14">
        <v>0.12</v>
      </c>
      <c r="I21" s="14">
        <v>0.11</v>
      </c>
      <c r="J21" s="14">
        <v>0.05</v>
      </c>
      <c r="K21" s="14">
        <v>0.08</v>
      </c>
      <c r="L21" s="14">
        <v>7.0000000000000007E-2</v>
      </c>
      <c r="M21" s="14">
        <v>0.02</v>
      </c>
      <c r="N21" s="14">
        <v>0.09</v>
      </c>
      <c r="O21" s="14">
        <v>0.1</v>
      </c>
      <c r="P21" s="14">
        <v>0.02</v>
      </c>
      <c r="Q21" s="14">
        <v>0.04</v>
      </c>
      <c r="R21" s="14">
        <v>0.04</v>
      </c>
      <c r="S21" s="14">
        <v>0.1</v>
      </c>
      <c r="T21" s="14">
        <v>0.05</v>
      </c>
      <c r="U21" s="14">
        <v>0.04</v>
      </c>
      <c r="V21" s="14">
        <v>0.02</v>
      </c>
      <c r="W21" s="14">
        <v>0.02</v>
      </c>
      <c r="X21" s="14">
        <v>0.1</v>
      </c>
      <c r="Y21" s="14">
        <v>7.0000000000000007E-2</v>
      </c>
      <c r="Z21" s="14">
        <v>0.02</v>
      </c>
      <c r="AA21" s="14">
        <v>0.16</v>
      </c>
      <c r="AB21" s="14">
        <v>0.06</v>
      </c>
      <c r="AC21" s="14">
        <v>0.04</v>
      </c>
      <c r="AD21" s="14">
        <v>0.05</v>
      </c>
      <c r="AE21" s="14">
        <v>0.04</v>
      </c>
      <c r="AF21" s="14">
        <v>7.0000000000000007E-2</v>
      </c>
    </row>
    <row r="22" spans="1:32">
      <c r="A22" s="19"/>
      <c r="B22" s="11" t="s">
        <v>496</v>
      </c>
      <c r="C22" s="12">
        <v>18621</v>
      </c>
      <c r="D22" s="12">
        <v>691</v>
      </c>
      <c r="E22" s="12">
        <v>705</v>
      </c>
      <c r="F22" s="12">
        <v>748</v>
      </c>
      <c r="G22" s="12">
        <v>879</v>
      </c>
      <c r="H22" s="12">
        <v>769</v>
      </c>
      <c r="I22" s="12">
        <v>952</v>
      </c>
      <c r="J22" s="12">
        <v>183</v>
      </c>
      <c r="K22" s="12">
        <v>756</v>
      </c>
      <c r="L22" s="12">
        <v>792</v>
      </c>
      <c r="M22" s="12">
        <v>872</v>
      </c>
      <c r="N22" s="12">
        <v>566</v>
      </c>
      <c r="O22" s="12">
        <v>777</v>
      </c>
      <c r="P22" s="12">
        <v>780</v>
      </c>
      <c r="Q22" s="12">
        <v>795</v>
      </c>
      <c r="R22" s="12">
        <v>435</v>
      </c>
      <c r="S22" s="12">
        <v>642</v>
      </c>
      <c r="T22" s="12">
        <v>776</v>
      </c>
      <c r="U22" s="12">
        <v>398</v>
      </c>
      <c r="V22" s="12">
        <v>822</v>
      </c>
      <c r="W22" s="12">
        <v>331</v>
      </c>
      <c r="X22" s="12">
        <v>523</v>
      </c>
      <c r="Y22" s="12">
        <v>659</v>
      </c>
      <c r="Z22" s="12">
        <v>826</v>
      </c>
      <c r="AA22" s="12">
        <v>742</v>
      </c>
      <c r="AB22" s="12">
        <v>659</v>
      </c>
      <c r="AC22" s="12">
        <v>692</v>
      </c>
      <c r="AD22" s="12">
        <v>759</v>
      </c>
      <c r="AE22" s="12">
        <v>858</v>
      </c>
      <c r="AF22" s="12">
        <v>815</v>
      </c>
    </row>
    <row r="23" spans="1:32">
      <c r="A23" s="19"/>
      <c r="B23" s="13" t="s">
        <v>497</v>
      </c>
      <c r="C23" s="14">
        <v>0.70000000000000007</v>
      </c>
      <c r="D23" s="14">
        <v>0.68</v>
      </c>
      <c r="E23" s="14">
        <v>0.67</v>
      </c>
      <c r="F23" s="14">
        <v>0.70000000000000007</v>
      </c>
      <c r="G23" s="14">
        <v>0.86</v>
      </c>
      <c r="H23" s="14">
        <v>0.63</v>
      </c>
      <c r="I23" s="14">
        <v>0.62</v>
      </c>
      <c r="J23" s="14">
        <v>0.61</v>
      </c>
      <c r="K23" s="14">
        <v>0.76</v>
      </c>
      <c r="L23" s="14">
        <v>0.78</v>
      </c>
      <c r="M23" s="14">
        <v>0.87</v>
      </c>
      <c r="N23" s="14">
        <v>0.56000000000000005</v>
      </c>
      <c r="O23" s="14">
        <v>0.77</v>
      </c>
      <c r="P23" s="14">
        <v>0.78</v>
      </c>
      <c r="Q23" s="14">
        <v>0.77</v>
      </c>
      <c r="R23" s="14">
        <v>0.87</v>
      </c>
      <c r="S23" s="14">
        <v>0.64</v>
      </c>
      <c r="T23" s="14">
        <v>0.76</v>
      </c>
      <c r="U23" s="14">
        <v>0.78</v>
      </c>
      <c r="V23" s="14">
        <v>0.81</v>
      </c>
      <c r="W23" s="14">
        <v>0.66</v>
      </c>
      <c r="X23" s="14">
        <v>0.52</v>
      </c>
      <c r="Y23" s="14">
        <v>0.65</v>
      </c>
      <c r="Z23" s="14">
        <v>0.82000000000000006</v>
      </c>
      <c r="AA23" s="14">
        <v>0.71</v>
      </c>
      <c r="AB23" s="14">
        <v>0.63</v>
      </c>
      <c r="AC23" s="14">
        <v>0.69000000000000006</v>
      </c>
      <c r="AD23" s="14">
        <v>0.75</v>
      </c>
      <c r="AE23" s="14">
        <v>0.86</v>
      </c>
      <c r="AF23" s="14">
        <v>0.79</v>
      </c>
    </row>
    <row r="24" spans="1:32">
      <c r="A24" s="19"/>
      <c r="B24" s="11" t="s">
        <v>498</v>
      </c>
      <c r="C24" s="12">
        <v>5884</v>
      </c>
      <c r="D24" s="12">
        <v>299</v>
      </c>
      <c r="E24" s="12">
        <v>213</v>
      </c>
      <c r="F24" s="12">
        <v>266</v>
      </c>
      <c r="G24" s="12">
        <v>78</v>
      </c>
      <c r="H24" s="12">
        <v>309</v>
      </c>
      <c r="I24" s="12">
        <v>410</v>
      </c>
      <c r="J24" s="12">
        <v>101</v>
      </c>
      <c r="K24" s="12">
        <v>167</v>
      </c>
      <c r="L24" s="12">
        <v>148</v>
      </c>
      <c r="M24" s="12">
        <v>109</v>
      </c>
      <c r="N24" s="12">
        <v>356</v>
      </c>
      <c r="O24" s="12">
        <v>131</v>
      </c>
      <c r="P24" s="12">
        <v>198</v>
      </c>
      <c r="Q24" s="12">
        <v>194</v>
      </c>
      <c r="R24" s="12">
        <v>45</v>
      </c>
      <c r="S24" s="12">
        <v>266</v>
      </c>
      <c r="T24" s="12">
        <v>199</v>
      </c>
      <c r="U24" s="12">
        <v>89</v>
      </c>
      <c r="V24" s="12">
        <v>179</v>
      </c>
      <c r="W24" s="12">
        <v>162</v>
      </c>
      <c r="X24" s="12">
        <v>381</v>
      </c>
      <c r="Y24" s="12">
        <v>273</v>
      </c>
      <c r="Z24" s="12">
        <v>168</v>
      </c>
      <c r="AA24" s="12">
        <v>125</v>
      </c>
      <c r="AB24" s="12">
        <v>322</v>
      </c>
      <c r="AC24" s="12">
        <v>271</v>
      </c>
      <c r="AD24" s="12">
        <v>197</v>
      </c>
      <c r="AE24" s="12">
        <v>106</v>
      </c>
      <c r="AF24" s="12">
        <v>145</v>
      </c>
    </row>
    <row r="25" spans="1:32">
      <c r="A25" s="19"/>
      <c r="B25" s="13" t="s">
        <v>499</v>
      </c>
      <c r="C25" s="14">
        <v>0.22</v>
      </c>
      <c r="D25" s="14">
        <v>0.28999999999999998</v>
      </c>
      <c r="E25" s="14">
        <v>0.21</v>
      </c>
      <c r="F25" s="14">
        <v>0.25</v>
      </c>
      <c r="G25" s="14">
        <v>0.08</v>
      </c>
      <c r="H25" s="14">
        <v>0.25</v>
      </c>
      <c r="I25" s="14">
        <v>0.27</v>
      </c>
      <c r="J25" s="14">
        <v>0.34</v>
      </c>
      <c r="K25" s="14">
        <v>0.16</v>
      </c>
      <c r="L25" s="14">
        <v>0.15</v>
      </c>
      <c r="M25" s="14">
        <v>0.11</v>
      </c>
      <c r="N25" s="14">
        <v>0.35</v>
      </c>
      <c r="O25" s="14">
        <v>0.13</v>
      </c>
      <c r="P25" s="14">
        <v>0.2</v>
      </c>
      <c r="Q25" s="14">
        <v>0.19</v>
      </c>
      <c r="R25" s="14">
        <v>0.09</v>
      </c>
      <c r="S25" s="14">
        <v>0.26</v>
      </c>
      <c r="T25" s="14">
        <v>0.19</v>
      </c>
      <c r="U25" s="14">
        <v>0.18</v>
      </c>
      <c r="V25" s="14">
        <v>0.17</v>
      </c>
      <c r="W25" s="14">
        <v>0.32</v>
      </c>
      <c r="X25" s="14">
        <v>0.38</v>
      </c>
      <c r="Y25" s="14">
        <v>0.28000000000000003</v>
      </c>
      <c r="Z25" s="14">
        <v>0.16</v>
      </c>
      <c r="AA25" s="14">
        <v>0.13</v>
      </c>
      <c r="AB25" s="14">
        <v>0.31</v>
      </c>
      <c r="AC25" s="14">
        <v>0.27</v>
      </c>
      <c r="AD25" s="14">
        <v>0.2</v>
      </c>
      <c r="AE25" s="14">
        <v>0.1</v>
      </c>
      <c r="AF25" s="14">
        <v>0.14000000000000001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793</v>
      </c>
      <c r="C3" s="17"/>
      <c r="D3" s="17"/>
      <c r="E3" s="17"/>
      <c r="F3" s="17"/>
      <c r="H3" s="17" t="s">
        <v>794</v>
      </c>
      <c r="I3" s="17"/>
      <c r="J3" s="17"/>
      <c r="K3" s="17"/>
      <c r="L3" s="17"/>
    </row>
    <row r="4" spans="1:32" ht="27" customHeight="1">
      <c r="B4" s="17" t="s">
        <v>795</v>
      </c>
      <c r="C4" s="17"/>
      <c r="D4" s="17"/>
      <c r="E4" s="17"/>
      <c r="F4" s="17"/>
      <c r="H4" s="17" t="s">
        <v>796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3394</v>
      </c>
      <c r="D12" s="12">
        <v>118</v>
      </c>
      <c r="E12" s="12">
        <v>154</v>
      </c>
      <c r="F12" s="12">
        <v>100</v>
      </c>
      <c r="G12" s="12">
        <v>166</v>
      </c>
      <c r="H12" s="12">
        <v>101</v>
      </c>
      <c r="I12" s="12">
        <v>136</v>
      </c>
      <c r="J12" s="12">
        <v>35</v>
      </c>
      <c r="K12" s="12">
        <v>84</v>
      </c>
      <c r="L12" s="12">
        <v>195</v>
      </c>
      <c r="M12" s="12">
        <v>133</v>
      </c>
      <c r="N12" s="12">
        <v>128</v>
      </c>
      <c r="O12" s="12">
        <v>145</v>
      </c>
      <c r="P12" s="12">
        <v>143</v>
      </c>
      <c r="Q12" s="12">
        <v>178</v>
      </c>
      <c r="R12" s="12">
        <v>78</v>
      </c>
      <c r="S12" s="12">
        <v>98</v>
      </c>
      <c r="T12" s="12">
        <v>148</v>
      </c>
      <c r="U12" s="12">
        <v>47</v>
      </c>
      <c r="V12" s="12">
        <v>164</v>
      </c>
      <c r="W12" s="12">
        <v>76</v>
      </c>
      <c r="X12" s="12">
        <v>98</v>
      </c>
      <c r="Y12" s="12">
        <v>201</v>
      </c>
      <c r="Z12" s="12">
        <v>130</v>
      </c>
      <c r="AA12" s="12">
        <v>103</v>
      </c>
      <c r="AB12" s="12">
        <v>136</v>
      </c>
      <c r="AC12" s="12">
        <v>143</v>
      </c>
      <c r="AD12" s="12">
        <v>175</v>
      </c>
      <c r="AE12" s="12">
        <v>86</v>
      </c>
      <c r="AF12" s="12">
        <v>60</v>
      </c>
    </row>
    <row r="13" spans="1:32">
      <c r="A13" s="19"/>
      <c r="B13" s="13" t="s">
        <v>707</v>
      </c>
      <c r="C13" s="14">
        <v>0.13</v>
      </c>
      <c r="D13" s="14">
        <v>0.12</v>
      </c>
      <c r="E13" s="14">
        <v>0.15</v>
      </c>
      <c r="F13" s="14">
        <v>0.09</v>
      </c>
      <c r="G13" s="14">
        <v>0.16</v>
      </c>
      <c r="H13" s="14">
        <v>0.08</v>
      </c>
      <c r="I13" s="14">
        <v>0.09</v>
      </c>
      <c r="J13" s="14">
        <v>0.12</v>
      </c>
      <c r="K13" s="14">
        <v>0.08</v>
      </c>
      <c r="L13" s="14">
        <v>0.19</v>
      </c>
      <c r="M13" s="14">
        <v>0.13</v>
      </c>
      <c r="N13" s="14">
        <v>0.13</v>
      </c>
      <c r="O13" s="14">
        <v>0.14000000000000001</v>
      </c>
      <c r="P13" s="14">
        <v>0.14000000000000001</v>
      </c>
      <c r="Q13" s="14">
        <v>0.17</v>
      </c>
      <c r="R13" s="14">
        <v>0.15</v>
      </c>
      <c r="S13" s="14">
        <v>0.1</v>
      </c>
      <c r="T13" s="14">
        <v>0.14000000000000001</v>
      </c>
      <c r="U13" s="14">
        <v>0.09</v>
      </c>
      <c r="V13" s="14">
        <v>0.16</v>
      </c>
      <c r="W13" s="14">
        <v>0.15</v>
      </c>
      <c r="X13" s="14">
        <v>0.1</v>
      </c>
      <c r="Y13" s="14">
        <v>0.2</v>
      </c>
      <c r="Z13" s="14">
        <v>0.13</v>
      </c>
      <c r="AA13" s="14">
        <v>0.1</v>
      </c>
      <c r="AB13" s="14">
        <v>0.13</v>
      </c>
      <c r="AC13" s="14">
        <v>0.14000000000000001</v>
      </c>
      <c r="AD13" s="14">
        <v>0.17</v>
      </c>
      <c r="AE13" s="14">
        <v>0.09</v>
      </c>
      <c r="AF13" s="14">
        <v>0.06</v>
      </c>
    </row>
    <row r="14" spans="1:32">
      <c r="A14" s="19"/>
      <c r="B14" s="11" t="s">
        <v>490</v>
      </c>
      <c r="C14" s="12">
        <v>11254</v>
      </c>
      <c r="D14" s="12">
        <v>500</v>
      </c>
      <c r="E14" s="12">
        <v>417</v>
      </c>
      <c r="F14" s="12">
        <v>466</v>
      </c>
      <c r="G14" s="12">
        <v>376</v>
      </c>
      <c r="H14" s="12">
        <v>431</v>
      </c>
      <c r="I14" s="12">
        <v>541</v>
      </c>
      <c r="J14" s="12">
        <v>110</v>
      </c>
      <c r="K14" s="12">
        <v>309</v>
      </c>
      <c r="L14" s="12">
        <v>396</v>
      </c>
      <c r="M14" s="12">
        <v>460</v>
      </c>
      <c r="N14" s="12">
        <v>283</v>
      </c>
      <c r="O14" s="12">
        <v>442</v>
      </c>
      <c r="P14" s="12">
        <v>530</v>
      </c>
      <c r="Q14" s="12">
        <v>584</v>
      </c>
      <c r="R14" s="12">
        <v>250</v>
      </c>
      <c r="S14" s="12">
        <v>325</v>
      </c>
      <c r="T14" s="12">
        <v>377</v>
      </c>
      <c r="U14" s="12">
        <v>235</v>
      </c>
      <c r="V14" s="12">
        <v>494</v>
      </c>
      <c r="W14" s="12">
        <v>223</v>
      </c>
      <c r="X14" s="12">
        <v>373</v>
      </c>
      <c r="Y14" s="12">
        <v>336</v>
      </c>
      <c r="Z14" s="12">
        <v>562</v>
      </c>
      <c r="AA14" s="12">
        <v>461</v>
      </c>
      <c r="AB14" s="12">
        <v>502</v>
      </c>
      <c r="AC14" s="12">
        <v>392</v>
      </c>
      <c r="AD14" s="12">
        <v>539</v>
      </c>
      <c r="AE14" s="12">
        <v>380</v>
      </c>
      <c r="AF14" s="12">
        <v>260</v>
      </c>
    </row>
    <row r="15" spans="1:32">
      <c r="A15" s="19"/>
      <c r="B15" s="13" t="s">
        <v>491</v>
      </c>
      <c r="C15" s="14">
        <v>0.42</v>
      </c>
      <c r="D15" s="14">
        <v>0.49</v>
      </c>
      <c r="E15" s="14">
        <v>0.4</v>
      </c>
      <c r="F15" s="14">
        <v>0.44</v>
      </c>
      <c r="G15" s="14">
        <v>0.37</v>
      </c>
      <c r="H15" s="14">
        <v>0.35</v>
      </c>
      <c r="I15" s="14">
        <v>0.35</v>
      </c>
      <c r="J15" s="14">
        <v>0.37</v>
      </c>
      <c r="K15" s="14">
        <v>0.31</v>
      </c>
      <c r="L15" s="14">
        <v>0.39</v>
      </c>
      <c r="M15" s="14">
        <v>0.46</v>
      </c>
      <c r="N15" s="14">
        <v>0.28000000000000003</v>
      </c>
      <c r="O15" s="14">
        <v>0.44</v>
      </c>
      <c r="P15" s="14">
        <v>0.53</v>
      </c>
      <c r="Q15" s="14">
        <v>0.57000000000000006</v>
      </c>
      <c r="R15" s="14">
        <v>0.5</v>
      </c>
      <c r="S15" s="14">
        <v>0.32</v>
      </c>
      <c r="T15" s="14">
        <v>0.37</v>
      </c>
      <c r="U15" s="14">
        <v>0.46</v>
      </c>
      <c r="V15" s="14">
        <v>0.48</v>
      </c>
      <c r="W15" s="14">
        <v>0.44</v>
      </c>
      <c r="X15" s="14">
        <v>0.37</v>
      </c>
      <c r="Y15" s="14">
        <v>0.34</v>
      </c>
      <c r="Z15" s="14">
        <v>0.55000000000000004</v>
      </c>
      <c r="AA15" s="14">
        <v>0.44</v>
      </c>
      <c r="AB15" s="14">
        <v>0.48</v>
      </c>
      <c r="AC15" s="14">
        <v>0.39</v>
      </c>
      <c r="AD15" s="14">
        <v>0.54</v>
      </c>
      <c r="AE15" s="14">
        <v>0.38</v>
      </c>
      <c r="AF15" s="14">
        <v>0.25</v>
      </c>
    </row>
    <row r="16" spans="1:32">
      <c r="A16" s="19"/>
      <c r="B16" s="11" t="s">
        <v>492</v>
      </c>
      <c r="C16" s="12">
        <v>6232</v>
      </c>
      <c r="D16" s="12">
        <v>297</v>
      </c>
      <c r="E16" s="12">
        <v>203</v>
      </c>
      <c r="F16" s="12">
        <v>327</v>
      </c>
      <c r="G16" s="12">
        <v>197</v>
      </c>
      <c r="H16" s="12">
        <v>344</v>
      </c>
      <c r="I16" s="12">
        <v>437</v>
      </c>
      <c r="J16" s="12">
        <v>92</v>
      </c>
      <c r="K16" s="12">
        <v>281</v>
      </c>
      <c r="L16" s="12">
        <v>201</v>
      </c>
      <c r="M16" s="12">
        <v>264</v>
      </c>
      <c r="N16" s="12">
        <v>273</v>
      </c>
      <c r="O16" s="12">
        <v>186</v>
      </c>
      <c r="P16" s="12">
        <v>232</v>
      </c>
      <c r="Q16" s="12">
        <v>173</v>
      </c>
      <c r="R16" s="12">
        <v>85</v>
      </c>
      <c r="S16" s="12">
        <v>255</v>
      </c>
      <c r="T16" s="12">
        <v>242</v>
      </c>
      <c r="U16" s="12">
        <v>96</v>
      </c>
      <c r="V16" s="12">
        <v>249</v>
      </c>
      <c r="W16" s="12">
        <v>116</v>
      </c>
      <c r="X16" s="12">
        <v>334</v>
      </c>
      <c r="Y16" s="12">
        <v>244</v>
      </c>
      <c r="Z16" s="12">
        <v>227</v>
      </c>
      <c r="AA16" s="12">
        <v>188</v>
      </c>
      <c r="AB16" s="12">
        <v>235</v>
      </c>
      <c r="AC16" s="12">
        <v>283</v>
      </c>
      <c r="AD16" s="12">
        <v>168</v>
      </c>
      <c r="AE16" s="12">
        <v>270</v>
      </c>
      <c r="AF16" s="12">
        <v>244</v>
      </c>
    </row>
    <row r="17" spans="1:32">
      <c r="A17" s="19"/>
      <c r="B17" s="13" t="s">
        <v>493</v>
      </c>
      <c r="C17" s="14">
        <v>0.24</v>
      </c>
      <c r="D17" s="14">
        <v>0.28999999999999998</v>
      </c>
      <c r="E17" s="14">
        <v>0.19</v>
      </c>
      <c r="F17" s="14">
        <v>0.31</v>
      </c>
      <c r="G17" s="14">
        <v>0.19</v>
      </c>
      <c r="H17" s="14">
        <v>0.28000000000000003</v>
      </c>
      <c r="I17" s="14">
        <v>0.28999999999999998</v>
      </c>
      <c r="J17" s="14">
        <v>0.31</v>
      </c>
      <c r="K17" s="14">
        <v>0.28000000000000003</v>
      </c>
      <c r="L17" s="14">
        <v>0.2</v>
      </c>
      <c r="M17" s="14">
        <v>0.26</v>
      </c>
      <c r="N17" s="14">
        <v>0.27</v>
      </c>
      <c r="O17" s="14">
        <v>0.19</v>
      </c>
      <c r="P17" s="14">
        <v>0.23</v>
      </c>
      <c r="Q17" s="14">
        <v>0.17</v>
      </c>
      <c r="R17" s="14">
        <v>0.17</v>
      </c>
      <c r="S17" s="14">
        <v>0.25</v>
      </c>
      <c r="T17" s="14">
        <v>0.24</v>
      </c>
      <c r="U17" s="14">
        <v>0.19</v>
      </c>
      <c r="V17" s="14">
        <v>0.24</v>
      </c>
      <c r="W17" s="14">
        <v>0.23</v>
      </c>
      <c r="X17" s="14">
        <v>0.33</v>
      </c>
      <c r="Y17" s="14">
        <v>0.24</v>
      </c>
      <c r="Z17" s="14">
        <v>0.22</v>
      </c>
      <c r="AA17" s="14">
        <v>0.18</v>
      </c>
      <c r="AB17" s="14">
        <v>0.23</v>
      </c>
      <c r="AC17" s="14">
        <v>0.28000000000000003</v>
      </c>
      <c r="AD17" s="14">
        <v>0.17</v>
      </c>
      <c r="AE17" s="14">
        <v>0.27</v>
      </c>
      <c r="AF17" s="14">
        <v>0.24</v>
      </c>
    </row>
    <row r="18" spans="1:32">
      <c r="A18" s="19"/>
      <c r="B18" s="11" t="s">
        <v>494</v>
      </c>
      <c r="C18" s="12">
        <v>1308</v>
      </c>
      <c r="D18" s="12">
        <v>43</v>
      </c>
      <c r="E18" s="12">
        <v>46</v>
      </c>
      <c r="F18" s="12">
        <v>45</v>
      </c>
      <c r="G18" s="12">
        <v>58</v>
      </c>
      <c r="H18" s="12">
        <v>56</v>
      </c>
      <c r="I18" s="12">
        <v>75</v>
      </c>
      <c r="J18" s="12">
        <v>19</v>
      </c>
      <c r="K18" s="12">
        <v>64</v>
      </c>
      <c r="L18" s="12">
        <v>35</v>
      </c>
      <c r="M18" s="12">
        <v>40</v>
      </c>
      <c r="N18" s="12">
        <v>116</v>
      </c>
      <c r="O18" s="12">
        <v>29</v>
      </c>
      <c r="P18" s="12">
        <v>39</v>
      </c>
      <c r="Q18" s="12">
        <v>23</v>
      </c>
      <c r="R18" s="12">
        <v>24</v>
      </c>
      <c r="S18" s="12">
        <v>86</v>
      </c>
      <c r="T18" s="12">
        <v>30</v>
      </c>
      <c r="U18" s="12">
        <v>27</v>
      </c>
      <c r="V18" s="12">
        <v>71</v>
      </c>
      <c r="W18" s="12">
        <v>25</v>
      </c>
      <c r="X18" s="12">
        <v>62</v>
      </c>
      <c r="Y18" s="12">
        <v>90</v>
      </c>
      <c r="Z18" s="12">
        <v>26</v>
      </c>
      <c r="AA18" s="12">
        <v>18</v>
      </c>
      <c r="AB18" s="12">
        <v>52</v>
      </c>
      <c r="AC18" s="12">
        <v>75</v>
      </c>
      <c r="AD18" s="12">
        <v>16</v>
      </c>
      <c r="AE18" s="12">
        <v>54</v>
      </c>
      <c r="AF18" s="12">
        <v>120</v>
      </c>
    </row>
    <row r="19" spans="1:32">
      <c r="A19" s="19"/>
      <c r="B19" s="13" t="s">
        <v>708</v>
      </c>
      <c r="C19" s="14">
        <v>0.05</v>
      </c>
      <c r="D19" s="14">
        <v>0.04</v>
      </c>
      <c r="E19" s="14">
        <v>0.04</v>
      </c>
      <c r="F19" s="14">
        <v>0.04</v>
      </c>
      <c r="G19" s="14">
        <v>0.06</v>
      </c>
      <c r="H19" s="14">
        <v>0.05</v>
      </c>
      <c r="I19" s="14">
        <v>0.05</v>
      </c>
      <c r="J19" s="14">
        <v>0.06</v>
      </c>
      <c r="K19" s="14">
        <v>0.06</v>
      </c>
      <c r="L19" s="14">
        <v>0.04</v>
      </c>
      <c r="M19" s="14">
        <v>0.04</v>
      </c>
      <c r="N19" s="14">
        <v>0.11</v>
      </c>
      <c r="O19" s="14">
        <v>0.03</v>
      </c>
      <c r="P19" s="14">
        <v>0.04</v>
      </c>
      <c r="Q19" s="14">
        <v>0.02</v>
      </c>
      <c r="R19" s="14">
        <v>0.05</v>
      </c>
      <c r="S19" s="14">
        <v>0.09</v>
      </c>
      <c r="T19" s="14">
        <v>0.03</v>
      </c>
      <c r="U19" s="14">
        <v>0.05</v>
      </c>
      <c r="V19" s="14">
        <v>7.0000000000000007E-2</v>
      </c>
      <c r="W19" s="14">
        <v>0.05</v>
      </c>
      <c r="X19" s="14">
        <v>0.06</v>
      </c>
      <c r="Y19" s="14">
        <v>0.09</v>
      </c>
      <c r="Z19" s="14">
        <v>0.03</v>
      </c>
      <c r="AA19" s="14">
        <v>0.02</v>
      </c>
      <c r="AB19" s="14">
        <v>0.05</v>
      </c>
      <c r="AC19" s="14">
        <v>0.08</v>
      </c>
      <c r="AD19" s="14">
        <v>0.02</v>
      </c>
      <c r="AE19" s="14">
        <v>0.05</v>
      </c>
      <c r="AF19" s="14">
        <v>0.11</v>
      </c>
    </row>
    <row r="20" spans="1:32">
      <c r="A20" s="19"/>
      <c r="B20" s="11" t="s">
        <v>386</v>
      </c>
      <c r="C20" s="12">
        <v>4266</v>
      </c>
      <c r="D20" s="12">
        <v>63</v>
      </c>
      <c r="E20" s="12">
        <v>226</v>
      </c>
      <c r="F20" s="12">
        <v>126</v>
      </c>
      <c r="G20" s="12">
        <v>218</v>
      </c>
      <c r="H20" s="12">
        <v>298</v>
      </c>
      <c r="I20" s="12">
        <v>339</v>
      </c>
      <c r="J20" s="12">
        <v>41</v>
      </c>
      <c r="K20" s="12">
        <v>267</v>
      </c>
      <c r="L20" s="12">
        <v>178</v>
      </c>
      <c r="M20" s="12">
        <v>109</v>
      </c>
      <c r="N20" s="12">
        <v>211</v>
      </c>
      <c r="O20" s="12">
        <v>203</v>
      </c>
      <c r="P20" s="12">
        <v>60</v>
      </c>
      <c r="Q20" s="12">
        <v>73</v>
      </c>
      <c r="R20" s="12">
        <v>64</v>
      </c>
      <c r="S20" s="12">
        <v>240</v>
      </c>
      <c r="T20" s="12">
        <v>227</v>
      </c>
      <c r="U20" s="12">
        <v>104</v>
      </c>
      <c r="V20" s="12">
        <v>47</v>
      </c>
      <c r="W20" s="12">
        <v>62</v>
      </c>
      <c r="X20" s="12">
        <v>143</v>
      </c>
      <c r="Y20" s="12">
        <v>132</v>
      </c>
      <c r="Z20" s="12">
        <v>72</v>
      </c>
      <c r="AA20" s="12">
        <v>267</v>
      </c>
      <c r="AB20" s="12">
        <v>115</v>
      </c>
      <c r="AC20" s="12">
        <v>111</v>
      </c>
      <c r="AD20" s="12">
        <v>105</v>
      </c>
      <c r="AE20" s="12">
        <v>211</v>
      </c>
      <c r="AF20" s="12">
        <v>347</v>
      </c>
    </row>
    <row r="21" spans="1:32">
      <c r="A21" s="19"/>
      <c r="B21" s="13" t="s">
        <v>399</v>
      </c>
      <c r="C21" s="14">
        <v>0.16</v>
      </c>
      <c r="D21" s="14">
        <v>0.06</v>
      </c>
      <c r="E21" s="14">
        <v>0.22</v>
      </c>
      <c r="F21" s="14">
        <v>0.12</v>
      </c>
      <c r="G21" s="14">
        <v>0.22</v>
      </c>
      <c r="H21" s="14">
        <v>0.24</v>
      </c>
      <c r="I21" s="14">
        <v>0.22</v>
      </c>
      <c r="J21" s="14">
        <v>0.14000000000000001</v>
      </c>
      <c r="K21" s="14">
        <v>0.27</v>
      </c>
      <c r="L21" s="14">
        <v>0.18</v>
      </c>
      <c r="M21" s="14">
        <v>0.11</v>
      </c>
      <c r="N21" s="14">
        <v>0.21</v>
      </c>
      <c r="O21" s="14">
        <v>0.2</v>
      </c>
      <c r="P21" s="14">
        <v>0.06</v>
      </c>
      <c r="Q21" s="14">
        <v>7.0000000000000007E-2</v>
      </c>
      <c r="R21" s="14">
        <v>0.13</v>
      </c>
      <c r="S21" s="14">
        <v>0.24</v>
      </c>
      <c r="T21" s="14">
        <v>0.22</v>
      </c>
      <c r="U21" s="14">
        <v>0.21</v>
      </c>
      <c r="V21" s="14">
        <v>0.05</v>
      </c>
      <c r="W21" s="14">
        <v>0.13</v>
      </c>
      <c r="X21" s="14">
        <v>0.14000000000000001</v>
      </c>
      <c r="Y21" s="14">
        <v>0.13</v>
      </c>
      <c r="Z21" s="14">
        <v>7.0000000000000007E-2</v>
      </c>
      <c r="AA21" s="14">
        <v>0.26</v>
      </c>
      <c r="AB21" s="14">
        <v>0.11</v>
      </c>
      <c r="AC21" s="14">
        <v>0.11</v>
      </c>
      <c r="AD21" s="14">
        <v>0.1</v>
      </c>
      <c r="AE21" s="14">
        <v>0.21</v>
      </c>
      <c r="AF21" s="14">
        <v>0.34</v>
      </c>
    </row>
    <row r="22" spans="1:32">
      <c r="A22" s="19"/>
      <c r="B22" s="11" t="s">
        <v>496</v>
      </c>
      <c r="C22" s="12">
        <v>14648</v>
      </c>
      <c r="D22" s="12">
        <v>618</v>
      </c>
      <c r="E22" s="12">
        <v>571</v>
      </c>
      <c r="F22" s="12">
        <v>566</v>
      </c>
      <c r="G22" s="12">
        <v>542</v>
      </c>
      <c r="H22" s="12">
        <v>532</v>
      </c>
      <c r="I22" s="12">
        <v>677</v>
      </c>
      <c r="J22" s="12">
        <v>145</v>
      </c>
      <c r="K22" s="12">
        <v>393</v>
      </c>
      <c r="L22" s="12">
        <v>591</v>
      </c>
      <c r="M22" s="12">
        <v>593</v>
      </c>
      <c r="N22" s="12">
        <v>411</v>
      </c>
      <c r="O22" s="12">
        <v>587</v>
      </c>
      <c r="P22" s="12">
        <v>673</v>
      </c>
      <c r="Q22" s="12">
        <v>762</v>
      </c>
      <c r="R22" s="12">
        <v>328</v>
      </c>
      <c r="S22" s="12">
        <v>423</v>
      </c>
      <c r="T22" s="12">
        <v>525</v>
      </c>
      <c r="U22" s="12">
        <v>282</v>
      </c>
      <c r="V22" s="12">
        <v>658</v>
      </c>
      <c r="W22" s="12">
        <v>299</v>
      </c>
      <c r="X22" s="12">
        <v>471</v>
      </c>
      <c r="Y22" s="12">
        <v>537</v>
      </c>
      <c r="Z22" s="12">
        <v>692</v>
      </c>
      <c r="AA22" s="12">
        <v>564</v>
      </c>
      <c r="AB22" s="12">
        <v>638</v>
      </c>
      <c r="AC22" s="12">
        <v>535</v>
      </c>
      <c r="AD22" s="12">
        <v>714</v>
      </c>
      <c r="AE22" s="12">
        <v>466</v>
      </c>
      <c r="AF22" s="12">
        <v>320</v>
      </c>
    </row>
    <row r="23" spans="1:32">
      <c r="A23" s="19"/>
      <c r="B23" s="13" t="s">
        <v>497</v>
      </c>
      <c r="C23" s="14">
        <v>0.55000000000000004</v>
      </c>
      <c r="D23" s="14">
        <v>0.61</v>
      </c>
      <c r="E23" s="14">
        <v>0.55000000000000004</v>
      </c>
      <c r="F23" s="14">
        <v>0.53</v>
      </c>
      <c r="G23" s="14">
        <v>0.53</v>
      </c>
      <c r="H23" s="14">
        <v>0.43</v>
      </c>
      <c r="I23" s="14">
        <v>0.44</v>
      </c>
      <c r="J23" s="14">
        <v>0.49</v>
      </c>
      <c r="K23" s="14">
        <v>0.39</v>
      </c>
      <c r="L23" s="14">
        <v>0.57999999999999996</v>
      </c>
      <c r="M23" s="14">
        <v>0.59</v>
      </c>
      <c r="N23" s="14">
        <v>0.41</v>
      </c>
      <c r="O23" s="14">
        <v>0.57999999999999996</v>
      </c>
      <c r="P23" s="14">
        <v>0.67</v>
      </c>
      <c r="Q23" s="14">
        <v>0.74</v>
      </c>
      <c r="R23" s="14">
        <v>0.65</v>
      </c>
      <c r="S23" s="14">
        <v>0.42</v>
      </c>
      <c r="T23" s="14">
        <v>0.51</v>
      </c>
      <c r="U23" s="14">
        <v>0.55000000000000004</v>
      </c>
      <c r="V23" s="14">
        <v>0.64</v>
      </c>
      <c r="W23" s="14">
        <v>0.59</v>
      </c>
      <c r="X23" s="14">
        <v>0.47</v>
      </c>
      <c r="Y23" s="14">
        <v>0.54</v>
      </c>
      <c r="Z23" s="14">
        <v>0.68</v>
      </c>
      <c r="AA23" s="14">
        <v>0.54</v>
      </c>
      <c r="AB23" s="14">
        <v>0.61</v>
      </c>
      <c r="AC23" s="14">
        <v>0.53</v>
      </c>
      <c r="AD23" s="14">
        <v>0.71</v>
      </c>
      <c r="AE23" s="14">
        <v>0.47</v>
      </c>
      <c r="AF23" s="14">
        <v>0.31</v>
      </c>
    </row>
    <row r="24" spans="1:32">
      <c r="A24" s="19"/>
      <c r="B24" s="11" t="s">
        <v>498</v>
      </c>
      <c r="C24" s="12">
        <v>7540</v>
      </c>
      <c r="D24" s="12">
        <v>340</v>
      </c>
      <c r="E24" s="12">
        <v>249</v>
      </c>
      <c r="F24" s="12">
        <v>372</v>
      </c>
      <c r="G24" s="12">
        <v>255</v>
      </c>
      <c r="H24" s="12">
        <v>400</v>
      </c>
      <c r="I24" s="12">
        <v>512</v>
      </c>
      <c r="J24" s="12">
        <v>111</v>
      </c>
      <c r="K24" s="12">
        <v>345</v>
      </c>
      <c r="L24" s="12">
        <v>236</v>
      </c>
      <c r="M24" s="12">
        <v>304</v>
      </c>
      <c r="N24" s="12">
        <v>389</v>
      </c>
      <c r="O24" s="12">
        <v>215</v>
      </c>
      <c r="P24" s="12">
        <v>271</v>
      </c>
      <c r="Q24" s="12">
        <v>196</v>
      </c>
      <c r="R24" s="12">
        <v>109</v>
      </c>
      <c r="S24" s="12">
        <v>341</v>
      </c>
      <c r="T24" s="12">
        <v>272</v>
      </c>
      <c r="U24" s="12">
        <v>123</v>
      </c>
      <c r="V24" s="12">
        <v>320</v>
      </c>
      <c r="W24" s="12">
        <v>141</v>
      </c>
      <c r="X24" s="12">
        <v>396</v>
      </c>
      <c r="Y24" s="12">
        <v>334</v>
      </c>
      <c r="Z24" s="12">
        <v>253</v>
      </c>
      <c r="AA24" s="12">
        <v>206</v>
      </c>
      <c r="AB24" s="12">
        <v>287</v>
      </c>
      <c r="AC24" s="12">
        <v>358</v>
      </c>
      <c r="AD24" s="12">
        <v>184</v>
      </c>
      <c r="AE24" s="12">
        <v>324</v>
      </c>
      <c r="AF24" s="12">
        <v>364</v>
      </c>
    </row>
    <row r="25" spans="1:32">
      <c r="A25" s="19"/>
      <c r="B25" s="13" t="s">
        <v>499</v>
      </c>
      <c r="C25" s="14">
        <v>0.28999999999999998</v>
      </c>
      <c r="D25" s="14">
        <v>0.33</v>
      </c>
      <c r="E25" s="14">
        <v>0.23</v>
      </c>
      <c r="F25" s="14">
        <v>0.35</v>
      </c>
      <c r="G25" s="14">
        <v>0.25</v>
      </c>
      <c r="H25" s="14">
        <v>0.33</v>
      </c>
      <c r="I25" s="14">
        <v>0.34</v>
      </c>
      <c r="J25" s="14">
        <v>0.37</v>
      </c>
      <c r="K25" s="14">
        <v>0.34</v>
      </c>
      <c r="L25" s="14">
        <v>0.24</v>
      </c>
      <c r="M25" s="14">
        <v>0.3</v>
      </c>
      <c r="N25" s="14">
        <v>0.38</v>
      </c>
      <c r="O25" s="14">
        <v>0.22</v>
      </c>
      <c r="P25" s="14">
        <v>0.27</v>
      </c>
      <c r="Q25" s="14">
        <v>0.19</v>
      </c>
      <c r="R25" s="14">
        <v>0.22</v>
      </c>
      <c r="S25" s="14">
        <v>0.34</v>
      </c>
      <c r="T25" s="14">
        <v>0.27</v>
      </c>
      <c r="U25" s="14">
        <v>0.24</v>
      </c>
      <c r="V25" s="14">
        <v>0.31</v>
      </c>
      <c r="W25" s="14">
        <v>0.28000000000000003</v>
      </c>
      <c r="X25" s="14">
        <v>0.39</v>
      </c>
      <c r="Y25" s="14">
        <v>0.33</v>
      </c>
      <c r="Z25" s="14">
        <v>0.25</v>
      </c>
      <c r="AA25" s="14">
        <v>0.2</v>
      </c>
      <c r="AB25" s="14">
        <v>0.28000000000000003</v>
      </c>
      <c r="AC25" s="14">
        <v>0.36</v>
      </c>
      <c r="AD25" s="14">
        <v>0.19</v>
      </c>
      <c r="AE25" s="14">
        <v>0.32</v>
      </c>
      <c r="AF25" s="14">
        <v>0.35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797</v>
      </c>
      <c r="C3" s="17"/>
      <c r="D3" s="17"/>
      <c r="E3" s="17"/>
      <c r="F3" s="17"/>
      <c r="H3" s="17" t="s">
        <v>798</v>
      </c>
      <c r="I3" s="17"/>
      <c r="J3" s="17"/>
      <c r="K3" s="17"/>
      <c r="L3" s="17"/>
    </row>
    <row r="4" spans="1:32" ht="27" customHeight="1">
      <c r="B4" s="17" t="s">
        <v>799</v>
      </c>
      <c r="C4" s="17"/>
      <c r="D4" s="17"/>
      <c r="E4" s="17"/>
      <c r="F4" s="17"/>
      <c r="H4" s="17" t="s">
        <v>800</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4986</v>
      </c>
      <c r="D12" s="12">
        <v>175</v>
      </c>
      <c r="E12" s="12">
        <v>167</v>
      </c>
      <c r="F12" s="12">
        <v>117</v>
      </c>
      <c r="G12" s="12">
        <v>332</v>
      </c>
      <c r="H12" s="12">
        <v>199</v>
      </c>
      <c r="I12" s="12">
        <v>260</v>
      </c>
      <c r="J12" s="12">
        <v>61</v>
      </c>
      <c r="K12" s="12">
        <v>137</v>
      </c>
      <c r="L12" s="12">
        <v>256</v>
      </c>
      <c r="M12" s="12">
        <v>224</v>
      </c>
      <c r="N12" s="12">
        <v>224</v>
      </c>
      <c r="O12" s="12">
        <v>205</v>
      </c>
      <c r="P12" s="12">
        <v>136</v>
      </c>
      <c r="Q12" s="12">
        <v>170</v>
      </c>
      <c r="R12" s="12">
        <v>145</v>
      </c>
      <c r="S12" s="12">
        <v>154</v>
      </c>
      <c r="T12" s="12">
        <v>167</v>
      </c>
      <c r="U12" s="12">
        <v>88</v>
      </c>
      <c r="V12" s="12">
        <v>193</v>
      </c>
      <c r="W12" s="12">
        <v>113</v>
      </c>
      <c r="X12" s="12">
        <v>253</v>
      </c>
      <c r="Y12" s="12">
        <v>320</v>
      </c>
      <c r="Z12" s="12">
        <v>134</v>
      </c>
      <c r="AA12" s="12">
        <v>93</v>
      </c>
      <c r="AB12" s="12">
        <v>141</v>
      </c>
      <c r="AC12" s="12">
        <v>174</v>
      </c>
      <c r="AD12" s="12">
        <v>202</v>
      </c>
      <c r="AE12" s="12">
        <v>198</v>
      </c>
      <c r="AF12" s="12">
        <v>404</v>
      </c>
    </row>
    <row r="13" spans="1:32">
      <c r="A13" s="19"/>
      <c r="B13" s="13" t="s">
        <v>707</v>
      </c>
      <c r="C13" s="14">
        <v>0.19</v>
      </c>
      <c r="D13" s="14">
        <v>0.17</v>
      </c>
      <c r="E13" s="14">
        <v>0.16</v>
      </c>
      <c r="F13" s="14">
        <v>0.11</v>
      </c>
      <c r="G13" s="14">
        <v>0.33</v>
      </c>
      <c r="H13" s="14">
        <v>0.16</v>
      </c>
      <c r="I13" s="14">
        <v>0.17</v>
      </c>
      <c r="J13" s="14">
        <v>0.2</v>
      </c>
      <c r="K13" s="14">
        <v>0.14000000000000001</v>
      </c>
      <c r="L13" s="14">
        <v>0.25</v>
      </c>
      <c r="M13" s="14">
        <v>0.22</v>
      </c>
      <c r="N13" s="14">
        <v>0.22</v>
      </c>
      <c r="O13" s="14">
        <v>0.21</v>
      </c>
      <c r="P13" s="14">
        <v>0.14000000000000001</v>
      </c>
      <c r="Q13" s="14">
        <v>0.16</v>
      </c>
      <c r="R13" s="14">
        <v>0.28999999999999998</v>
      </c>
      <c r="S13" s="14">
        <v>0.15</v>
      </c>
      <c r="T13" s="14">
        <v>0.16</v>
      </c>
      <c r="U13" s="14">
        <v>0.18</v>
      </c>
      <c r="V13" s="14">
        <v>0.19</v>
      </c>
      <c r="W13" s="14">
        <v>0.23</v>
      </c>
      <c r="X13" s="14">
        <v>0.25</v>
      </c>
      <c r="Y13" s="14">
        <v>0.32</v>
      </c>
      <c r="Z13" s="14">
        <v>0.13</v>
      </c>
      <c r="AA13" s="14">
        <v>0.09</v>
      </c>
      <c r="AB13" s="14">
        <v>0.13</v>
      </c>
      <c r="AC13" s="14">
        <v>0.17</v>
      </c>
      <c r="AD13" s="14">
        <v>0.2</v>
      </c>
      <c r="AE13" s="14">
        <v>0.2</v>
      </c>
      <c r="AF13" s="14">
        <v>0.39</v>
      </c>
    </row>
    <row r="14" spans="1:32">
      <c r="A14" s="19"/>
      <c r="B14" s="11" t="s">
        <v>490</v>
      </c>
      <c r="C14" s="12">
        <v>13990</v>
      </c>
      <c r="D14" s="12">
        <v>591</v>
      </c>
      <c r="E14" s="12">
        <v>521</v>
      </c>
      <c r="F14" s="12">
        <v>558</v>
      </c>
      <c r="G14" s="12">
        <v>514</v>
      </c>
      <c r="H14" s="12">
        <v>634</v>
      </c>
      <c r="I14" s="12">
        <v>793</v>
      </c>
      <c r="J14" s="12">
        <v>160</v>
      </c>
      <c r="K14" s="12">
        <v>396</v>
      </c>
      <c r="L14" s="12">
        <v>562</v>
      </c>
      <c r="M14" s="12">
        <v>594</v>
      </c>
      <c r="N14" s="12">
        <v>441</v>
      </c>
      <c r="O14" s="12">
        <v>512</v>
      </c>
      <c r="P14" s="12">
        <v>564</v>
      </c>
      <c r="Q14" s="12">
        <v>596</v>
      </c>
      <c r="R14" s="12">
        <v>265</v>
      </c>
      <c r="S14" s="12">
        <v>463</v>
      </c>
      <c r="T14" s="12">
        <v>523</v>
      </c>
      <c r="U14" s="12">
        <v>285</v>
      </c>
      <c r="V14" s="12">
        <v>569</v>
      </c>
      <c r="W14" s="12">
        <v>298</v>
      </c>
      <c r="X14" s="12">
        <v>558</v>
      </c>
      <c r="Y14" s="12">
        <v>476</v>
      </c>
      <c r="Z14" s="12">
        <v>616</v>
      </c>
      <c r="AA14" s="12">
        <v>623</v>
      </c>
      <c r="AB14" s="12">
        <v>510</v>
      </c>
      <c r="AC14" s="12">
        <v>471</v>
      </c>
      <c r="AD14" s="12">
        <v>615</v>
      </c>
      <c r="AE14" s="12">
        <v>531</v>
      </c>
      <c r="AF14" s="12">
        <v>489</v>
      </c>
    </row>
    <row r="15" spans="1:32">
      <c r="A15" s="19"/>
      <c r="B15" s="13" t="s">
        <v>491</v>
      </c>
      <c r="C15" s="14">
        <v>0.53</v>
      </c>
      <c r="D15" s="14">
        <v>0.57999999999999996</v>
      </c>
      <c r="E15" s="14">
        <v>0.5</v>
      </c>
      <c r="F15" s="14">
        <v>0.52</v>
      </c>
      <c r="G15" s="14">
        <v>0.51</v>
      </c>
      <c r="H15" s="14">
        <v>0.51</v>
      </c>
      <c r="I15" s="14">
        <v>0.52</v>
      </c>
      <c r="J15" s="14">
        <v>0.54</v>
      </c>
      <c r="K15" s="14">
        <v>0.39</v>
      </c>
      <c r="L15" s="14">
        <v>0.56000000000000005</v>
      </c>
      <c r="M15" s="14">
        <v>0.59</v>
      </c>
      <c r="N15" s="14">
        <v>0.44</v>
      </c>
      <c r="O15" s="14">
        <v>0.51</v>
      </c>
      <c r="P15" s="14">
        <v>0.56000000000000005</v>
      </c>
      <c r="Q15" s="14">
        <v>0.57999999999999996</v>
      </c>
      <c r="R15" s="14">
        <v>0.53</v>
      </c>
      <c r="S15" s="14">
        <v>0.46</v>
      </c>
      <c r="T15" s="14">
        <v>0.51</v>
      </c>
      <c r="U15" s="14">
        <v>0.56000000000000005</v>
      </c>
      <c r="V15" s="14">
        <v>0.55000000000000004</v>
      </c>
      <c r="W15" s="14">
        <v>0.59</v>
      </c>
      <c r="X15" s="14">
        <v>0.55000000000000004</v>
      </c>
      <c r="Y15" s="14">
        <v>0.47</v>
      </c>
      <c r="Z15" s="14">
        <v>0.61</v>
      </c>
      <c r="AA15" s="14">
        <v>0.6</v>
      </c>
      <c r="AB15" s="14">
        <v>0.49</v>
      </c>
      <c r="AC15" s="14">
        <v>0.47</v>
      </c>
      <c r="AD15" s="14">
        <v>0.61</v>
      </c>
      <c r="AE15" s="14">
        <v>0.53</v>
      </c>
      <c r="AF15" s="14">
        <v>0.47</v>
      </c>
    </row>
    <row r="16" spans="1:32">
      <c r="A16" s="19"/>
      <c r="B16" s="11" t="s">
        <v>492</v>
      </c>
      <c r="C16" s="12">
        <v>4160</v>
      </c>
      <c r="D16" s="12">
        <v>199</v>
      </c>
      <c r="E16" s="12">
        <v>176</v>
      </c>
      <c r="F16" s="12">
        <v>228</v>
      </c>
      <c r="G16" s="12">
        <v>76</v>
      </c>
      <c r="H16" s="12">
        <v>172</v>
      </c>
      <c r="I16" s="12">
        <v>221</v>
      </c>
      <c r="J16" s="12">
        <v>49</v>
      </c>
      <c r="K16" s="12">
        <v>276</v>
      </c>
      <c r="L16" s="12">
        <v>96</v>
      </c>
      <c r="M16" s="12">
        <v>123</v>
      </c>
      <c r="N16" s="12">
        <v>172</v>
      </c>
      <c r="O16" s="12">
        <v>142</v>
      </c>
      <c r="P16" s="12">
        <v>235</v>
      </c>
      <c r="Q16" s="12">
        <v>184</v>
      </c>
      <c r="R16" s="12">
        <v>45</v>
      </c>
      <c r="S16" s="12">
        <v>189</v>
      </c>
      <c r="T16" s="12">
        <v>169</v>
      </c>
      <c r="U16" s="12">
        <v>67</v>
      </c>
      <c r="V16" s="12">
        <v>194</v>
      </c>
      <c r="W16" s="12">
        <v>69</v>
      </c>
      <c r="X16" s="12">
        <v>129</v>
      </c>
      <c r="Y16" s="12">
        <v>110</v>
      </c>
      <c r="Z16" s="12">
        <v>189</v>
      </c>
      <c r="AA16" s="12">
        <v>94</v>
      </c>
      <c r="AB16" s="12">
        <v>226</v>
      </c>
      <c r="AC16" s="12">
        <v>225</v>
      </c>
      <c r="AD16" s="12">
        <v>124</v>
      </c>
      <c r="AE16" s="12">
        <v>167</v>
      </c>
      <c r="AF16" s="12">
        <v>66</v>
      </c>
    </row>
    <row r="17" spans="1:32">
      <c r="A17" s="19"/>
      <c r="B17" s="13" t="s">
        <v>493</v>
      </c>
      <c r="C17" s="14">
        <v>0.16</v>
      </c>
      <c r="D17" s="14">
        <v>0.19</v>
      </c>
      <c r="E17" s="14">
        <v>0.17</v>
      </c>
      <c r="F17" s="14">
        <v>0.22</v>
      </c>
      <c r="G17" s="14">
        <v>7.0000000000000007E-2</v>
      </c>
      <c r="H17" s="14">
        <v>0.14000000000000001</v>
      </c>
      <c r="I17" s="14">
        <v>0.14000000000000001</v>
      </c>
      <c r="J17" s="14">
        <v>0.17</v>
      </c>
      <c r="K17" s="14">
        <v>0.27</v>
      </c>
      <c r="L17" s="14">
        <v>0.1</v>
      </c>
      <c r="M17" s="14">
        <v>0.12</v>
      </c>
      <c r="N17" s="14">
        <v>0.17</v>
      </c>
      <c r="O17" s="14">
        <v>0.14000000000000001</v>
      </c>
      <c r="P17" s="14">
        <v>0.23</v>
      </c>
      <c r="Q17" s="14">
        <v>0.18</v>
      </c>
      <c r="R17" s="14">
        <v>0.09</v>
      </c>
      <c r="S17" s="14">
        <v>0.19</v>
      </c>
      <c r="T17" s="14">
        <v>0.17</v>
      </c>
      <c r="U17" s="14">
        <v>0.13</v>
      </c>
      <c r="V17" s="14">
        <v>0.19</v>
      </c>
      <c r="W17" s="14">
        <v>0.14000000000000001</v>
      </c>
      <c r="X17" s="14">
        <v>0.13</v>
      </c>
      <c r="Y17" s="14">
        <v>0.11</v>
      </c>
      <c r="Z17" s="14">
        <v>0.19</v>
      </c>
      <c r="AA17" s="14">
        <v>0.09</v>
      </c>
      <c r="AB17" s="14">
        <v>0.22</v>
      </c>
      <c r="AC17" s="14">
        <v>0.22</v>
      </c>
      <c r="AD17" s="14">
        <v>0.12</v>
      </c>
      <c r="AE17" s="14">
        <v>0.17</v>
      </c>
      <c r="AF17" s="14">
        <v>0.06</v>
      </c>
    </row>
    <row r="18" spans="1:32">
      <c r="A18" s="19"/>
      <c r="B18" s="11" t="s">
        <v>494</v>
      </c>
      <c r="C18" s="12">
        <v>689</v>
      </c>
      <c r="D18" s="12">
        <v>29</v>
      </c>
      <c r="E18" s="12">
        <v>44</v>
      </c>
      <c r="F18" s="12">
        <v>40</v>
      </c>
      <c r="G18" s="12">
        <v>17</v>
      </c>
      <c r="H18" s="12">
        <v>19</v>
      </c>
      <c r="I18" s="12">
        <v>28</v>
      </c>
      <c r="J18" s="12">
        <v>8</v>
      </c>
      <c r="K18" s="12">
        <v>49</v>
      </c>
      <c r="L18" s="12">
        <v>16</v>
      </c>
      <c r="M18" s="12">
        <v>16</v>
      </c>
      <c r="N18" s="12">
        <v>41</v>
      </c>
      <c r="O18" s="12">
        <v>14</v>
      </c>
      <c r="P18" s="12">
        <v>27</v>
      </c>
      <c r="Q18" s="12">
        <v>20</v>
      </c>
      <c r="R18" s="12">
        <v>9</v>
      </c>
      <c r="S18" s="12">
        <v>51</v>
      </c>
      <c r="T18" s="12">
        <v>33</v>
      </c>
      <c r="U18" s="12">
        <v>17</v>
      </c>
      <c r="V18" s="12">
        <v>39</v>
      </c>
      <c r="W18" s="12">
        <v>11</v>
      </c>
      <c r="X18" s="12">
        <v>15</v>
      </c>
      <c r="Y18" s="12">
        <v>37</v>
      </c>
      <c r="Z18" s="12">
        <v>34</v>
      </c>
      <c r="AA18" s="12">
        <v>13</v>
      </c>
      <c r="AB18" s="12">
        <v>75</v>
      </c>
      <c r="AC18" s="12">
        <v>79</v>
      </c>
      <c r="AD18" s="12">
        <v>18</v>
      </c>
      <c r="AE18" s="12">
        <v>27</v>
      </c>
      <c r="AF18" s="12">
        <v>26</v>
      </c>
    </row>
    <row r="19" spans="1:32">
      <c r="A19" s="19"/>
      <c r="B19" s="13" t="s">
        <v>708</v>
      </c>
      <c r="C19" s="14">
        <v>0.02</v>
      </c>
      <c r="D19" s="14">
        <v>0.03</v>
      </c>
      <c r="E19" s="14">
        <v>0.04</v>
      </c>
      <c r="F19" s="14">
        <v>0.04</v>
      </c>
      <c r="G19" s="14">
        <v>0.02</v>
      </c>
      <c r="H19" s="14">
        <v>0.02</v>
      </c>
      <c r="I19" s="14">
        <v>0.02</v>
      </c>
      <c r="J19" s="14">
        <v>0.03</v>
      </c>
      <c r="K19" s="14">
        <v>0.05</v>
      </c>
      <c r="L19" s="14">
        <v>0.02</v>
      </c>
      <c r="M19" s="14">
        <v>0.02</v>
      </c>
      <c r="N19" s="14">
        <v>0.04</v>
      </c>
      <c r="O19" s="14">
        <v>0.01</v>
      </c>
      <c r="P19" s="14">
        <v>0.03</v>
      </c>
      <c r="Q19" s="14">
        <v>0.02</v>
      </c>
      <c r="R19" s="14">
        <v>0.02</v>
      </c>
      <c r="S19" s="14">
        <v>0.05</v>
      </c>
      <c r="T19" s="14">
        <v>0.03</v>
      </c>
      <c r="U19" s="14">
        <v>0.03</v>
      </c>
      <c r="V19" s="14">
        <v>0.04</v>
      </c>
      <c r="W19" s="14">
        <v>0.02</v>
      </c>
      <c r="X19" s="14">
        <v>0.02</v>
      </c>
      <c r="Y19" s="14">
        <v>0.04</v>
      </c>
      <c r="Z19" s="14">
        <v>0.03</v>
      </c>
      <c r="AA19" s="14">
        <v>0.01</v>
      </c>
      <c r="AB19" s="14">
        <v>7.0000000000000007E-2</v>
      </c>
      <c r="AC19" s="14">
        <v>0.08</v>
      </c>
      <c r="AD19" s="14">
        <v>0.02</v>
      </c>
      <c r="AE19" s="14">
        <v>0.03</v>
      </c>
      <c r="AF19" s="14">
        <v>0.03</v>
      </c>
    </row>
    <row r="20" spans="1:32">
      <c r="A20" s="19"/>
      <c r="B20" s="11" t="s">
        <v>386</v>
      </c>
      <c r="C20" s="12">
        <v>2627</v>
      </c>
      <c r="D20" s="12">
        <v>28</v>
      </c>
      <c r="E20" s="12">
        <v>139</v>
      </c>
      <c r="F20" s="12">
        <v>121</v>
      </c>
      <c r="G20" s="12">
        <v>77</v>
      </c>
      <c r="H20" s="12">
        <v>206</v>
      </c>
      <c r="I20" s="12">
        <v>225</v>
      </c>
      <c r="J20" s="12">
        <v>19</v>
      </c>
      <c r="K20" s="12">
        <v>147</v>
      </c>
      <c r="L20" s="12">
        <v>76</v>
      </c>
      <c r="M20" s="12">
        <v>50</v>
      </c>
      <c r="N20" s="12">
        <v>133</v>
      </c>
      <c r="O20" s="12">
        <v>131</v>
      </c>
      <c r="P20" s="12">
        <v>40</v>
      </c>
      <c r="Q20" s="12">
        <v>62</v>
      </c>
      <c r="R20" s="12">
        <v>36</v>
      </c>
      <c r="S20" s="12">
        <v>146</v>
      </c>
      <c r="T20" s="12">
        <v>131</v>
      </c>
      <c r="U20" s="12">
        <v>50</v>
      </c>
      <c r="V20" s="12">
        <v>30</v>
      </c>
      <c r="W20" s="12">
        <v>11</v>
      </c>
      <c r="X20" s="12">
        <v>55</v>
      </c>
      <c r="Y20" s="12">
        <v>60</v>
      </c>
      <c r="Z20" s="12">
        <v>44</v>
      </c>
      <c r="AA20" s="12">
        <v>214</v>
      </c>
      <c r="AB20" s="12">
        <v>89</v>
      </c>
      <c r="AC20" s="12">
        <v>56</v>
      </c>
      <c r="AD20" s="12">
        <v>45</v>
      </c>
      <c r="AE20" s="12">
        <v>77</v>
      </c>
      <c r="AF20" s="12">
        <v>47</v>
      </c>
    </row>
    <row r="21" spans="1:32">
      <c r="A21" s="19"/>
      <c r="B21" s="13" t="s">
        <v>399</v>
      </c>
      <c r="C21" s="14">
        <v>0.1</v>
      </c>
      <c r="D21" s="14">
        <v>0.03</v>
      </c>
      <c r="E21" s="14">
        <v>0.13</v>
      </c>
      <c r="F21" s="14">
        <v>0.11</v>
      </c>
      <c r="G21" s="14">
        <v>7.0000000000000007E-2</v>
      </c>
      <c r="H21" s="14">
        <v>0.17</v>
      </c>
      <c r="I21" s="14">
        <v>0.15</v>
      </c>
      <c r="J21" s="14">
        <v>0.06</v>
      </c>
      <c r="K21" s="14">
        <v>0.15</v>
      </c>
      <c r="L21" s="14">
        <v>7.0000000000000007E-2</v>
      </c>
      <c r="M21" s="14">
        <v>0.05</v>
      </c>
      <c r="N21" s="14">
        <v>0.13</v>
      </c>
      <c r="O21" s="14">
        <v>0.13</v>
      </c>
      <c r="P21" s="14">
        <v>0.04</v>
      </c>
      <c r="Q21" s="14">
        <v>0.06</v>
      </c>
      <c r="R21" s="14">
        <v>7.0000000000000007E-2</v>
      </c>
      <c r="S21" s="14">
        <v>0.15</v>
      </c>
      <c r="T21" s="14">
        <v>0.13</v>
      </c>
      <c r="U21" s="14">
        <v>0.1</v>
      </c>
      <c r="V21" s="14">
        <v>0.03</v>
      </c>
      <c r="W21" s="14">
        <v>0.02</v>
      </c>
      <c r="X21" s="14">
        <v>0.05</v>
      </c>
      <c r="Y21" s="14">
        <v>0.06</v>
      </c>
      <c r="Z21" s="14">
        <v>0.04</v>
      </c>
      <c r="AA21" s="14">
        <v>0.21</v>
      </c>
      <c r="AB21" s="14">
        <v>0.09</v>
      </c>
      <c r="AC21" s="14">
        <v>0.06</v>
      </c>
      <c r="AD21" s="14">
        <v>0.05</v>
      </c>
      <c r="AE21" s="14">
        <v>7.0000000000000007E-2</v>
      </c>
      <c r="AF21" s="14">
        <v>0.05</v>
      </c>
    </row>
    <row r="22" spans="1:32">
      <c r="A22" s="19"/>
      <c r="B22" s="11" t="s">
        <v>496</v>
      </c>
      <c r="C22" s="12">
        <v>18976</v>
      </c>
      <c r="D22" s="12">
        <v>766</v>
      </c>
      <c r="E22" s="12">
        <v>688</v>
      </c>
      <c r="F22" s="12">
        <v>675</v>
      </c>
      <c r="G22" s="12">
        <v>846</v>
      </c>
      <c r="H22" s="12">
        <v>833</v>
      </c>
      <c r="I22" s="12">
        <v>1053</v>
      </c>
      <c r="J22" s="12">
        <v>221</v>
      </c>
      <c r="K22" s="12">
        <v>533</v>
      </c>
      <c r="L22" s="12">
        <v>818</v>
      </c>
      <c r="M22" s="12">
        <v>818</v>
      </c>
      <c r="N22" s="12">
        <v>665</v>
      </c>
      <c r="O22" s="12">
        <v>717</v>
      </c>
      <c r="P22" s="12">
        <v>700</v>
      </c>
      <c r="Q22" s="12">
        <v>766</v>
      </c>
      <c r="R22" s="12">
        <v>410</v>
      </c>
      <c r="S22" s="12">
        <v>617</v>
      </c>
      <c r="T22" s="12">
        <v>690</v>
      </c>
      <c r="U22" s="12">
        <v>373</v>
      </c>
      <c r="V22" s="12">
        <v>762</v>
      </c>
      <c r="W22" s="12">
        <v>411</v>
      </c>
      <c r="X22" s="12">
        <v>811</v>
      </c>
      <c r="Y22" s="12">
        <v>796</v>
      </c>
      <c r="Z22" s="12">
        <v>750</v>
      </c>
      <c r="AA22" s="12">
        <v>716</v>
      </c>
      <c r="AB22" s="12">
        <v>651</v>
      </c>
      <c r="AC22" s="12">
        <v>645</v>
      </c>
      <c r="AD22" s="12">
        <v>817</v>
      </c>
      <c r="AE22" s="12">
        <v>729</v>
      </c>
      <c r="AF22" s="12">
        <v>893</v>
      </c>
    </row>
    <row r="23" spans="1:32">
      <c r="A23" s="19"/>
      <c r="B23" s="13" t="s">
        <v>497</v>
      </c>
      <c r="C23" s="14">
        <v>0.72</v>
      </c>
      <c r="D23" s="14">
        <v>0.75</v>
      </c>
      <c r="E23" s="14">
        <v>0.66</v>
      </c>
      <c r="F23" s="14">
        <v>0.63</v>
      </c>
      <c r="G23" s="14">
        <v>0.84</v>
      </c>
      <c r="H23" s="14">
        <v>0.67</v>
      </c>
      <c r="I23" s="14">
        <v>0.69000000000000006</v>
      </c>
      <c r="J23" s="14">
        <v>0.74</v>
      </c>
      <c r="K23" s="14">
        <v>0.53</v>
      </c>
      <c r="L23" s="14">
        <v>0.81</v>
      </c>
      <c r="M23" s="14">
        <v>0.81</v>
      </c>
      <c r="N23" s="14">
        <v>0.66</v>
      </c>
      <c r="O23" s="14">
        <v>0.72</v>
      </c>
      <c r="P23" s="14">
        <v>0.70000000000000007</v>
      </c>
      <c r="Q23" s="14">
        <v>0.74</v>
      </c>
      <c r="R23" s="14">
        <v>0.82000000000000006</v>
      </c>
      <c r="S23" s="14">
        <v>0.61</v>
      </c>
      <c r="T23" s="14">
        <v>0.67</v>
      </c>
      <c r="U23" s="14">
        <v>0.74</v>
      </c>
      <c r="V23" s="14">
        <v>0.74</v>
      </c>
      <c r="W23" s="14">
        <v>0.82000000000000006</v>
      </c>
      <c r="X23" s="14">
        <v>0.8</v>
      </c>
      <c r="Y23" s="14">
        <v>0.79</v>
      </c>
      <c r="Z23" s="14">
        <v>0.74</v>
      </c>
      <c r="AA23" s="14">
        <v>0.69000000000000006</v>
      </c>
      <c r="AB23" s="14">
        <v>0.62</v>
      </c>
      <c r="AC23" s="14">
        <v>0.64</v>
      </c>
      <c r="AD23" s="14">
        <v>0.81</v>
      </c>
      <c r="AE23" s="14">
        <v>0.73</v>
      </c>
      <c r="AF23" s="14">
        <v>0.86</v>
      </c>
    </row>
    <row r="24" spans="1:32">
      <c r="A24" s="19"/>
      <c r="B24" s="11" t="s">
        <v>498</v>
      </c>
      <c r="C24" s="12">
        <v>4849</v>
      </c>
      <c r="D24" s="12">
        <v>228</v>
      </c>
      <c r="E24" s="12">
        <v>220</v>
      </c>
      <c r="F24" s="12">
        <v>268</v>
      </c>
      <c r="G24" s="12">
        <v>93</v>
      </c>
      <c r="H24" s="12">
        <v>191</v>
      </c>
      <c r="I24" s="12">
        <v>249</v>
      </c>
      <c r="J24" s="12">
        <v>57</v>
      </c>
      <c r="K24" s="12">
        <v>325</v>
      </c>
      <c r="L24" s="12">
        <v>112</v>
      </c>
      <c r="M24" s="12">
        <v>139</v>
      </c>
      <c r="N24" s="12">
        <v>213</v>
      </c>
      <c r="O24" s="12">
        <v>156</v>
      </c>
      <c r="P24" s="12">
        <v>262</v>
      </c>
      <c r="Q24" s="12">
        <v>204</v>
      </c>
      <c r="R24" s="12">
        <v>54</v>
      </c>
      <c r="S24" s="12">
        <v>240</v>
      </c>
      <c r="T24" s="12">
        <v>202</v>
      </c>
      <c r="U24" s="12">
        <v>84</v>
      </c>
      <c r="V24" s="12">
        <v>233</v>
      </c>
      <c r="W24" s="12">
        <v>80</v>
      </c>
      <c r="X24" s="12">
        <v>144</v>
      </c>
      <c r="Y24" s="12">
        <v>147</v>
      </c>
      <c r="Z24" s="12">
        <v>223</v>
      </c>
      <c r="AA24" s="12">
        <v>107</v>
      </c>
      <c r="AB24" s="12">
        <v>301</v>
      </c>
      <c r="AC24" s="12">
        <v>304</v>
      </c>
      <c r="AD24" s="12">
        <v>142</v>
      </c>
      <c r="AE24" s="12">
        <v>194</v>
      </c>
      <c r="AF24" s="12">
        <v>92</v>
      </c>
    </row>
    <row r="25" spans="1:32">
      <c r="A25" s="19"/>
      <c r="B25" s="13" t="s">
        <v>499</v>
      </c>
      <c r="C25" s="14">
        <v>0.18</v>
      </c>
      <c r="D25" s="14">
        <v>0.22</v>
      </c>
      <c r="E25" s="14">
        <v>0.21</v>
      </c>
      <c r="F25" s="14">
        <v>0.26</v>
      </c>
      <c r="G25" s="14">
        <v>0.09</v>
      </c>
      <c r="H25" s="14">
        <v>0.16</v>
      </c>
      <c r="I25" s="14">
        <v>0.16</v>
      </c>
      <c r="J25" s="14">
        <v>0.2</v>
      </c>
      <c r="K25" s="14">
        <v>0.32</v>
      </c>
      <c r="L25" s="14">
        <v>0.12</v>
      </c>
      <c r="M25" s="14">
        <v>0.14000000000000001</v>
      </c>
      <c r="N25" s="14">
        <v>0.21</v>
      </c>
      <c r="O25" s="14">
        <v>0.15</v>
      </c>
      <c r="P25" s="14">
        <v>0.26</v>
      </c>
      <c r="Q25" s="14">
        <v>0.2</v>
      </c>
      <c r="R25" s="14">
        <v>0.11</v>
      </c>
      <c r="S25" s="14">
        <v>0.24</v>
      </c>
      <c r="T25" s="14">
        <v>0.2</v>
      </c>
      <c r="U25" s="14">
        <v>0.16</v>
      </c>
      <c r="V25" s="14">
        <v>0.23</v>
      </c>
      <c r="W25" s="14">
        <v>0.16</v>
      </c>
      <c r="X25" s="14">
        <v>0.15</v>
      </c>
      <c r="Y25" s="14">
        <v>0.15</v>
      </c>
      <c r="Z25" s="14">
        <v>0.22</v>
      </c>
      <c r="AA25" s="14">
        <v>0.1</v>
      </c>
      <c r="AB25" s="14">
        <v>0.28999999999999998</v>
      </c>
      <c r="AC25" s="14">
        <v>0.3</v>
      </c>
      <c r="AD25" s="14">
        <v>0.14000000000000001</v>
      </c>
      <c r="AE25" s="14">
        <v>0.2</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801</v>
      </c>
      <c r="C3" s="17"/>
      <c r="D3" s="17"/>
      <c r="E3" s="17"/>
      <c r="F3" s="17"/>
      <c r="H3" s="17" t="s">
        <v>802</v>
      </c>
      <c r="I3" s="17"/>
      <c r="J3" s="17"/>
      <c r="K3" s="17"/>
      <c r="L3" s="17"/>
    </row>
    <row r="4" spans="1:32" ht="27" customHeight="1">
      <c r="B4" s="17" t="s">
        <v>803</v>
      </c>
      <c r="C4" s="17"/>
      <c r="D4" s="17"/>
      <c r="E4" s="17"/>
      <c r="F4" s="17"/>
      <c r="H4" s="17" t="s">
        <v>804</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3753</v>
      </c>
      <c r="D12" s="12">
        <v>105</v>
      </c>
      <c r="E12" s="12">
        <v>121</v>
      </c>
      <c r="F12" s="12">
        <v>90</v>
      </c>
      <c r="G12" s="12">
        <v>230</v>
      </c>
      <c r="H12" s="12">
        <v>139</v>
      </c>
      <c r="I12" s="12">
        <v>167</v>
      </c>
      <c r="J12" s="12">
        <v>28</v>
      </c>
      <c r="K12" s="12">
        <v>108</v>
      </c>
      <c r="L12" s="12">
        <v>169</v>
      </c>
      <c r="M12" s="12">
        <v>80</v>
      </c>
      <c r="N12" s="12">
        <v>164</v>
      </c>
      <c r="O12" s="12">
        <v>165</v>
      </c>
      <c r="P12" s="12">
        <v>148</v>
      </c>
      <c r="Q12" s="12">
        <v>166</v>
      </c>
      <c r="R12" s="12">
        <v>17</v>
      </c>
      <c r="S12" s="12">
        <v>114</v>
      </c>
      <c r="T12" s="12">
        <v>149</v>
      </c>
      <c r="U12" s="12">
        <v>70</v>
      </c>
      <c r="V12" s="12">
        <v>202</v>
      </c>
      <c r="W12" s="12">
        <v>73</v>
      </c>
      <c r="X12" s="12">
        <v>189</v>
      </c>
      <c r="Y12" s="12">
        <v>239</v>
      </c>
      <c r="Z12" s="12">
        <v>140</v>
      </c>
      <c r="AA12" s="12">
        <v>95</v>
      </c>
      <c r="AB12" s="12">
        <v>105</v>
      </c>
      <c r="AC12" s="12">
        <v>132</v>
      </c>
      <c r="AD12" s="12">
        <v>138</v>
      </c>
      <c r="AE12" s="12">
        <v>99</v>
      </c>
      <c r="AF12" s="12">
        <v>148</v>
      </c>
    </row>
    <row r="13" spans="1:32">
      <c r="A13" s="19"/>
      <c r="B13" s="13" t="s">
        <v>707</v>
      </c>
      <c r="C13" s="14">
        <v>0.14000000000000001</v>
      </c>
      <c r="D13" s="14">
        <v>0.1</v>
      </c>
      <c r="E13" s="14">
        <v>0.12</v>
      </c>
      <c r="F13" s="14">
        <v>0.08</v>
      </c>
      <c r="G13" s="14">
        <v>0.22</v>
      </c>
      <c r="H13" s="14">
        <v>0.11</v>
      </c>
      <c r="I13" s="14">
        <v>0.11</v>
      </c>
      <c r="J13" s="14">
        <v>0.09</v>
      </c>
      <c r="K13" s="14">
        <v>0.11</v>
      </c>
      <c r="L13" s="14">
        <v>0.17</v>
      </c>
      <c r="M13" s="14">
        <v>0.08</v>
      </c>
      <c r="N13" s="14">
        <v>0.16</v>
      </c>
      <c r="O13" s="14">
        <v>0.17</v>
      </c>
      <c r="P13" s="14">
        <v>0.15</v>
      </c>
      <c r="Q13" s="14">
        <v>0.16</v>
      </c>
      <c r="R13" s="14">
        <v>0.03</v>
      </c>
      <c r="S13" s="14">
        <v>0.11</v>
      </c>
      <c r="T13" s="14">
        <v>0.15</v>
      </c>
      <c r="U13" s="14">
        <v>0.14000000000000001</v>
      </c>
      <c r="V13" s="14">
        <v>0.2</v>
      </c>
      <c r="W13" s="14">
        <v>0.14000000000000001</v>
      </c>
      <c r="X13" s="14">
        <v>0.19</v>
      </c>
      <c r="Y13" s="14">
        <v>0.24</v>
      </c>
      <c r="Z13" s="14">
        <v>0.14000000000000001</v>
      </c>
      <c r="AA13" s="14">
        <v>0.09</v>
      </c>
      <c r="AB13" s="14">
        <v>0.1</v>
      </c>
      <c r="AC13" s="14">
        <v>0.13</v>
      </c>
      <c r="AD13" s="14">
        <v>0.14000000000000001</v>
      </c>
      <c r="AE13" s="14">
        <v>0.1</v>
      </c>
      <c r="AF13" s="14">
        <v>0.14000000000000001</v>
      </c>
    </row>
    <row r="14" spans="1:32">
      <c r="A14" s="19"/>
      <c r="B14" s="11" t="s">
        <v>490</v>
      </c>
      <c r="C14" s="12">
        <v>11361</v>
      </c>
      <c r="D14" s="12">
        <v>509</v>
      </c>
      <c r="E14" s="12">
        <v>443</v>
      </c>
      <c r="F14" s="12">
        <v>411</v>
      </c>
      <c r="G14" s="12">
        <v>404</v>
      </c>
      <c r="H14" s="12">
        <v>480</v>
      </c>
      <c r="I14" s="12">
        <v>576</v>
      </c>
      <c r="J14" s="12">
        <v>96</v>
      </c>
      <c r="K14" s="12">
        <v>323</v>
      </c>
      <c r="L14" s="12">
        <v>465</v>
      </c>
      <c r="M14" s="12">
        <v>350</v>
      </c>
      <c r="N14" s="12">
        <v>337</v>
      </c>
      <c r="O14" s="12">
        <v>416</v>
      </c>
      <c r="P14" s="12">
        <v>514</v>
      </c>
      <c r="Q14" s="12">
        <v>553</v>
      </c>
      <c r="R14" s="12">
        <v>127</v>
      </c>
      <c r="S14" s="12">
        <v>356</v>
      </c>
      <c r="T14" s="12">
        <v>336</v>
      </c>
      <c r="U14" s="12">
        <v>235</v>
      </c>
      <c r="V14" s="12">
        <v>509</v>
      </c>
      <c r="W14" s="12">
        <v>183</v>
      </c>
      <c r="X14" s="12">
        <v>518</v>
      </c>
      <c r="Y14" s="12">
        <v>344</v>
      </c>
      <c r="Z14" s="12">
        <v>573</v>
      </c>
      <c r="AA14" s="12">
        <v>312</v>
      </c>
      <c r="AB14" s="12">
        <v>435</v>
      </c>
      <c r="AC14" s="12">
        <v>368</v>
      </c>
      <c r="AD14" s="12">
        <v>391</v>
      </c>
      <c r="AE14" s="12">
        <v>378</v>
      </c>
      <c r="AF14" s="12">
        <v>516</v>
      </c>
    </row>
    <row r="15" spans="1:32">
      <c r="A15" s="19"/>
      <c r="B15" s="13" t="s">
        <v>491</v>
      </c>
      <c r="C15" s="14">
        <v>0.43</v>
      </c>
      <c r="D15" s="14">
        <v>0.5</v>
      </c>
      <c r="E15" s="14">
        <v>0.42</v>
      </c>
      <c r="F15" s="14">
        <v>0.39</v>
      </c>
      <c r="G15" s="14">
        <v>0.4</v>
      </c>
      <c r="H15" s="14">
        <v>0.39</v>
      </c>
      <c r="I15" s="14">
        <v>0.38</v>
      </c>
      <c r="J15" s="14">
        <v>0.32</v>
      </c>
      <c r="K15" s="14">
        <v>0.32</v>
      </c>
      <c r="L15" s="14">
        <v>0.46</v>
      </c>
      <c r="M15" s="14">
        <v>0.35</v>
      </c>
      <c r="N15" s="14">
        <v>0.33</v>
      </c>
      <c r="O15" s="14">
        <v>0.41</v>
      </c>
      <c r="P15" s="14">
        <v>0.51</v>
      </c>
      <c r="Q15" s="14">
        <v>0.54</v>
      </c>
      <c r="R15" s="14">
        <v>0.25</v>
      </c>
      <c r="S15" s="14">
        <v>0.35</v>
      </c>
      <c r="T15" s="14">
        <v>0.33</v>
      </c>
      <c r="U15" s="14">
        <v>0.46</v>
      </c>
      <c r="V15" s="14">
        <v>0.5</v>
      </c>
      <c r="W15" s="14">
        <v>0.36</v>
      </c>
      <c r="X15" s="14">
        <v>0.51</v>
      </c>
      <c r="Y15" s="14">
        <v>0.34</v>
      </c>
      <c r="Z15" s="14">
        <v>0.57000000000000006</v>
      </c>
      <c r="AA15" s="14">
        <v>0.3</v>
      </c>
      <c r="AB15" s="14">
        <v>0.42</v>
      </c>
      <c r="AC15" s="14">
        <v>0.37</v>
      </c>
      <c r="AD15" s="14">
        <v>0.39</v>
      </c>
      <c r="AE15" s="14">
        <v>0.38</v>
      </c>
      <c r="AF15" s="14">
        <v>0.5</v>
      </c>
    </row>
    <row r="16" spans="1:32">
      <c r="A16" s="19"/>
      <c r="B16" s="11" t="s">
        <v>492</v>
      </c>
      <c r="C16" s="12">
        <v>6857</v>
      </c>
      <c r="D16" s="12">
        <v>337</v>
      </c>
      <c r="E16" s="12">
        <v>211</v>
      </c>
      <c r="F16" s="12">
        <v>409</v>
      </c>
      <c r="G16" s="12">
        <v>222</v>
      </c>
      <c r="H16" s="12">
        <v>373</v>
      </c>
      <c r="I16" s="12">
        <v>482</v>
      </c>
      <c r="J16" s="12">
        <v>109</v>
      </c>
      <c r="K16" s="12">
        <v>343</v>
      </c>
      <c r="L16" s="12">
        <v>239</v>
      </c>
      <c r="M16" s="12">
        <v>363</v>
      </c>
      <c r="N16" s="12">
        <v>225</v>
      </c>
      <c r="O16" s="12">
        <v>233</v>
      </c>
      <c r="P16" s="12">
        <v>254</v>
      </c>
      <c r="Q16" s="12">
        <v>195</v>
      </c>
      <c r="R16" s="12">
        <v>152</v>
      </c>
      <c r="S16" s="12">
        <v>272</v>
      </c>
      <c r="T16" s="12">
        <v>336</v>
      </c>
      <c r="U16" s="12">
        <v>131</v>
      </c>
      <c r="V16" s="12">
        <v>217</v>
      </c>
      <c r="W16" s="12">
        <v>184</v>
      </c>
      <c r="X16" s="12">
        <v>252</v>
      </c>
      <c r="Y16" s="12">
        <v>259</v>
      </c>
      <c r="Z16" s="12">
        <v>207</v>
      </c>
      <c r="AA16" s="12">
        <v>402</v>
      </c>
      <c r="AB16" s="12">
        <v>321</v>
      </c>
      <c r="AC16" s="12">
        <v>339</v>
      </c>
      <c r="AD16" s="12">
        <v>297</v>
      </c>
      <c r="AE16" s="12">
        <v>356</v>
      </c>
      <c r="AF16" s="12">
        <v>232</v>
      </c>
    </row>
    <row r="17" spans="1:32">
      <c r="A17" s="19"/>
      <c r="B17" s="13" t="s">
        <v>493</v>
      </c>
      <c r="C17" s="14">
        <v>0.26</v>
      </c>
      <c r="D17" s="14">
        <v>0.33</v>
      </c>
      <c r="E17" s="14">
        <v>0.2</v>
      </c>
      <c r="F17" s="14">
        <v>0.38</v>
      </c>
      <c r="G17" s="14">
        <v>0.22</v>
      </c>
      <c r="H17" s="14">
        <v>0.31</v>
      </c>
      <c r="I17" s="14">
        <v>0.32</v>
      </c>
      <c r="J17" s="14">
        <v>0.37</v>
      </c>
      <c r="K17" s="14">
        <v>0.34</v>
      </c>
      <c r="L17" s="14">
        <v>0.24</v>
      </c>
      <c r="M17" s="14">
        <v>0.36</v>
      </c>
      <c r="N17" s="14">
        <v>0.22</v>
      </c>
      <c r="O17" s="14">
        <v>0.23</v>
      </c>
      <c r="P17" s="14">
        <v>0.25</v>
      </c>
      <c r="Q17" s="14">
        <v>0.19</v>
      </c>
      <c r="R17" s="14">
        <v>0.31</v>
      </c>
      <c r="S17" s="14">
        <v>0.27</v>
      </c>
      <c r="T17" s="14">
        <v>0.33</v>
      </c>
      <c r="U17" s="14">
        <v>0.26</v>
      </c>
      <c r="V17" s="14">
        <v>0.21</v>
      </c>
      <c r="W17" s="14">
        <v>0.37</v>
      </c>
      <c r="X17" s="14">
        <v>0.25</v>
      </c>
      <c r="Y17" s="14">
        <v>0.26</v>
      </c>
      <c r="Z17" s="14">
        <v>0.2</v>
      </c>
      <c r="AA17" s="14">
        <v>0.39</v>
      </c>
      <c r="AB17" s="14">
        <v>0.31</v>
      </c>
      <c r="AC17" s="14">
        <v>0.34</v>
      </c>
      <c r="AD17" s="14">
        <v>0.3</v>
      </c>
      <c r="AE17" s="14">
        <v>0.35</v>
      </c>
      <c r="AF17" s="14">
        <v>0.23</v>
      </c>
    </row>
    <row r="18" spans="1:32">
      <c r="A18" s="19"/>
      <c r="B18" s="11" t="s">
        <v>494</v>
      </c>
      <c r="C18" s="12">
        <v>2278</v>
      </c>
      <c r="D18" s="12">
        <v>41</v>
      </c>
      <c r="E18" s="12">
        <v>51</v>
      </c>
      <c r="F18" s="12">
        <v>73</v>
      </c>
      <c r="G18" s="12">
        <v>81</v>
      </c>
      <c r="H18" s="12">
        <v>137</v>
      </c>
      <c r="I18" s="12">
        <v>191</v>
      </c>
      <c r="J18" s="12">
        <v>53</v>
      </c>
      <c r="K18" s="12">
        <v>127</v>
      </c>
      <c r="L18" s="12">
        <v>61</v>
      </c>
      <c r="M18" s="12">
        <v>181</v>
      </c>
      <c r="N18" s="12">
        <v>176</v>
      </c>
      <c r="O18" s="12">
        <v>56</v>
      </c>
      <c r="P18" s="12">
        <v>38</v>
      </c>
      <c r="Q18" s="12">
        <v>48</v>
      </c>
      <c r="R18" s="12">
        <v>174</v>
      </c>
      <c r="S18" s="12">
        <v>97</v>
      </c>
      <c r="T18" s="12">
        <v>114</v>
      </c>
      <c r="U18" s="12">
        <v>28</v>
      </c>
      <c r="V18" s="12">
        <v>67</v>
      </c>
      <c r="W18" s="12">
        <v>49</v>
      </c>
      <c r="X18" s="12">
        <v>26</v>
      </c>
      <c r="Y18" s="12">
        <v>113</v>
      </c>
      <c r="Z18" s="12">
        <v>31</v>
      </c>
      <c r="AA18" s="12">
        <v>32</v>
      </c>
      <c r="AB18" s="12">
        <v>95</v>
      </c>
      <c r="AC18" s="12">
        <v>120</v>
      </c>
      <c r="AD18" s="12">
        <v>122</v>
      </c>
      <c r="AE18" s="12">
        <v>106</v>
      </c>
      <c r="AF18" s="12">
        <v>82</v>
      </c>
    </row>
    <row r="19" spans="1:32">
      <c r="A19" s="19"/>
      <c r="B19" s="13" t="s">
        <v>708</v>
      </c>
      <c r="C19" s="14">
        <v>0.09</v>
      </c>
      <c r="D19" s="14">
        <v>0.04</v>
      </c>
      <c r="E19" s="14">
        <v>0.05</v>
      </c>
      <c r="F19" s="14">
        <v>7.0000000000000007E-2</v>
      </c>
      <c r="G19" s="14">
        <v>0.08</v>
      </c>
      <c r="H19" s="14">
        <v>0.11</v>
      </c>
      <c r="I19" s="14">
        <v>0.12</v>
      </c>
      <c r="J19" s="14">
        <v>0.18</v>
      </c>
      <c r="K19" s="14">
        <v>0.13</v>
      </c>
      <c r="L19" s="14">
        <v>0.06</v>
      </c>
      <c r="M19" s="14">
        <v>0.18</v>
      </c>
      <c r="N19" s="14">
        <v>0.18</v>
      </c>
      <c r="O19" s="14">
        <v>0.06</v>
      </c>
      <c r="P19" s="14">
        <v>0.04</v>
      </c>
      <c r="Q19" s="14">
        <v>0.04</v>
      </c>
      <c r="R19" s="14">
        <v>0.35</v>
      </c>
      <c r="S19" s="14">
        <v>0.1</v>
      </c>
      <c r="T19" s="14">
        <v>0.11</v>
      </c>
      <c r="U19" s="14">
        <v>0.06</v>
      </c>
      <c r="V19" s="14">
        <v>0.06</v>
      </c>
      <c r="W19" s="14">
        <v>0.1</v>
      </c>
      <c r="X19" s="14">
        <v>0.02</v>
      </c>
      <c r="Y19" s="14">
        <v>0.11</v>
      </c>
      <c r="Z19" s="14">
        <v>0.03</v>
      </c>
      <c r="AA19" s="14">
        <v>0.03</v>
      </c>
      <c r="AB19" s="14">
        <v>0.09</v>
      </c>
      <c r="AC19" s="14">
        <v>0.12</v>
      </c>
      <c r="AD19" s="14">
        <v>0.12</v>
      </c>
      <c r="AE19" s="14">
        <v>0.11</v>
      </c>
      <c r="AF19" s="14">
        <v>0.08</v>
      </c>
    </row>
    <row r="20" spans="1:32">
      <c r="A20" s="19"/>
      <c r="B20" s="11" t="s">
        <v>386</v>
      </c>
      <c r="C20" s="12">
        <v>2204</v>
      </c>
      <c r="D20" s="12">
        <v>30</v>
      </c>
      <c r="E20" s="12">
        <v>220</v>
      </c>
      <c r="F20" s="12">
        <v>81</v>
      </c>
      <c r="G20" s="12">
        <v>78</v>
      </c>
      <c r="H20" s="12">
        <v>101</v>
      </c>
      <c r="I20" s="12">
        <v>111</v>
      </c>
      <c r="J20" s="12">
        <v>10</v>
      </c>
      <c r="K20" s="12">
        <v>105</v>
      </c>
      <c r="L20" s="12">
        <v>73</v>
      </c>
      <c r="M20" s="12">
        <v>34</v>
      </c>
      <c r="N20" s="12">
        <v>109</v>
      </c>
      <c r="O20" s="12">
        <v>133</v>
      </c>
      <c r="P20" s="12">
        <v>49</v>
      </c>
      <c r="Q20" s="12">
        <v>70</v>
      </c>
      <c r="R20" s="12">
        <v>30</v>
      </c>
      <c r="S20" s="12">
        <v>165</v>
      </c>
      <c r="T20" s="12">
        <v>88</v>
      </c>
      <c r="U20" s="12">
        <v>43</v>
      </c>
      <c r="V20" s="12">
        <v>31</v>
      </c>
      <c r="W20" s="12">
        <v>14</v>
      </c>
      <c r="X20" s="12">
        <v>26</v>
      </c>
      <c r="Y20" s="12">
        <v>48</v>
      </c>
      <c r="Z20" s="12">
        <v>65</v>
      </c>
      <c r="AA20" s="12">
        <v>196</v>
      </c>
      <c r="AB20" s="12">
        <v>85</v>
      </c>
      <c r="AC20" s="12">
        <v>46</v>
      </c>
      <c r="AD20" s="12">
        <v>55</v>
      </c>
      <c r="AE20" s="12">
        <v>61</v>
      </c>
      <c r="AF20" s="12">
        <v>52</v>
      </c>
    </row>
    <row r="21" spans="1:32">
      <c r="A21" s="19"/>
      <c r="B21" s="13" t="s">
        <v>399</v>
      </c>
      <c r="C21" s="14">
        <v>0.08</v>
      </c>
      <c r="D21" s="14">
        <v>0.03</v>
      </c>
      <c r="E21" s="14">
        <v>0.21</v>
      </c>
      <c r="F21" s="14">
        <v>0.08</v>
      </c>
      <c r="G21" s="14">
        <v>0.08</v>
      </c>
      <c r="H21" s="14">
        <v>0.08</v>
      </c>
      <c r="I21" s="14">
        <v>7.0000000000000007E-2</v>
      </c>
      <c r="J21" s="14">
        <v>0.04</v>
      </c>
      <c r="K21" s="14">
        <v>0.1</v>
      </c>
      <c r="L21" s="14">
        <v>7.0000000000000007E-2</v>
      </c>
      <c r="M21" s="14">
        <v>0.03</v>
      </c>
      <c r="N21" s="14">
        <v>0.11</v>
      </c>
      <c r="O21" s="14">
        <v>0.13</v>
      </c>
      <c r="P21" s="14">
        <v>0.05</v>
      </c>
      <c r="Q21" s="14">
        <v>7.0000000000000007E-2</v>
      </c>
      <c r="R21" s="14">
        <v>0.06</v>
      </c>
      <c r="S21" s="14">
        <v>0.17</v>
      </c>
      <c r="T21" s="14">
        <v>0.08</v>
      </c>
      <c r="U21" s="14">
        <v>0.08</v>
      </c>
      <c r="V21" s="14">
        <v>0.03</v>
      </c>
      <c r="W21" s="14">
        <v>0.03</v>
      </c>
      <c r="X21" s="14">
        <v>0.03</v>
      </c>
      <c r="Y21" s="14">
        <v>0.05</v>
      </c>
      <c r="Z21" s="14">
        <v>0.06</v>
      </c>
      <c r="AA21" s="14">
        <v>0.19</v>
      </c>
      <c r="AB21" s="14">
        <v>0.08</v>
      </c>
      <c r="AC21" s="14">
        <v>0.04</v>
      </c>
      <c r="AD21" s="14">
        <v>0.05</v>
      </c>
      <c r="AE21" s="14">
        <v>0.06</v>
      </c>
      <c r="AF21" s="14">
        <v>0.05</v>
      </c>
    </row>
    <row r="22" spans="1:32">
      <c r="A22" s="19"/>
      <c r="B22" s="11" t="s">
        <v>496</v>
      </c>
      <c r="C22" s="12">
        <v>15114</v>
      </c>
      <c r="D22" s="12">
        <v>614</v>
      </c>
      <c r="E22" s="12">
        <v>564</v>
      </c>
      <c r="F22" s="12">
        <v>501</v>
      </c>
      <c r="G22" s="12">
        <v>634</v>
      </c>
      <c r="H22" s="12">
        <v>619</v>
      </c>
      <c r="I22" s="12">
        <v>743</v>
      </c>
      <c r="J22" s="12">
        <v>124</v>
      </c>
      <c r="K22" s="12">
        <v>431</v>
      </c>
      <c r="L22" s="12">
        <v>634</v>
      </c>
      <c r="M22" s="12">
        <v>430</v>
      </c>
      <c r="N22" s="12">
        <v>501</v>
      </c>
      <c r="O22" s="12">
        <v>581</v>
      </c>
      <c r="P22" s="12">
        <v>662</v>
      </c>
      <c r="Q22" s="12">
        <v>719</v>
      </c>
      <c r="R22" s="12">
        <v>144</v>
      </c>
      <c r="S22" s="12">
        <v>470</v>
      </c>
      <c r="T22" s="12">
        <v>485</v>
      </c>
      <c r="U22" s="12">
        <v>305</v>
      </c>
      <c r="V22" s="12">
        <v>711</v>
      </c>
      <c r="W22" s="12">
        <v>256</v>
      </c>
      <c r="X22" s="12">
        <v>707</v>
      </c>
      <c r="Y22" s="12">
        <v>583</v>
      </c>
      <c r="Z22" s="12">
        <v>713</v>
      </c>
      <c r="AA22" s="12">
        <v>407</v>
      </c>
      <c r="AB22" s="12">
        <v>540</v>
      </c>
      <c r="AC22" s="12">
        <v>500</v>
      </c>
      <c r="AD22" s="12">
        <v>529</v>
      </c>
      <c r="AE22" s="12">
        <v>477</v>
      </c>
      <c r="AF22" s="12">
        <v>664</v>
      </c>
    </row>
    <row r="23" spans="1:32">
      <c r="A23" s="19"/>
      <c r="B23" s="13" t="s">
        <v>497</v>
      </c>
      <c r="C23" s="14">
        <v>0.57000000000000006</v>
      </c>
      <c r="D23" s="14">
        <v>0.6</v>
      </c>
      <c r="E23" s="14">
        <v>0.54</v>
      </c>
      <c r="F23" s="14">
        <v>0.47</v>
      </c>
      <c r="G23" s="14">
        <v>0.62</v>
      </c>
      <c r="H23" s="14">
        <v>0.5</v>
      </c>
      <c r="I23" s="14">
        <v>0.49</v>
      </c>
      <c r="J23" s="14">
        <v>0.41</v>
      </c>
      <c r="K23" s="14">
        <v>0.43</v>
      </c>
      <c r="L23" s="14">
        <v>0.63</v>
      </c>
      <c r="M23" s="14">
        <v>0.43</v>
      </c>
      <c r="N23" s="14">
        <v>0.49</v>
      </c>
      <c r="O23" s="14">
        <v>0.57999999999999996</v>
      </c>
      <c r="P23" s="14">
        <v>0.66</v>
      </c>
      <c r="Q23" s="14">
        <v>0.70000000000000007</v>
      </c>
      <c r="R23" s="14">
        <v>0.28000000000000003</v>
      </c>
      <c r="S23" s="14">
        <v>0.46</v>
      </c>
      <c r="T23" s="14">
        <v>0.48</v>
      </c>
      <c r="U23" s="14">
        <v>0.6</v>
      </c>
      <c r="V23" s="14">
        <v>0.70000000000000007</v>
      </c>
      <c r="W23" s="14">
        <v>0.5</v>
      </c>
      <c r="X23" s="14">
        <v>0.70000000000000007</v>
      </c>
      <c r="Y23" s="14">
        <v>0.57999999999999996</v>
      </c>
      <c r="Z23" s="14">
        <v>0.71</v>
      </c>
      <c r="AA23" s="14">
        <v>0.39</v>
      </c>
      <c r="AB23" s="14">
        <v>0.52</v>
      </c>
      <c r="AC23" s="14">
        <v>0.5</v>
      </c>
      <c r="AD23" s="14">
        <v>0.53</v>
      </c>
      <c r="AE23" s="14">
        <v>0.48</v>
      </c>
      <c r="AF23" s="14">
        <v>0.64</v>
      </c>
    </row>
    <row r="24" spans="1:32">
      <c r="A24" s="19"/>
      <c r="B24" s="11" t="s">
        <v>498</v>
      </c>
      <c r="C24" s="12">
        <v>9135</v>
      </c>
      <c r="D24" s="12">
        <v>378</v>
      </c>
      <c r="E24" s="12">
        <v>262</v>
      </c>
      <c r="F24" s="12">
        <v>482</v>
      </c>
      <c r="G24" s="12">
        <v>303</v>
      </c>
      <c r="H24" s="12">
        <v>510</v>
      </c>
      <c r="I24" s="12">
        <v>673</v>
      </c>
      <c r="J24" s="12">
        <v>162</v>
      </c>
      <c r="K24" s="12">
        <v>470</v>
      </c>
      <c r="L24" s="12">
        <v>300</v>
      </c>
      <c r="M24" s="12">
        <v>544</v>
      </c>
      <c r="N24" s="12">
        <v>401</v>
      </c>
      <c r="O24" s="12">
        <v>289</v>
      </c>
      <c r="P24" s="12">
        <v>292</v>
      </c>
      <c r="Q24" s="12">
        <v>243</v>
      </c>
      <c r="R24" s="12">
        <v>326</v>
      </c>
      <c r="S24" s="12">
        <v>369</v>
      </c>
      <c r="T24" s="12">
        <v>450</v>
      </c>
      <c r="U24" s="12">
        <v>159</v>
      </c>
      <c r="V24" s="12">
        <v>284</v>
      </c>
      <c r="W24" s="12">
        <v>233</v>
      </c>
      <c r="X24" s="12">
        <v>278</v>
      </c>
      <c r="Y24" s="12">
        <v>372</v>
      </c>
      <c r="Z24" s="12">
        <v>238</v>
      </c>
      <c r="AA24" s="12">
        <v>434</v>
      </c>
      <c r="AB24" s="12">
        <v>416</v>
      </c>
      <c r="AC24" s="12">
        <v>459</v>
      </c>
      <c r="AD24" s="12">
        <v>419</v>
      </c>
      <c r="AE24" s="12">
        <v>462</v>
      </c>
      <c r="AF24" s="12">
        <v>314</v>
      </c>
    </row>
    <row r="25" spans="1:32">
      <c r="A25" s="19"/>
      <c r="B25" s="13" t="s">
        <v>499</v>
      </c>
      <c r="C25" s="14">
        <v>0.35</v>
      </c>
      <c r="D25" s="14">
        <v>0.37</v>
      </c>
      <c r="E25" s="14">
        <v>0.25</v>
      </c>
      <c r="F25" s="14">
        <v>0.45</v>
      </c>
      <c r="G25" s="14">
        <v>0.3</v>
      </c>
      <c r="H25" s="14">
        <v>0.42</v>
      </c>
      <c r="I25" s="14">
        <v>0.44</v>
      </c>
      <c r="J25" s="14">
        <v>0.55000000000000004</v>
      </c>
      <c r="K25" s="14">
        <v>0.47</v>
      </c>
      <c r="L25" s="14">
        <v>0.3</v>
      </c>
      <c r="M25" s="14">
        <v>0.54</v>
      </c>
      <c r="N25" s="14">
        <v>0.4</v>
      </c>
      <c r="O25" s="14">
        <v>0.28999999999999998</v>
      </c>
      <c r="P25" s="14">
        <v>0.28999999999999998</v>
      </c>
      <c r="Q25" s="14">
        <v>0.23</v>
      </c>
      <c r="R25" s="14">
        <v>0.66</v>
      </c>
      <c r="S25" s="14">
        <v>0.37</v>
      </c>
      <c r="T25" s="14">
        <v>0.44</v>
      </c>
      <c r="U25" s="14">
        <v>0.32</v>
      </c>
      <c r="V25" s="14">
        <v>0.27</v>
      </c>
      <c r="W25" s="14">
        <v>0.47</v>
      </c>
      <c r="X25" s="14">
        <v>0.27</v>
      </c>
      <c r="Y25" s="14">
        <v>0.37</v>
      </c>
      <c r="Z25" s="14">
        <v>0.23</v>
      </c>
      <c r="AA25" s="14">
        <v>0.42</v>
      </c>
      <c r="AB25" s="14">
        <v>0.4</v>
      </c>
      <c r="AC25" s="14">
        <v>0.46</v>
      </c>
      <c r="AD25" s="14">
        <v>0.42</v>
      </c>
      <c r="AE25" s="14">
        <v>0.46</v>
      </c>
      <c r="AF25" s="14">
        <v>0.31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5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153</v>
      </c>
      <c r="C3" s="17"/>
      <c r="D3" s="17"/>
      <c r="E3" s="17"/>
      <c r="F3" s="17"/>
      <c r="H3" s="17" t="s">
        <v>154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805</v>
      </c>
      <c r="C12" s="12">
        <v>13679</v>
      </c>
      <c r="D12" s="12">
        <v>645</v>
      </c>
      <c r="E12" s="12">
        <v>746</v>
      </c>
      <c r="F12" s="12">
        <v>597</v>
      </c>
      <c r="G12" s="12">
        <v>787</v>
      </c>
      <c r="H12" s="12">
        <v>358</v>
      </c>
      <c r="I12" s="12">
        <v>477</v>
      </c>
      <c r="J12" s="12">
        <v>119</v>
      </c>
      <c r="K12" s="12">
        <v>685</v>
      </c>
      <c r="L12" s="12">
        <v>504</v>
      </c>
      <c r="M12" s="12">
        <v>643</v>
      </c>
      <c r="N12" s="12">
        <v>436</v>
      </c>
      <c r="O12" s="12">
        <v>490</v>
      </c>
      <c r="P12" s="12">
        <v>609</v>
      </c>
      <c r="Q12" s="12">
        <v>607</v>
      </c>
      <c r="R12" s="12">
        <v>339</v>
      </c>
      <c r="S12" s="12">
        <v>613</v>
      </c>
      <c r="T12" s="12">
        <v>755</v>
      </c>
      <c r="U12" s="12">
        <v>284</v>
      </c>
      <c r="V12" s="12">
        <v>765</v>
      </c>
      <c r="W12" s="12">
        <v>396</v>
      </c>
      <c r="X12" s="12">
        <v>474</v>
      </c>
      <c r="Y12" s="12">
        <v>445</v>
      </c>
      <c r="Z12" s="12">
        <v>614</v>
      </c>
      <c r="AA12" s="12">
        <v>626</v>
      </c>
      <c r="AB12" s="12">
        <v>735</v>
      </c>
      <c r="AC12" s="12">
        <v>584</v>
      </c>
      <c r="AD12" s="12">
        <v>659</v>
      </c>
      <c r="AE12" s="12">
        <v>583</v>
      </c>
      <c r="AF12" s="12">
        <v>733</v>
      </c>
    </row>
    <row r="13" spans="1:32">
      <c r="A13" s="19"/>
      <c r="B13" s="13" t="s">
        <v>805</v>
      </c>
      <c r="C13" s="14">
        <v>0.52</v>
      </c>
      <c r="D13" s="14">
        <v>0.63</v>
      </c>
      <c r="E13" s="14">
        <v>0.71</v>
      </c>
      <c r="F13" s="14">
        <v>0.56000000000000005</v>
      </c>
      <c r="G13" s="14">
        <v>0.77</v>
      </c>
      <c r="H13" s="14">
        <v>0.28999999999999998</v>
      </c>
      <c r="I13" s="14">
        <v>0.31</v>
      </c>
      <c r="J13" s="14">
        <v>0.4</v>
      </c>
      <c r="K13" s="14">
        <v>0.68</v>
      </c>
      <c r="L13" s="14">
        <v>0.5</v>
      </c>
      <c r="M13" s="14">
        <v>0.64</v>
      </c>
      <c r="N13" s="14">
        <v>0.43</v>
      </c>
      <c r="O13" s="14">
        <v>0.49</v>
      </c>
      <c r="P13" s="14">
        <v>0.61</v>
      </c>
      <c r="Q13" s="14">
        <v>0.59</v>
      </c>
      <c r="R13" s="14">
        <v>0.68</v>
      </c>
      <c r="S13" s="14">
        <v>0.61</v>
      </c>
      <c r="T13" s="14">
        <v>0.74</v>
      </c>
      <c r="U13" s="14">
        <v>0.56000000000000005</v>
      </c>
      <c r="V13" s="14">
        <v>0.75</v>
      </c>
      <c r="W13" s="14">
        <v>0.79</v>
      </c>
      <c r="X13" s="14">
        <v>0.47</v>
      </c>
      <c r="Y13" s="14">
        <v>0.44</v>
      </c>
      <c r="Z13" s="14">
        <v>0.6</v>
      </c>
      <c r="AA13" s="14">
        <v>0.6</v>
      </c>
      <c r="AB13" s="14">
        <v>0.71</v>
      </c>
      <c r="AC13" s="14">
        <v>0.57999999999999996</v>
      </c>
      <c r="AD13" s="14">
        <v>0.66</v>
      </c>
      <c r="AE13" s="14">
        <v>0.57999999999999996</v>
      </c>
      <c r="AF13" s="14">
        <v>0.71</v>
      </c>
    </row>
    <row r="14" spans="1:32">
      <c r="A14" s="19"/>
      <c r="B14" s="11" t="s">
        <v>806</v>
      </c>
      <c r="C14" s="12">
        <v>2063</v>
      </c>
      <c r="D14" s="12">
        <v>76</v>
      </c>
      <c r="E14" s="12">
        <v>43</v>
      </c>
      <c r="F14" s="12">
        <v>79</v>
      </c>
      <c r="G14" s="12">
        <v>80</v>
      </c>
      <c r="H14" s="12">
        <v>78</v>
      </c>
      <c r="I14" s="12">
        <v>97</v>
      </c>
      <c r="J14" s="12">
        <v>19</v>
      </c>
      <c r="K14" s="12">
        <v>88</v>
      </c>
      <c r="L14" s="12">
        <v>167</v>
      </c>
      <c r="M14" s="12">
        <v>52</v>
      </c>
      <c r="N14" s="12">
        <v>100</v>
      </c>
      <c r="O14" s="12">
        <v>98</v>
      </c>
      <c r="P14" s="12">
        <v>47</v>
      </c>
      <c r="Q14" s="12">
        <v>91</v>
      </c>
      <c r="R14" s="12">
        <v>44</v>
      </c>
      <c r="S14" s="12">
        <v>67</v>
      </c>
      <c r="T14" s="12">
        <v>32</v>
      </c>
      <c r="U14" s="12">
        <v>40</v>
      </c>
      <c r="V14" s="12">
        <v>80</v>
      </c>
      <c r="W14" s="12">
        <v>42</v>
      </c>
      <c r="X14" s="12">
        <v>90</v>
      </c>
      <c r="Y14" s="12">
        <v>110</v>
      </c>
      <c r="Z14" s="12">
        <v>47</v>
      </c>
      <c r="AA14" s="12">
        <v>34</v>
      </c>
      <c r="AB14" s="12">
        <v>24</v>
      </c>
      <c r="AC14" s="12">
        <v>54</v>
      </c>
      <c r="AD14" s="12">
        <v>93</v>
      </c>
      <c r="AE14" s="12">
        <v>122</v>
      </c>
      <c r="AF14" s="12">
        <v>131</v>
      </c>
    </row>
    <row r="15" spans="1:32">
      <c r="A15" s="19"/>
      <c r="B15" s="13" t="s">
        <v>807</v>
      </c>
      <c r="C15" s="14">
        <v>0.08</v>
      </c>
      <c r="D15" s="14">
        <v>7.0000000000000007E-2</v>
      </c>
      <c r="E15" s="14">
        <v>0.04</v>
      </c>
      <c r="F15" s="14">
        <v>7.0000000000000007E-2</v>
      </c>
      <c r="G15" s="14">
        <v>0.08</v>
      </c>
      <c r="H15" s="14">
        <v>0.06</v>
      </c>
      <c r="I15" s="14">
        <v>0.06</v>
      </c>
      <c r="J15" s="14">
        <v>7.0000000000000007E-2</v>
      </c>
      <c r="K15" s="14">
        <v>0.09</v>
      </c>
      <c r="L15" s="14">
        <v>0.17</v>
      </c>
      <c r="M15" s="14">
        <v>0.05</v>
      </c>
      <c r="N15" s="14">
        <v>0.1</v>
      </c>
      <c r="O15" s="14">
        <v>0.1</v>
      </c>
      <c r="P15" s="14">
        <v>0.05</v>
      </c>
      <c r="Q15" s="14">
        <v>0.09</v>
      </c>
      <c r="R15" s="14">
        <v>0.09</v>
      </c>
      <c r="S15" s="14">
        <v>7.0000000000000007E-2</v>
      </c>
      <c r="T15" s="14">
        <v>0.03</v>
      </c>
      <c r="U15" s="14">
        <v>0.08</v>
      </c>
      <c r="V15" s="14">
        <v>0.08</v>
      </c>
      <c r="W15" s="14">
        <v>0.08</v>
      </c>
      <c r="X15" s="14">
        <v>0.09</v>
      </c>
      <c r="Y15" s="14">
        <v>0.11</v>
      </c>
      <c r="Z15" s="14">
        <v>0.05</v>
      </c>
      <c r="AA15" s="14">
        <v>0.03</v>
      </c>
      <c r="AB15" s="14">
        <v>0.02</v>
      </c>
      <c r="AC15" s="14">
        <v>0.05</v>
      </c>
      <c r="AD15" s="14">
        <v>0.09</v>
      </c>
      <c r="AE15" s="14">
        <v>0.12</v>
      </c>
      <c r="AF15" s="14">
        <v>0.13</v>
      </c>
    </row>
    <row r="16" spans="1:32">
      <c r="A16" s="19"/>
      <c r="B16" s="11" t="s">
        <v>808</v>
      </c>
      <c r="C16" s="12">
        <v>10318</v>
      </c>
      <c r="D16" s="12">
        <v>437</v>
      </c>
      <c r="E16" s="12">
        <v>308</v>
      </c>
      <c r="F16" s="12">
        <v>362</v>
      </c>
      <c r="G16" s="12">
        <v>495</v>
      </c>
      <c r="H16" s="12">
        <v>426</v>
      </c>
      <c r="I16" s="12">
        <v>523</v>
      </c>
      <c r="J16" s="12">
        <v>96</v>
      </c>
      <c r="K16" s="12">
        <v>384</v>
      </c>
      <c r="L16" s="12">
        <v>444</v>
      </c>
      <c r="M16" s="12">
        <v>454</v>
      </c>
      <c r="N16" s="12">
        <v>518</v>
      </c>
      <c r="O16" s="12">
        <v>362</v>
      </c>
      <c r="P16" s="12">
        <v>384</v>
      </c>
      <c r="Q16" s="12">
        <v>474</v>
      </c>
      <c r="R16" s="12">
        <v>263</v>
      </c>
      <c r="S16" s="12">
        <v>370</v>
      </c>
      <c r="T16" s="12">
        <v>325</v>
      </c>
      <c r="U16" s="12">
        <v>224</v>
      </c>
      <c r="V16" s="12">
        <v>273</v>
      </c>
      <c r="W16" s="12">
        <v>223</v>
      </c>
      <c r="X16" s="12">
        <v>476</v>
      </c>
      <c r="Y16" s="12">
        <v>308</v>
      </c>
      <c r="Z16" s="12">
        <v>216</v>
      </c>
      <c r="AA16" s="12">
        <v>485</v>
      </c>
      <c r="AB16" s="12">
        <v>314</v>
      </c>
      <c r="AC16" s="12">
        <v>340</v>
      </c>
      <c r="AD16" s="12">
        <v>358</v>
      </c>
      <c r="AE16" s="12">
        <v>533</v>
      </c>
      <c r="AF16" s="12">
        <v>637</v>
      </c>
    </row>
    <row r="17" spans="1:32">
      <c r="A17" s="19"/>
      <c r="B17" s="13" t="s">
        <v>808</v>
      </c>
      <c r="C17" s="14">
        <v>0.39</v>
      </c>
      <c r="D17" s="14">
        <v>0.43</v>
      </c>
      <c r="E17" s="14">
        <v>0.28999999999999998</v>
      </c>
      <c r="F17" s="14">
        <v>0.34</v>
      </c>
      <c r="G17" s="14">
        <v>0.49</v>
      </c>
      <c r="H17" s="14">
        <v>0.35</v>
      </c>
      <c r="I17" s="14">
        <v>0.34</v>
      </c>
      <c r="J17" s="14">
        <v>0.32</v>
      </c>
      <c r="K17" s="14">
        <v>0.38</v>
      </c>
      <c r="L17" s="14">
        <v>0.44</v>
      </c>
      <c r="M17" s="14">
        <v>0.45</v>
      </c>
      <c r="N17" s="14">
        <v>0.51</v>
      </c>
      <c r="O17" s="14">
        <v>0.36</v>
      </c>
      <c r="P17" s="14">
        <v>0.38</v>
      </c>
      <c r="Q17" s="14">
        <v>0.46</v>
      </c>
      <c r="R17" s="14">
        <v>0.53</v>
      </c>
      <c r="S17" s="14">
        <v>0.37</v>
      </c>
      <c r="T17" s="14">
        <v>0.32</v>
      </c>
      <c r="U17" s="14">
        <v>0.44</v>
      </c>
      <c r="V17" s="14">
        <v>0.27</v>
      </c>
      <c r="W17" s="14">
        <v>0.44</v>
      </c>
      <c r="X17" s="14">
        <v>0.47</v>
      </c>
      <c r="Y17" s="14">
        <v>0.31</v>
      </c>
      <c r="Z17" s="14">
        <v>0.21</v>
      </c>
      <c r="AA17" s="14">
        <v>0.47</v>
      </c>
      <c r="AB17" s="14">
        <v>0.3</v>
      </c>
      <c r="AC17" s="14">
        <v>0.34</v>
      </c>
      <c r="AD17" s="14">
        <v>0.36</v>
      </c>
      <c r="AE17" s="14">
        <v>0.53</v>
      </c>
      <c r="AF17" s="14">
        <v>0.62</v>
      </c>
    </row>
    <row r="18" spans="1:32">
      <c r="A18" s="19"/>
      <c r="B18" s="11" t="s">
        <v>809</v>
      </c>
      <c r="C18" s="12">
        <v>2735</v>
      </c>
      <c r="D18" s="12">
        <v>156</v>
      </c>
      <c r="E18" s="12">
        <v>13</v>
      </c>
      <c r="F18" s="12">
        <v>59</v>
      </c>
      <c r="G18" s="12">
        <v>333</v>
      </c>
      <c r="H18" s="12">
        <v>110</v>
      </c>
      <c r="I18" s="12">
        <v>127</v>
      </c>
      <c r="J18" s="12">
        <v>16</v>
      </c>
      <c r="K18" s="12">
        <v>87</v>
      </c>
      <c r="L18" s="12">
        <v>162</v>
      </c>
      <c r="M18" s="12">
        <v>26</v>
      </c>
      <c r="N18" s="12">
        <v>90</v>
      </c>
      <c r="O18" s="12">
        <v>111</v>
      </c>
      <c r="P18" s="12">
        <v>61</v>
      </c>
      <c r="Q18" s="12">
        <v>100</v>
      </c>
      <c r="R18" s="12">
        <v>68</v>
      </c>
      <c r="S18" s="12">
        <v>75</v>
      </c>
      <c r="T18" s="12">
        <v>79</v>
      </c>
      <c r="U18" s="12">
        <v>109</v>
      </c>
      <c r="V18" s="12">
        <v>46</v>
      </c>
      <c r="W18" s="12">
        <v>111</v>
      </c>
      <c r="X18" s="12">
        <v>409</v>
      </c>
      <c r="Y18" s="12">
        <v>83</v>
      </c>
      <c r="Z18" s="12">
        <v>20</v>
      </c>
      <c r="AA18" s="12">
        <v>63</v>
      </c>
      <c r="AB18" s="12">
        <v>49</v>
      </c>
      <c r="AC18" s="12">
        <v>73</v>
      </c>
      <c r="AD18" s="12">
        <v>65</v>
      </c>
      <c r="AE18" s="12">
        <v>180</v>
      </c>
      <c r="AF18" s="12">
        <v>300</v>
      </c>
    </row>
    <row r="19" spans="1:32">
      <c r="A19" s="19"/>
      <c r="B19" s="13" t="s">
        <v>809</v>
      </c>
      <c r="C19" s="14">
        <v>0.1</v>
      </c>
      <c r="D19" s="14">
        <v>0.15</v>
      </c>
      <c r="E19" s="14">
        <v>0.01</v>
      </c>
      <c r="F19" s="14">
        <v>0.06</v>
      </c>
      <c r="G19" s="14">
        <v>0.33</v>
      </c>
      <c r="H19" s="14">
        <v>0.09</v>
      </c>
      <c r="I19" s="14">
        <v>0.08</v>
      </c>
      <c r="J19" s="14">
        <v>0.05</v>
      </c>
      <c r="K19" s="14">
        <v>0.09</v>
      </c>
      <c r="L19" s="14">
        <v>0.16</v>
      </c>
      <c r="M19" s="14">
        <v>0.03</v>
      </c>
      <c r="N19" s="14">
        <v>0.09</v>
      </c>
      <c r="O19" s="14">
        <v>0.11</v>
      </c>
      <c r="P19" s="14">
        <v>0.06</v>
      </c>
      <c r="Q19" s="14">
        <v>0.1</v>
      </c>
      <c r="R19" s="14">
        <v>0.14000000000000001</v>
      </c>
      <c r="S19" s="14">
        <v>7.0000000000000007E-2</v>
      </c>
      <c r="T19" s="14">
        <v>0.08</v>
      </c>
      <c r="U19" s="14">
        <v>0.21</v>
      </c>
      <c r="V19" s="14">
        <v>0.04</v>
      </c>
      <c r="W19" s="14">
        <v>0.22</v>
      </c>
      <c r="X19" s="14">
        <v>0.41</v>
      </c>
      <c r="Y19" s="14">
        <v>0.08</v>
      </c>
      <c r="Z19" s="14">
        <v>0.02</v>
      </c>
      <c r="AA19" s="14">
        <v>0.06</v>
      </c>
      <c r="AB19" s="14">
        <v>0.05</v>
      </c>
      <c r="AC19" s="14">
        <v>7.0000000000000007E-2</v>
      </c>
      <c r="AD19" s="14">
        <v>7.0000000000000007E-2</v>
      </c>
      <c r="AE19" s="14">
        <v>0.18</v>
      </c>
      <c r="AF19" s="14">
        <v>0.28999999999999998</v>
      </c>
    </row>
    <row r="20" spans="1:32">
      <c r="A20" s="19"/>
      <c r="B20" s="11" t="s">
        <v>810</v>
      </c>
      <c r="C20" s="12">
        <v>13779</v>
      </c>
      <c r="D20" s="12">
        <v>558</v>
      </c>
      <c r="E20" s="12">
        <v>436</v>
      </c>
      <c r="F20" s="12">
        <v>569</v>
      </c>
      <c r="G20" s="12">
        <v>605</v>
      </c>
      <c r="H20" s="12">
        <v>667</v>
      </c>
      <c r="I20" s="12">
        <v>839</v>
      </c>
      <c r="J20" s="12">
        <v>172</v>
      </c>
      <c r="K20" s="12">
        <v>596</v>
      </c>
      <c r="L20" s="12">
        <v>557</v>
      </c>
      <c r="M20" s="12">
        <v>494</v>
      </c>
      <c r="N20" s="12">
        <v>540</v>
      </c>
      <c r="O20" s="12">
        <v>523</v>
      </c>
      <c r="P20" s="12">
        <v>550</v>
      </c>
      <c r="Q20" s="12">
        <v>435</v>
      </c>
      <c r="R20" s="12">
        <v>299</v>
      </c>
      <c r="S20" s="12">
        <v>683</v>
      </c>
      <c r="T20" s="12">
        <v>681</v>
      </c>
      <c r="U20" s="12">
        <v>320</v>
      </c>
      <c r="V20" s="12">
        <v>559</v>
      </c>
      <c r="W20" s="12">
        <v>309</v>
      </c>
      <c r="X20" s="12">
        <v>666</v>
      </c>
      <c r="Y20" s="12">
        <v>507</v>
      </c>
      <c r="Z20" s="12">
        <v>445</v>
      </c>
      <c r="AA20" s="12">
        <v>467</v>
      </c>
      <c r="AB20" s="12">
        <v>581</v>
      </c>
      <c r="AC20" s="12">
        <v>600</v>
      </c>
      <c r="AD20" s="12">
        <v>536</v>
      </c>
      <c r="AE20" s="12">
        <v>596</v>
      </c>
      <c r="AF20" s="12">
        <v>699</v>
      </c>
    </row>
    <row r="21" spans="1:32">
      <c r="A21" s="19"/>
      <c r="B21" s="13" t="s">
        <v>810</v>
      </c>
      <c r="C21" s="14">
        <v>0.52</v>
      </c>
      <c r="D21" s="14">
        <v>0.55000000000000004</v>
      </c>
      <c r="E21" s="14">
        <v>0.42</v>
      </c>
      <c r="F21" s="14">
        <v>0.53</v>
      </c>
      <c r="G21" s="14">
        <v>0.6</v>
      </c>
      <c r="H21" s="14">
        <v>0.54</v>
      </c>
      <c r="I21" s="14">
        <v>0.55000000000000004</v>
      </c>
      <c r="J21" s="14">
        <v>0.57999999999999996</v>
      </c>
      <c r="K21" s="14">
        <v>0.59</v>
      </c>
      <c r="L21" s="14">
        <v>0.55000000000000004</v>
      </c>
      <c r="M21" s="14">
        <v>0.49</v>
      </c>
      <c r="N21" s="14">
        <v>0.53</v>
      </c>
      <c r="O21" s="14">
        <v>0.52</v>
      </c>
      <c r="P21" s="14">
        <v>0.55000000000000004</v>
      </c>
      <c r="Q21" s="14">
        <v>0.42</v>
      </c>
      <c r="R21" s="14">
        <v>0.6</v>
      </c>
      <c r="S21" s="14">
        <v>0.68</v>
      </c>
      <c r="T21" s="14">
        <v>0.67</v>
      </c>
      <c r="U21" s="14">
        <v>0.63</v>
      </c>
      <c r="V21" s="14">
        <v>0.54</v>
      </c>
      <c r="W21" s="14">
        <v>0.62</v>
      </c>
      <c r="X21" s="14">
        <v>0.66</v>
      </c>
      <c r="Y21" s="14">
        <v>0.51</v>
      </c>
      <c r="Z21" s="14">
        <v>0.44</v>
      </c>
      <c r="AA21" s="14">
        <v>0.45</v>
      </c>
      <c r="AB21" s="14">
        <v>0.56000000000000005</v>
      </c>
      <c r="AC21" s="14">
        <v>0.6</v>
      </c>
      <c r="AD21" s="14">
        <v>0.53</v>
      </c>
      <c r="AE21" s="14">
        <v>0.6</v>
      </c>
      <c r="AF21" s="14">
        <v>0.68</v>
      </c>
    </row>
    <row r="22" spans="1:32">
      <c r="A22" s="19"/>
      <c r="B22" s="11" t="s">
        <v>811</v>
      </c>
      <c r="C22" s="12">
        <v>873</v>
      </c>
      <c r="D22" s="12">
        <v>39</v>
      </c>
      <c r="E22" s="12">
        <v>4</v>
      </c>
      <c r="F22" s="12">
        <v>19</v>
      </c>
      <c r="G22" s="12">
        <v>125</v>
      </c>
      <c r="H22" s="12">
        <v>72</v>
      </c>
      <c r="I22" s="12">
        <v>76</v>
      </c>
      <c r="J22" s="12">
        <v>4</v>
      </c>
      <c r="K22" s="12">
        <v>54</v>
      </c>
      <c r="L22" s="12">
        <v>106</v>
      </c>
      <c r="M22" s="12">
        <v>5</v>
      </c>
      <c r="N22" s="12">
        <v>17</v>
      </c>
      <c r="O22" s="12">
        <v>15</v>
      </c>
      <c r="P22" s="12">
        <v>42</v>
      </c>
      <c r="Q22" s="12">
        <v>7</v>
      </c>
      <c r="R22" s="12">
        <v>18</v>
      </c>
      <c r="S22" s="12">
        <v>35</v>
      </c>
      <c r="T22" s="12">
        <v>37</v>
      </c>
      <c r="U22" s="12">
        <v>28</v>
      </c>
      <c r="V22" s="12">
        <v>34</v>
      </c>
      <c r="W22" s="12">
        <v>53</v>
      </c>
      <c r="X22" s="12">
        <v>125</v>
      </c>
      <c r="Y22" s="12">
        <v>36</v>
      </c>
      <c r="Z22" s="12">
        <v>3</v>
      </c>
      <c r="AA22" s="12">
        <v>11</v>
      </c>
      <c r="AB22" s="12">
        <v>16</v>
      </c>
      <c r="AC22" s="12">
        <v>61</v>
      </c>
      <c r="AD22" s="12">
        <v>43</v>
      </c>
      <c r="AE22" s="12">
        <v>91</v>
      </c>
      <c r="AF22" s="12">
        <v>169</v>
      </c>
    </row>
    <row r="23" spans="1:32">
      <c r="A23" s="19"/>
      <c r="B23" s="13" t="s">
        <v>811</v>
      </c>
      <c r="C23" s="14">
        <v>0.03</v>
      </c>
      <c r="D23" s="14">
        <v>0.04</v>
      </c>
      <c r="E23" s="15" t="s">
        <v>375</v>
      </c>
      <c r="F23" s="14">
        <v>0.02</v>
      </c>
      <c r="G23" s="14">
        <v>0.12</v>
      </c>
      <c r="H23" s="14">
        <v>0.06</v>
      </c>
      <c r="I23" s="14">
        <v>0.05</v>
      </c>
      <c r="J23" s="14">
        <v>0.02</v>
      </c>
      <c r="K23" s="14">
        <v>0.05</v>
      </c>
      <c r="L23" s="14">
        <v>0.11</v>
      </c>
      <c r="M23" s="15" t="s">
        <v>375</v>
      </c>
      <c r="N23" s="14">
        <v>0.02</v>
      </c>
      <c r="O23" s="14">
        <v>0.01</v>
      </c>
      <c r="P23" s="14">
        <v>0.04</v>
      </c>
      <c r="Q23" s="14">
        <v>0.01</v>
      </c>
      <c r="R23" s="14">
        <v>0.04</v>
      </c>
      <c r="S23" s="14">
        <v>0.04</v>
      </c>
      <c r="T23" s="14">
        <v>0.04</v>
      </c>
      <c r="U23" s="14">
        <v>0.05</v>
      </c>
      <c r="V23" s="14">
        <v>0.03</v>
      </c>
      <c r="W23" s="14">
        <v>0.11</v>
      </c>
      <c r="X23" s="14">
        <v>0.12</v>
      </c>
      <c r="Y23" s="14">
        <v>0.04</v>
      </c>
      <c r="Z23" s="15" t="s">
        <v>375</v>
      </c>
      <c r="AA23" s="14">
        <v>0.01</v>
      </c>
      <c r="AB23" s="14">
        <v>0.02</v>
      </c>
      <c r="AC23" s="14">
        <v>0.06</v>
      </c>
      <c r="AD23" s="14">
        <v>0.04</v>
      </c>
      <c r="AE23" s="14">
        <v>0.09</v>
      </c>
      <c r="AF23" s="14">
        <v>0.16</v>
      </c>
    </row>
    <row r="24" spans="1:32">
      <c r="A24" s="19"/>
      <c r="B24" s="11" t="s">
        <v>812</v>
      </c>
      <c r="C24" s="12">
        <v>2808</v>
      </c>
      <c r="D24" s="12">
        <v>174</v>
      </c>
      <c r="E24" s="12">
        <v>38</v>
      </c>
      <c r="F24" s="12">
        <v>52</v>
      </c>
      <c r="G24" s="12">
        <v>363</v>
      </c>
      <c r="H24" s="12">
        <v>120</v>
      </c>
      <c r="I24" s="12">
        <v>138</v>
      </c>
      <c r="J24" s="12">
        <v>18</v>
      </c>
      <c r="K24" s="12">
        <v>177</v>
      </c>
      <c r="L24" s="12">
        <v>215</v>
      </c>
      <c r="M24" s="12">
        <v>32</v>
      </c>
      <c r="N24" s="12">
        <v>19</v>
      </c>
      <c r="O24" s="12">
        <v>244</v>
      </c>
      <c r="P24" s="12">
        <v>100</v>
      </c>
      <c r="Q24" s="12">
        <v>48</v>
      </c>
      <c r="R24" s="12">
        <v>19</v>
      </c>
      <c r="S24" s="12">
        <v>114</v>
      </c>
      <c r="T24" s="12">
        <v>108</v>
      </c>
      <c r="U24" s="12">
        <v>82</v>
      </c>
      <c r="V24" s="12">
        <v>45</v>
      </c>
      <c r="W24" s="12">
        <v>25</v>
      </c>
      <c r="X24" s="12">
        <v>194</v>
      </c>
      <c r="Y24" s="12">
        <v>142</v>
      </c>
      <c r="Z24" s="12">
        <v>43</v>
      </c>
      <c r="AA24" s="12">
        <v>24</v>
      </c>
      <c r="AB24" s="12">
        <v>70</v>
      </c>
      <c r="AC24" s="12">
        <v>130</v>
      </c>
      <c r="AD24" s="12">
        <v>67</v>
      </c>
      <c r="AE24" s="12">
        <v>221</v>
      </c>
      <c r="AF24" s="12">
        <v>253</v>
      </c>
    </row>
    <row r="25" spans="1:32">
      <c r="A25" s="19"/>
      <c r="B25" s="13" t="s">
        <v>812</v>
      </c>
      <c r="C25" s="14">
        <v>0.11</v>
      </c>
      <c r="D25" s="14">
        <v>0.17</v>
      </c>
      <c r="E25" s="14">
        <v>0.04</v>
      </c>
      <c r="F25" s="14">
        <v>0.05</v>
      </c>
      <c r="G25" s="14">
        <v>0.36</v>
      </c>
      <c r="H25" s="14">
        <v>0.1</v>
      </c>
      <c r="I25" s="14">
        <v>0.09</v>
      </c>
      <c r="J25" s="14">
        <v>0.06</v>
      </c>
      <c r="K25" s="14">
        <v>0.18</v>
      </c>
      <c r="L25" s="14">
        <v>0.21</v>
      </c>
      <c r="M25" s="14">
        <v>0.03</v>
      </c>
      <c r="N25" s="14">
        <v>0.02</v>
      </c>
      <c r="O25" s="14">
        <v>0.24</v>
      </c>
      <c r="P25" s="14">
        <v>0.1</v>
      </c>
      <c r="Q25" s="14">
        <v>0.05</v>
      </c>
      <c r="R25" s="14">
        <v>0.04</v>
      </c>
      <c r="S25" s="14">
        <v>0.11</v>
      </c>
      <c r="T25" s="14">
        <v>0.11</v>
      </c>
      <c r="U25" s="14">
        <v>0.16</v>
      </c>
      <c r="V25" s="14">
        <v>0.04</v>
      </c>
      <c r="W25" s="14">
        <v>0.05</v>
      </c>
      <c r="X25" s="14">
        <v>0.19</v>
      </c>
      <c r="Y25" s="14">
        <v>0.14000000000000001</v>
      </c>
      <c r="Z25" s="14">
        <v>0.04</v>
      </c>
      <c r="AA25" s="14">
        <v>0.02</v>
      </c>
      <c r="AB25" s="14">
        <v>7.0000000000000007E-2</v>
      </c>
      <c r="AC25" s="14">
        <v>0.13</v>
      </c>
      <c r="AD25" s="14">
        <v>7.0000000000000007E-2</v>
      </c>
      <c r="AE25" s="14">
        <v>0.22</v>
      </c>
      <c r="AF25" s="14">
        <v>0.25</v>
      </c>
    </row>
    <row r="26" spans="1:32">
      <c r="A26" s="19"/>
      <c r="B26" s="11" t="s">
        <v>813</v>
      </c>
      <c r="C26" s="12">
        <v>7100</v>
      </c>
      <c r="D26" s="12">
        <v>216</v>
      </c>
      <c r="E26" s="12">
        <v>367</v>
      </c>
      <c r="F26" s="12">
        <v>166</v>
      </c>
      <c r="G26" s="12">
        <v>157</v>
      </c>
      <c r="H26" s="12">
        <v>190</v>
      </c>
      <c r="I26" s="12">
        <v>258</v>
      </c>
      <c r="J26" s="12">
        <v>68</v>
      </c>
      <c r="K26" s="12">
        <v>302</v>
      </c>
      <c r="L26" s="12">
        <v>323</v>
      </c>
      <c r="M26" s="12">
        <v>397</v>
      </c>
      <c r="N26" s="12">
        <v>337</v>
      </c>
      <c r="O26" s="12">
        <v>276</v>
      </c>
      <c r="P26" s="12">
        <v>292</v>
      </c>
      <c r="Q26" s="12">
        <v>357</v>
      </c>
      <c r="R26" s="12">
        <v>208</v>
      </c>
      <c r="S26" s="12">
        <v>375</v>
      </c>
      <c r="T26" s="12">
        <v>324</v>
      </c>
      <c r="U26" s="12">
        <v>129</v>
      </c>
      <c r="V26" s="12">
        <v>392</v>
      </c>
      <c r="W26" s="12">
        <v>187</v>
      </c>
      <c r="X26" s="12">
        <v>201</v>
      </c>
      <c r="Y26" s="12">
        <v>294</v>
      </c>
      <c r="Z26" s="12">
        <v>252</v>
      </c>
      <c r="AA26" s="12">
        <v>216</v>
      </c>
      <c r="AB26" s="12">
        <v>440</v>
      </c>
      <c r="AC26" s="12">
        <v>177</v>
      </c>
      <c r="AD26" s="12">
        <v>242</v>
      </c>
      <c r="AE26" s="12">
        <v>216</v>
      </c>
      <c r="AF26" s="12">
        <v>152</v>
      </c>
    </row>
    <row r="27" spans="1:32">
      <c r="A27" s="19"/>
      <c r="B27" s="13" t="s">
        <v>813</v>
      </c>
      <c r="C27" s="14">
        <v>0.27</v>
      </c>
      <c r="D27" s="14">
        <v>0.21</v>
      </c>
      <c r="E27" s="14">
        <v>0.35</v>
      </c>
      <c r="F27" s="14">
        <v>0.16</v>
      </c>
      <c r="G27" s="14">
        <v>0.15</v>
      </c>
      <c r="H27" s="14">
        <v>0.15</v>
      </c>
      <c r="I27" s="14">
        <v>0.17</v>
      </c>
      <c r="J27" s="14">
        <v>0.23</v>
      </c>
      <c r="K27" s="14">
        <v>0.3</v>
      </c>
      <c r="L27" s="14">
        <v>0.32</v>
      </c>
      <c r="M27" s="14">
        <v>0.39</v>
      </c>
      <c r="N27" s="14">
        <v>0.33</v>
      </c>
      <c r="O27" s="14">
        <v>0.28000000000000003</v>
      </c>
      <c r="P27" s="14">
        <v>0.28999999999999998</v>
      </c>
      <c r="Q27" s="14">
        <v>0.35</v>
      </c>
      <c r="R27" s="14">
        <v>0.42</v>
      </c>
      <c r="S27" s="14">
        <v>0.37</v>
      </c>
      <c r="T27" s="14">
        <v>0.32</v>
      </c>
      <c r="U27" s="14">
        <v>0.25</v>
      </c>
      <c r="V27" s="14">
        <v>0.38</v>
      </c>
      <c r="W27" s="14">
        <v>0.37</v>
      </c>
      <c r="X27" s="14">
        <v>0.2</v>
      </c>
      <c r="Y27" s="14">
        <v>0.28999999999999998</v>
      </c>
      <c r="Z27" s="14">
        <v>0.25</v>
      </c>
      <c r="AA27" s="14">
        <v>0.21</v>
      </c>
      <c r="AB27" s="14">
        <v>0.42</v>
      </c>
      <c r="AC27" s="14">
        <v>0.18</v>
      </c>
      <c r="AD27" s="14">
        <v>0.24</v>
      </c>
      <c r="AE27" s="14">
        <v>0.22</v>
      </c>
      <c r="AF27" s="14">
        <v>0.15</v>
      </c>
    </row>
    <row r="28" spans="1:32">
      <c r="A28" s="19"/>
      <c r="B28" s="11" t="s">
        <v>814</v>
      </c>
      <c r="C28" s="12">
        <v>2059</v>
      </c>
      <c r="D28" s="12">
        <v>121</v>
      </c>
      <c r="E28" s="12">
        <v>41</v>
      </c>
      <c r="F28" s="12">
        <v>91</v>
      </c>
      <c r="G28" s="12">
        <v>158</v>
      </c>
      <c r="H28" s="12">
        <v>99</v>
      </c>
      <c r="I28" s="12">
        <v>128</v>
      </c>
      <c r="J28" s="12">
        <v>30</v>
      </c>
      <c r="K28" s="12">
        <v>126</v>
      </c>
      <c r="L28" s="12">
        <v>73</v>
      </c>
      <c r="M28" s="12">
        <v>65</v>
      </c>
      <c r="N28" s="12">
        <v>52</v>
      </c>
      <c r="O28" s="12">
        <v>79</v>
      </c>
      <c r="P28" s="12">
        <v>99</v>
      </c>
      <c r="Q28" s="12">
        <v>69</v>
      </c>
      <c r="R28" s="12">
        <v>77</v>
      </c>
      <c r="S28" s="12">
        <v>123</v>
      </c>
      <c r="T28" s="12">
        <v>102</v>
      </c>
      <c r="U28" s="12">
        <v>57</v>
      </c>
      <c r="V28" s="12">
        <v>70</v>
      </c>
      <c r="W28" s="12">
        <v>81</v>
      </c>
      <c r="X28" s="12">
        <v>191</v>
      </c>
      <c r="Y28" s="12">
        <v>101</v>
      </c>
      <c r="Z28" s="12">
        <v>14</v>
      </c>
      <c r="AA28" s="12">
        <v>63</v>
      </c>
      <c r="AB28" s="12">
        <v>72</v>
      </c>
      <c r="AC28" s="12">
        <v>112</v>
      </c>
      <c r="AD28" s="12">
        <v>125</v>
      </c>
      <c r="AE28" s="12">
        <v>97</v>
      </c>
      <c r="AF28" s="12">
        <v>131</v>
      </c>
    </row>
    <row r="29" spans="1:32">
      <c r="A29" s="19"/>
      <c r="B29" s="13" t="s">
        <v>814</v>
      </c>
      <c r="C29" s="14">
        <v>0.08</v>
      </c>
      <c r="D29" s="14">
        <v>0.12</v>
      </c>
      <c r="E29" s="14">
        <v>0.04</v>
      </c>
      <c r="F29" s="14">
        <v>0.09</v>
      </c>
      <c r="G29" s="14">
        <v>0.16</v>
      </c>
      <c r="H29" s="14">
        <v>0.08</v>
      </c>
      <c r="I29" s="14">
        <v>0.08</v>
      </c>
      <c r="J29" s="14">
        <v>0.1</v>
      </c>
      <c r="K29" s="14">
        <v>0.13</v>
      </c>
      <c r="L29" s="14">
        <v>7.0000000000000007E-2</v>
      </c>
      <c r="M29" s="14">
        <v>0.06</v>
      </c>
      <c r="N29" s="14">
        <v>0.05</v>
      </c>
      <c r="O29" s="14">
        <v>0.08</v>
      </c>
      <c r="P29" s="14">
        <v>0.1</v>
      </c>
      <c r="Q29" s="14">
        <v>7.0000000000000007E-2</v>
      </c>
      <c r="R29" s="14">
        <v>0.15</v>
      </c>
      <c r="S29" s="14">
        <v>0.12</v>
      </c>
      <c r="T29" s="14">
        <v>0.1</v>
      </c>
      <c r="U29" s="14">
        <v>0.11</v>
      </c>
      <c r="V29" s="14">
        <v>7.0000000000000007E-2</v>
      </c>
      <c r="W29" s="14">
        <v>0.16</v>
      </c>
      <c r="X29" s="14">
        <v>0.19</v>
      </c>
      <c r="Y29" s="14">
        <v>0.1</v>
      </c>
      <c r="Z29" s="14">
        <v>0.01</v>
      </c>
      <c r="AA29" s="14">
        <v>0.06</v>
      </c>
      <c r="AB29" s="14">
        <v>7.0000000000000007E-2</v>
      </c>
      <c r="AC29" s="14">
        <v>0.11</v>
      </c>
      <c r="AD29" s="14">
        <v>0.12</v>
      </c>
      <c r="AE29" s="14">
        <v>0.1</v>
      </c>
      <c r="AF29" s="14">
        <v>0.13</v>
      </c>
    </row>
    <row r="30" spans="1:32">
      <c r="A30" s="19"/>
      <c r="B30" s="11" t="s">
        <v>815</v>
      </c>
      <c r="C30" s="12">
        <v>8100</v>
      </c>
      <c r="D30" s="12">
        <v>524</v>
      </c>
      <c r="E30" s="12">
        <v>535</v>
      </c>
      <c r="F30" s="12">
        <v>525</v>
      </c>
      <c r="G30" s="12">
        <v>763</v>
      </c>
      <c r="H30" s="12">
        <v>89</v>
      </c>
      <c r="I30" s="12">
        <v>124</v>
      </c>
      <c r="J30" s="12">
        <v>36</v>
      </c>
      <c r="K30" s="12">
        <v>601</v>
      </c>
      <c r="L30" s="12">
        <v>306</v>
      </c>
      <c r="M30" s="12">
        <v>492</v>
      </c>
      <c r="N30" s="12">
        <v>92</v>
      </c>
      <c r="O30" s="12">
        <v>297</v>
      </c>
      <c r="P30" s="12">
        <v>446</v>
      </c>
      <c r="Q30" s="12">
        <v>296</v>
      </c>
      <c r="R30" s="12">
        <v>290</v>
      </c>
      <c r="S30" s="12">
        <v>317</v>
      </c>
      <c r="T30" s="12">
        <v>674</v>
      </c>
      <c r="U30" s="12">
        <v>200</v>
      </c>
      <c r="V30" s="12">
        <v>650</v>
      </c>
      <c r="W30" s="12">
        <v>376</v>
      </c>
      <c r="X30" s="12">
        <v>205</v>
      </c>
      <c r="Y30" s="12">
        <v>212</v>
      </c>
      <c r="Z30" s="12">
        <v>577</v>
      </c>
      <c r="AA30" s="12">
        <v>424</v>
      </c>
      <c r="AB30" s="12">
        <v>447</v>
      </c>
      <c r="AC30" s="12">
        <v>452</v>
      </c>
      <c r="AD30" s="12">
        <v>571</v>
      </c>
      <c r="AE30" s="12">
        <v>258</v>
      </c>
      <c r="AF30" s="12">
        <v>694</v>
      </c>
    </row>
    <row r="31" spans="1:32">
      <c r="A31" s="19"/>
      <c r="B31" s="13" t="s">
        <v>815</v>
      </c>
      <c r="C31" s="14">
        <v>0.31</v>
      </c>
      <c r="D31" s="14">
        <v>0.51</v>
      </c>
      <c r="E31" s="14">
        <v>0.51</v>
      </c>
      <c r="F31" s="14">
        <v>0.49</v>
      </c>
      <c r="G31" s="14">
        <v>0.75</v>
      </c>
      <c r="H31" s="14">
        <v>7.0000000000000007E-2</v>
      </c>
      <c r="I31" s="14">
        <v>0.08</v>
      </c>
      <c r="J31" s="14">
        <v>0.12</v>
      </c>
      <c r="K31" s="14">
        <v>0.6</v>
      </c>
      <c r="L31" s="14">
        <v>0.3</v>
      </c>
      <c r="M31" s="14">
        <v>0.49</v>
      </c>
      <c r="N31" s="14">
        <v>0.09</v>
      </c>
      <c r="O31" s="14">
        <v>0.3</v>
      </c>
      <c r="P31" s="14">
        <v>0.45</v>
      </c>
      <c r="Q31" s="14">
        <v>0.28999999999999998</v>
      </c>
      <c r="R31" s="14">
        <v>0.57999999999999996</v>
      </c>
      <c r="S31" s="14">
        <v>0.32</v>
      </c>
      <c r="T31" s="14">
        <v>0.66</v>
      </c>
      <c r="U31" s="14">
        <v>0.39</v>
      </c>
      <c r="V31" s="14">
        <v>0.63</v>
      </c>
      <c r="W31" s="14">
        <v>0.75</v>
      </c>
      <c r="X31" s="14">
        <v>0.2</v>
      </c>
      <c r="Y31" s="14">
        <v>0.21</v>
      </c>
      <c r="Z31" s="14">
        <v>0.57000000000000006</v>
      </c>
      <c r="AA31" s="14">
        <v>0.41</v>
      </c>
      <c r="AB31" s="14">
        <v>0.43</v>
      </c>
      <c r="AC31" s="14">
        <v>0.45</v>
      </c>
      <c r="AD31" s="14">
        <v>0.57000000000000006</v>
      </c>
      <c r="AE31" s="14">
        <v>0.26</v>
      </c>
      <c r="AF31" s="14">
        <v>0.67</v>
      </c>
    </row>
    <row r="32" spans="1:32">
      <c r="A32" s="19"/>
      <c r="B32" s="11" t="s">
        <v>816</v>
      </c>
      <c r="C32" s="12">
        <v>18415</v>
      </c>
      <c r="D32" s="12">
        <v>814</v>
      </c>
      <c r="E32" s="12">
        <v>198</v>
      </c>
      <c r="F32" s="12">
        <v>686</v>
      </c>
      <c r="G32" s="12">
        <v>208</v>
      </c>
      <c r="H32" s="12">
        <v>1040</v>
      </c>
      <c r="I32" s="12">
        <v>1295</v>
      </c>
      <c r="J32" s="12">
        <v>254</v>
      </c>
      <c r="K32" s="12">
        <v>399</v>
      </c>
      <c r="L32" s="12">
        <v>789</v>
      </c>
      <c r="M32" s="12">
        <v>82</v>
      </c>
      <c r="N32" s="12">
        <v>911</v>
      </c>
      <c r="O32" s="12">
        <v>577</v>
      </c>
      <c r="P32" s="12">
        <v>713</v>
      </c>
      <c r="Q32" s="12">
        <v>872</v>
      </c>
      <c r="R32" s="12">
        <v>192</v>
      </c>
      <c r="S32" s="12">
        <v>802</v>
      </c>
      <c r="T32" s="12">
        <v>240</v>
      </c>
      <c r="U32" s="12">
        <v>407</v>
      </c>
      <c r="V32" s="12">
        <v>87</v>
      </c>
      <c r="W32" s="12">
        <v>381</v>
      </c>
      <c r="X32" s="12">
        <v>958</v>
      </c>
      <c r="Y32" s="12">
        <v>781</v>
      </c>
      <c r="Z32" s="12">
        <v>481</v>
      </c>
      <c r="AA32" s="12">
        <v>704</v>
      </c>
      <c r="AB32" s="12">
        <v>807</v>
      </c>
      <c r="AC32" s="12">
        <v>300</v>
      </c>
      <c r="AD32" s="12">
        <v>574</v>
      </c>
      <c r="AE32" s="12">
        <v>833</v>
      </c>
      <c r="AF32" s="12">
        <v>472</v>
      </c>
    </row>
    <row r="33" spans="1:32">
      <c r="A33" s="19"/>
      <c r="B33" s="13" t="s">
        <v>816</v>
      </c>
      <c r="C33" s="14">
        <v>0.70000000000000007</v>
      </c>
      <c r="D33" s="14">
        <v>0.8</v>
      </c>
      <c r="E33" s="14">
        <v>0.19</v>
      </c>
      <c r="F33" s="14">
        <v>0.64</v>
      </c>
      <c r="G33" s="14">
        <v>0.21</v>
      </c>
      <c r="H33" s="14">
        <v>0.85</v>
      </c>
      <c r="I33" s="14">
        <v>0.85</v>
      </c>
      <c r="J33" s="14">
        <v>0.86</v>
      </c>
      <c r="K33" s="14">
        <v>0.4</v>
      </c>
      <c r="L33" s="14">
        <v>0.78</v>
      </c>
      <c r="M33" s="14">
        <v>0.08</v>
      </c>
      <c r="N33" s="14">
        <v>0.9</v>
      </c>
      <c r="O33" s="14">
        <v>0.57000000000000006</v>
      </c>
      <c r="P33" s="14">
        <v>0.71</v>
      </c>
      <c r="Q33" s="14">
        <v>0.85</v>
      </c>
      <c r="R33" s="14">
        <v>0.38</v>
      </c>
      <c r="S33" s="14">
        <v>0.8</v>
      </c>
      <c r="T33" s="14">
        <v>0.23</v>
      </c>
      <c r="U33" s="14">
        <v>0.8</v>
      </c>
      <c r="V33" s="14">
        <v>0.08</v>
      </c>
      <c r="W33" s="14">
        <v>0.76</v>
      </c>
      <c r="X33" s="14">
        <v>0.95000000000000007</v>
      </c>
      <c r="Y33" s="14">
        <v>0.78</v>
      </c>
      <c r="Z33" s="14">
        <v>0.47</v>
      </c>
      <c r="AA33" s="14">
        <v>0.68</v>
      </c>
      <c r="AB33" s="14">
        <v>0.78</v>
      </c>
      <c r="AC33" s="14">
        <v>0.3</v>
      </c>
      <c r="AD33" s="14">
        <v>0.57000000000000006</v>
      </c>
      <c r="AE33" s="14">
        <v>0.83000000000000007</v>
      </c>
      <c r="AF33" s="14">
        <v>0.46</v>
      </c>
    </row>
    <row r="34" spans="1:32">
      <c r="A34" s="19"/>
      <c r="B34" s="11" t="s">
        <v>817</v>
      </c>
      <c r="C34" s="12">
        <v>2454</v>
      </c>
      <c r="D34" s="12">
        <v>63</v>
      </c>
      <c r="E34" s="12">
        <v>78</v>
      </c>
      <c r="F34" s="12">
        <v>47</v>
      </c>
      <c r="G34" s="12">
        <v>48</v>
      </c>
      <c r="H34" s="12">
        <v>145</v>
      </c>
      <c r="I34" s="12">
        <v>173</v>
      </c>
      <c r="J34" s="12">
        <v>28</v>
      </c>
      <c r="K34" s="12">
        <v>205</v>
      </c>
      <c r="L34" s="12">
        <v>53</v>
      </c>
      <c r="M34" s="12">
        <v>6</v>
      </c>
      <c r="N34" s="12">
        <v>116</v>
      </c>
      <c r="O34" s="12">
        <v>73</v>
      </c>
      <c r="P34" s="12">
        <v>75</v>
      </c>
      <c r="Q34" s="12">
        <v>190</v>
      </c>
      <c r="R34" s="12">
        <v>29</v>
      </c>
      <c r="S34" s="12">
        <v>208</v>
      </c>
      <c r="T34" s="12">
        <v>65</v>
      </c>
      <c r="U34" s="12">
        <v>34</v>
      </c>
      <c r="V34" s="12">
        <v>43</v>
      </c>
      <c r="W34" s="12">
        <v>39</v>
      </c>
      <c r="X34" s="12">
        <v>57</v>
      </c>
      <c r="Y34" s="12">
        <v>166</v>
      </c>
      <c r="Z34" s="12">
        <v>26</v>
      </c>
      <c r="AA34" s="12">
        <v>44</v>
      </c>
      <c r="AB34" s="12">
        <v>66</v>
      </c>
      <c r="AC34" s="12">
        <v>31</v>
      </c>
      <c r="AD34" s="12">
        <v>152</v>
      </c>
      <c r="AE34" s="12">
        <v>56</v>
      </c>
      <c r="AF34" s="12">
        <v>20</v>
      </c>
    </row>
    <row r="35" spans="1:32">
      <c r="A35" s="19"/>
      <c r="B35" s="13" t="s">
        <v>817</v>
      </c>
      <c r="C35" s="14">
        <v>0.09</v>
      </c>
      <c r="D35" s="14">
        <v>0.06</v>
      </c>
      <c r="E35" s="14">
        <v>7.0000000000000007E-2</v>
      </c>
      <c r="F35" s="14">
        <v>0.04</v>
      </c>
      <c r="G35" s="14">
        <v>0.05</v>
      </c>
      <c r="H35" s="14">
        <v>0.12</v>
      </c>
      <c r="I35" s="14">
        <v>0.11</v>
      </c>
      <c r="J35" s="14">
        <v>0.09</v>
      </c>
      <c r="K35" s="14">
        <v>0.2</v>
      </c>
      <c r="L35" s="14">
        <v>0.05</v>
      </c>
      <c r="M35" s="14">
        <v>0.01</v>
      </c>
      <c r="N35" s="14">
        <v>0.12</v>
      </c>
      <c r="O35" s="14">
        <v>7.0000000000000007E-2</v>
      </c>
      <c r="P35" s="14">
        <v>0.08</v>
      </c>
      <c r="Q35" s="14">
        <v>0.18</v>
      </c>
      <c r="R35" s="14">
        <v>0.06</v>
      </c>
      <c r="S35" s="14">
        <v>0.21</v>
      </c>
      <c r="T35" s="14">
        <v>0.06</v>
      </c>
      <c r="U35" s="14">
        <v>7.0000000000000007E-2</v>
      </c>
      <c r="V35" s="14">
        <v>0.04</v>
      </c>
      <c r="W35" s="14">
        <v>0.08</v>
      </c>
      <c r="X35" s="14">
        <v>0.06</v>
      </c>
      <c r="Y35" s="14">
        <v>0.17</v>
      </c>
      <c r="Z35" s="14">
        <v>0.03</v>
      </c>
      <c r="AA35" s="14">
        <v>0.04</v>
      </c>
      <c r="AB35" s="14">
        <v>0.06</v>
      </c>
      <c r="AC35" s="14">
        <v>0.03</v>
      </c>
      <c r="AD35" s="14">
        <v>0.15</v>
      </c>
      <c r="AE35" s="14">
        <v>0.06</v>
      </c>
      <c r="AF35" s="14">
        <v>0.02</v>
      </c>
    </row>
    <row r="36" spans="1:32">
      <c r="A36" s="19"/>
      <c r="B36" s="11" t="s">
        <v>818</v>
      </c>
      <c r="C36" s="12">
        <v>689</v>
      </c>
      <c r="D36" s="12">
        <v>24</v>
      </c>
      <c r="E36" s="12">
        <v>18</v>
      </c>
      <c r="F36" s="12">
        <v>31</v>
      </c>
      <c r="G36" s="12">
        <v>51</v>
      </c>
      <c r="H36" s="12">
        <v>43</v>
      </c>
      <c r="I36" s="12">
        <v>49</v>
      </c>
      <c r="J36" s="12">
        <v>7</v>
      </c>
      <c r="K36" s="12">
        <v>42</v>
      </c>
      <c r="L36" s="12">
        <v>26</v>
      </c>
      <c r="M36" s="12">
        <v>4</v>
      </c>
      <c r="N36" s="12">
        <v>34</v>
      </c>
      <c r="O36" s="12">
        <v>40</v>
      </c>
      <c r="P36" s="12">
        <v>28</v>
      </c>
      <c r="Q36" s="12">
        <v>9</v>
      </c>
      <c r="R36" s="12">
        <v>11</v>
      </c>
      <c r="S36" s="12">
        <v>29</v>
      </c>
      <c r="T36" s="12">
        <v>19</v>
      </c>
      <c r="U36" s="12">
        <v>15</v>
      </c>
      <c r="V36" s="12">
        <v>14</v>
      </c>
      <c r="W36" s="12">
        <v>14</v>
      </c>
      <c r="X36" s="12">
        <v>22</v>
      </c>
      <c r="Y36" s="12">
        <v>31</v>
      </c>
      <c r="Z36" s="12">
        <v>21</v>
      </c>
      <c r="AA36" s="12">
        <v>16</v>
      </c>
      <c r="AB36" s="12">
        <v>6</v>
      </c>
      <c r="AC36" s="12">
        <v>12</v>
      </c>
      <c r="AD36" s="12">
        <v>15</v>
      </c>
      <c r="AE36" s="12">
        <v>44</v>
      </c>
      <c r="AF36" s="12">
        <v>48</v>
      </c>
    </row>
    <row r="37" spans="1:32">
      <c r="A37" s="19"/>
      <c r="B37" s="13" t="s">
        <v>818</v>
      </c>
      <c r="C37" s="14">
        <v>0.03</v>
      </c>
      <c r="D37" s="14">
        <v>0.02</v>
      </c>
      <c r="E37" s="14">
        <v>0.02</v>
      </c>
      <c r="F37" s="14">
        <v>0.03</v>
      </c>
      <c r="G37" s="14">
        <v>0.05</v>
      </c>
      <c r="H37" s="14">
        <v>0.03</v>
      </c>
      <c r="I37" s="14">
        <v>0.03</v>
      </c>
      <c r="J37" s="14">
        <v>0.02</v>
      </c>
      <c r="K37" s="14">
        <v>0.04</v>
      </c>
      <c r="L37" s="14">
        <v>0.03</v>
      </c>
      <c r="M37" s="15" t="s">
        <v>375</v>
      </c>
      <c r="N37" s="14">
        <v>0.03</v>
      </c>
      <c r="O37" s="14">
        <v>0.04</v>
      </c>
      <c r="P37" s="14">
        <v>0.03</v>
      </c>
      <c r="Q37" s="14">
        <v>0.01</v>
      </c>
      <c r="R37" s="14">
        <v>0.02</v>
      </c>
      <c r="S37" s="14">
        <v>0.03</v>
      </c>
      <c r="T37" s="14">
        <v>0.02</v>
      </c>
      <c r="U37" s="14">
        <v>0.03</v>
      </c>
      <c r="V37" s="14">
        <v>0.01</v>
      </c>
      <c r="W37" s="14">
        <v>0.03</v>
      </c>
      <c r="X37" s="14">
        <v>0.02</v>
      </c>
      <c r="Y37" s="14">
        <v>0.03</v>
      </c>
      <c r="Z37" s="14">
        <v>0.02</v>
      </c>
      <c r="AA37" s="14">
        <v>0.02</v>
      </c>
      <c r="AB37" s="14">
        <v>0.01</v>
      </c>
      <c r="AC37" s="14">
        <v>0.01</v>
      </c>
      <c r="AD37" s="14">
        <v>0.01</v>
      </c>
      <c r="AE37" s="14">
        <v>0.04</v>
      </c>
      <c r="AF37" s="14">
        <v>0.05</v>
      </c>
    </row>
    <row r="38" spans="1:32">
      <c r="A38" s="19"/>
      <c r="B38" s="11" t="s">
        <v>819</v>
      </c>
      <c r="C38" s="12">
        <v>1184</v>
      </c>
      <c r="D38" s="12">
        <v>25</v>
      </c>
      <c r="E38" s="12">
        <v>4</v>
      </c>
      <c r="F38" s="12">
        <v>16</v>
      </c>
      <c r="G38" s="12">
        <v>46</v>
      </c>
      <c r="H38" s="12">
        <v>157</v>
      </c>
      <c r="I38" s="12">
        <v>169</v>
      </c>
      <c r="J38" s="12">
        <v>12</v>
      </c>
      <c r="K38" s="12">
        <v>50</v>
      </c>
      <c r="L38" s="12">
        <v>30</v>
      </c>
      <c r="M38" s="12">
        <v>0</v>
      </c>
      <c r="N38" s="12">
        <v>2</v>
      </c>
      <c r="O38" s="12">
        <v>20</v>
      </c>
      <c r="P38" s="12">
        <v>14</v>
      </c>
      <c r="Q38" s="12">
        <v>14</v>
      </c>
      <c r="R38" s="12">
        <v>6</v>
      </c>
      <c r="S38" s="12">
        <v>37</v>
      </c>
      <c r="T38" s="12">
        <v>14</v>
      </c>
      <c r="U38" s="12">
        <v>26</v>
      </c>
      <c r="V38" s="12">
        <v>22</v>
      </c>
      <c r="W38" s="12">
        <v>12</v>
      </c>
      <c r="X38" s="12">
        <v>226</v>
      </c>
      <c r="Y38" s="12">
        <v>98</v>
      </c>
      <c r="Z38" s="12">
        <v>15</v>
      </c>
      <c r="AA38" s="12">
        <v>3</v>
      </c>
      <c r="AB38" s="12">
        <v>2</v>
      </c>
      <c r="AC38" s="12">
        <v>16</v>
      </c>
      <c r="AD38" s="12">
        <v>57</v>
      </c>
      <c r="AE38" s="12">
        <v>65</v>
      </c>
      <c r="AF38" s="12">
        <v>92</v>
      </c>
    </row>
    <row r="39" spans="1:32">
      <c r="A39" s="19"/>
      <c r="B39" s="13" t="s">
        <v>819</v>
      </c>
      <c r="C39" s="14">
        <v>0.04</v>
      </c>
      <c r="D39" s="14">
        <v>0.02</v>
      </c>
      <c r="E39" s="15" t="s">
        <v>375</v>
      </c>
      <c r="F39" s="14">
        <v>0.02</v>
      </c>
      <c r="G39" s="14">
        <v>0.05</v>
      </c>
      <c r="H39" s="14">
        <v>0.13</v>
      </c>
      <c r="I39" s="14">
        <v>0.11</v>
      </c>
      <c r="J39" s="14">
        <v>0.04</v>
      </c>
      <c r="K39" s="14">
        <v>0.05</v>
      </c>
      <c r="L39" s="14">
        <v>0.03</v>
      </c>
      <c r="M39" s="15" t="s">
        <v>375</v>
      </c>
      <c r="N39" s="15" t="s">
        <v>375</v>
      </c>
      <c r="O39" s="14">
        <v>0.02</v>
      </c>
      <c r="P39" s="14">
        <v>0.01</v>
      </c>
      <c r="Q39" s="14">
        <v>0.01</v>
      </c>
      <c r="R39" s="14">
        <v>0.01</v>
      </c>
      <c r="S39" s="14">
        <v>0.04</v>
      </c>
      <c r="T39" s="14">
        <v>0.01</v>
      </c>
      <c r="U39" s="14">
        <v>0.05</v>
      </c>
      <c r="V39" s="14">
        <v>0.02</v>
      </c>
      <c r="W39" s="14">
        <v>0.02</v>
      </c>
      <c r="X39" s="14">
        <v>0.22</v>
      </c>
      <c r="Y39" s="14">
        <v>0.1</v>
      </c>
      <c r="Z39" s="14">
        <v>0.01</v>
      </c>
      <c r="AA39" s="15" t="s">
        <v>375</v>
      </c>
      <c r="AB39" s="15" t="s">
        <v>375</v>
      </c>
      <c r="AC39" s="14">
        <v>0.02</v>
      </c>
      <c r="AD39" s="14">
        <v>0.06</v>
      </c>
      <c r="AE39" s="14">
        <v>7.0000000000000007E-2</v>
      </c>
      <c r="AF39" s="14">
        <v>0.09</v>
      </c>
    </row>
    <row r="40" spans="1:32">
      <c r="A40" s="19"/>
      <c r="B40" s="11" t="s">
        <v>820</v>
      </c>
      <c r="C40" s="12">
        <v>1078</v>
      </c>
      <c r="D40" s="12">
        <v>46</v>
      </c>
      <c r="E40" s="12">
        <v>19</v>
      </c>
      <c r="F40" s="12">
        <v>41</v>
      </c>
      <c r="G40" s="12">
        <v>142</v>
      </c>
      <c r="H40" s="12">
        <v>75</v>
      </c>
      <c r="I40" s="12">
        <v>83</v>
      </c>
      <c r="J40" s="12">
        <v>9</v>
      </c>
      <c r="K40" s="12">
        <v>73</v>
      </c>
      <c r="L40" s="12">
        <v>33</v>
      </c>
      <c r="M40" s="12">
        <v>12</v>
      </c>
      <c r="N40" s="12">
        <v>37</v>
      </c>
      <c r="O40" s="12">
        <v>56</v>
      </c>
      <c r="P40" s="12">
        <v>22</v>
      </c>
      <c r="Q40" s="12">
        <v>2</v>
      </c>
      <c r="R40" s="12">
        <v>18</v>
      </c>
      <c r="S40" s="12">
        <v>71</v>
      </c>
      <c r="T40" s="12">
        <v>59</v>
      </c>
      <c r="U40" s="12">
        <v>23</v>
      </c>
      <c r="V40" s="12">
        <v>25</v>
      </c>
      <c r="W40" s="12">
        <v>34</v>
      </c>
      <c r="X40" s="12">
        <v>83</v>
      </c>
      <c r="Y40" s="12">
        <v>32</v>
      </c>
      <c r="Z40" s="12">
        <v>20</v>
      </c>
      <c r="AA40" s="12">
        <v>13</v>
      </c>
      <c r="AB40" s="12">
        <v>15</v>
      </c>
      <c r="AC40" s="12">
        <v>44</v>
      </c>
      <c r="AD40" s="12">
        <v>42</v>
      </c>
      <c r="AE40" s="12">
        <v>89</v>
      </c>
      <c r="AF40" s="12">
        <v>144</v>
      </c>
    </row>
    <row r="41" spans="1:32">
      <c r="A41" s="19"/>
      <c r="B41" s="13" t="s">
        <v>820</v>
      </c>
      <c r="C41" s="14">
        <v>0.04</v>
      </c>
      <c r="D41" s="14">
        <v>0.04</v>
      </c>
      <c r="E41" s="14">
        <v>0.02</v>
      </c>
      <c r="F41" s="14">
        <v>0.04</v>
      </c>
      <c r="G41" s="14">
        <v>0.14000000000000001</v>
      </c>
      <c r="H41" s="14">
        <v>0.06</v>
      </c>
      <c r="I41" s="14">
        <v>0.05</v>
      </c>
      <c r="J41" s="14">
        <v>0.03</v>
      </c>
      <c r="K41" s="14">
        <v>7.0000000000000007E-2</v>
      </c>
      <c r="L41" s="14">
        <v>0.03</v>
      </c>
      <c r="M41" s="14">
        <v>0.01</v>
      </c>
      <c r="N41" s="14">
        <v>0.04</v>
      </c>
      <c r="O41" s="14">
        <v>0.06</v>
      </c>
      <c r="P41" s="14">
        <v>0.02</v>
      </c>
      <c r="Q41" s="15" t="s">
        <v>375</v>
      </c>
      <c r="R41" s="14">
        <v>0.04</v>
      </c>
      <c r="S41" s="14">
        <v>7.0000000000000007E-2</v>
      </c>
      <c r="T41" s="14">
        <v>0.06</v>
      </c>
      <c r="U41" s="14">
        <v>0.04</v>
      </c>
      <c r="V41" s="14">
        <v>0.02</v>
      </c>
      <c r="W41" s="14">
        <v>7.0000000000000007E-2</v>
      </c>
      <c r="X41" s="14">
        <v>0.08</v>
      </c>
      <c r="Y41" s="14">
        <v>0.03</v>
      </c>
      <c r="Z41" s="14">
        <v>0.02</v>
      </c>
      <c r="AA41" s="14">
        <v>0.01</v>
      </c>
      <c r="AB41" s="14">
        <v>0.01</v>
      </c>
      <c r="AC41" s="14">
        <v>0.04</v>
      </c>
      <c r="AD41" s="14">
        <v>0.04</v>
      </c>
      <c r="AE41" s="14">
        <v>0.09</v>
      </c>
      <c r="AF41" s="14">
        <v>0.14000000000000001</v>
      </c>
    </row>
    <row r="42" spans="1:32">
      <c r="A42" s="19"/>
      <c r="B42" s="11" t="s">
        <v>436</v>
      </c>
      <c r="C42" s="12">
        <v>26</v>
      </c>
      <c r="D42" s="12">
        <v>0</v>
      </c>
      <c r="E42" s="12">
        <v>1</v>
      </c>
      <c r="F42" s="12">
        <v>0</v>
      </c>
      <c r="G42" s="12">
        <v>3</v>
      </c>
      <c r="H42" s="12">
        <v>0</v>
      </c>
      <c r="I42" s="12">
        <v>0</v>
      </c>
      <c r="J42" s="12">
        <v>0</v>
      </c>
      <c r="K42" s="12">
        <v>3</v>
      </c>
      <c r="L42" s="12">
        <v>0</v>
      </c>
      <c r="M42" s="12">
        <v>6</v>
      </c>
      <c r="N42" s="12">
        <v>0</v>
      </c>
      <c r="O42" s="12">
        <v>3</v>
      </c>
      <c r="P42" s="12">
        <v>0</v>
      </c>
      <c r="Q42" s="12">
        <v>0</v>
      </c>
      <c r="R42" s="12">
        <v>0</v>
      </c>
      <c r="S42" s="12">
        <v>3</v>
      </c>
      <c r="T42" s="12">
        <v>2</v>
      </c>
      <c r="U42" s="12">
        <v>1</v>
      </c>
      <c r="V42" s="12">
        <v>1</v>
      </c>
      <c r="W42" s="12">
        <v>0</v>
      </c>
      <c r="X42" s="12">
        <v>0</v>
      </c>
      <c r="Y42" s="12">
        <v>4</v>
      </c>
      <c r="Z42" s="12">
        <v>0</v>
      </c>
      <c r="AA42" s="12">
        <v>2</v>
      </c>
      <c r="AB42" s="12">
        <v>0</v>
      </c>
      <c r="AC42" s="12">
        <v>2</v>
      </c>
      <c r="AD42" s="12">
        <v>1</v>
      </c>
      <c r="AE42" s="12">
        <v>7</v>
      </c>
      <c r="AF42" s="12">
        <v>0</v>
      </c>
    </row>
    <row r="43" spans="1:32">
      <c r="A43" s="19"/>
      <c r="B43" s="13" t="s">
        <v>437</v>
      </c>
      <c r="C43" s="15" t="s">
        <v>375</v>
      </c>
      <c r="D43" s="15" t="s">
        <v>375</v>
      </c>
      <c r="E43" s="15" t="s">
        <v>375</v>
      </c>
      <c r="F43" s="15" t="s">
        <v>375</v>
      </c>
      <c r="G43" s="15" t="s">
        <v>375</v>
      </c>
      <c r="H43" s="15" t="s">
        <v>375</v>
      </c>
      <c r="I43" s="15" t="s">
        <v>375</v>
      </c>
      <c r="J43" s="15" t="s">
        <v>375</v>
      </c>
      <c r="K43" s="15" t="s">
        <v>375</v>
      </c>
      <c r="L43" s="15" t="s">
        <v>375</v>
      </c>
      <c r="M43" s="14">
        <v>0.01</v>
      </c>
      <c r="N43" s="15" t="s">
        <v>375</v>
      </c>
      <c r="O43" s="15" t="s">
        <v>375</v>
      </c>
      <c r="P43" s="15" t="s">
        <v>375</v>
      </c>
      <c r="Q43" s="15" t="s">
        <v>375</v>
      </c>
      <c r="R43" s="15" t="s">
        <v>375</v>
      </c>
      <c r="S43" s="15" t="s">
        <v>375</v>
      </c>
      <c r="T43" s="15" t="s">
        <v>375</v>
      </c>
      <c r="U43" s="15" t="s">
        <v>375</v>
      </c>
      <c r="V43" s="15" t="s">
        <v>375</v>
      </c>
      <c r="W43" s="15" t="s">
        <v>375</v>
      </c>
      <c r="X43" s="15" t="s">
        <v>375</v>
      </c>
      <c r="Y43" s="15" t="s">
        <v>375</v>
      </c>
      <c r="Z43" s="15" t="s">
        <v>375</v>
      </c>
      <c r="AA43" s="15" t="s">
        <v>375</v>
      </c>
      <c r="AB43" s="15" t="s">
        <v>375</v>
      </c>
      <c r="AC43" s="15" t="s">
        <v>375</v>
      </c>
      <c r="AD43" s="15" t="s">
        <v>375</v>
      </c>
      <c r="AE43" s="14">
        <v>0.01</v>
      </c>
      <c r="AF43" s="15" t="s">
        <v>375</v>
      </c>
    </row>
    <row r="44" spans="1:32">
      <c r="A44" s="19"/>
      <c r="B44" s="11" t="s">
        <v>821</v>
      </c>
      <c r="C44" s="12">
        <v>2826</v>
      </c>
      <c r="D44" s="12">
        <v>44</v>
      </c>
      <c r="E44" s="12">
        <v>167</v>
      </c>
      <c r="F44" s="12">
        <v>123</v>
      </c>
      <c r="G44" s="12">
        <v>65</v>
      </c>
      <c r="H44" s="12">
        <v>131</v>
      </c>
      <c r="I44" s="12">
        <v>155</v>
      </c>
      <c r="J44" s="12">
        <v>24</v>
      </c>
      <c r="K44" s="12">
        <v>105</v>
      </c>
      <c r="L44" s="12">
        <v>74</v>
      </c>
      <c r="M44" s="12">
        <v>203</v>
      </c>
      <c r="N44" s="12">
        <v>69</v>
      </c>
      <c r="O44" s="12">
        <v>143</v>
      </c>
      <c r="P44" s="12">
        <v>133</v>
      </c>
      <c r="Q44" s="12">
        <v>73</v>
      </c>
      <c r="R44" s="12">
        <v>59</v>
      </c>
      <c r="S44" s="12">
        <v>105</v>
      </c>
      <c r="T44" s="12">
        <v>153</v>
      </c>
      <c r="U44" s="12">
        <v>35</v>
      </c>
      <c r="V44" s="12">
        <v>142</v>
      </c>
      <c r="W44" s="12">
        <v>48</v>
      </c>
      <c r="X44" s="12">
        <v>8</v>
      </c>
      <c r="Y44" s="12">
        <v>113</v>
      </c>
      <c r="Z44" s="12">
        <v>169</v>
      </c>
      <c r="AA44" s="12">
        <v>193</v>
      </c>
      <c r="AB44" s="12">
        <v>155</v>
      </c>
      <c r="AC44" s="12">
        <v>194</v>
      </c>
      <c r="AD44" s="12">
        <v>117</v>
      </c>
      <c r="AE44" s="12">
        <v>70</v>
      </c>
      <c r="AF44" s="12">
        <v>34</v>
      </c>
    </row>
    <row r="45" spans="1:32">
      <c r="A45" s="19"/>
      <c r="B45" s="13" t="s">
        <v>439</v>
      </c>
      <c r="C45" s="14">
        <v>0.11</v>
      </c>
      <c r="D45" s="14">
        <v>0.04</v>
      </c>
      <c r="E45" s="14">
        <v>0.16</v>
      </c>
      <c r="F45" s="14">
        <v>0.12</v>
      </c>
      <c r="G45" s="14">
        <v>0.06</v>
      </c>
      <c r="H45" s="14">
        <v>0.11</v>
      </c>
      <c r="I45" s="14">
        <v>0.1</v>
      </c>
      <c r="J45" s="14">
        <v>0.08</v>
      </c>
      <c r="K45" s="14">
        <v>0.1</v>
      </c>
      <c r="L45" s="14">
        <v>0.08</v>
      </c>
      <c r="M45" s="14">
        <v>0.2</v>
      </c>
      <c r="N45" s="14">
        <v>7.0000000000000007E-2</v>
      </c>
      <c r="O45" s="14">
        <v>0.14000000000000001</v>
      </c>
      <c r="P45" s="14">
        <v>0.13</v>
      </c>
      <c r="Q45" s="14">
        <v>7.0000000000000007E-2</v>
      </c>
      <c r="R45" s="14">
        <v>0.12</v>
      </c>
      <c r="S45" s="14">
        <v>0.11</v>
      </c>
      <c r="T45" s="14">
        <v>0.15</v>
      </c>
      <c r="U45" s="14">
        <v>7.0000000000000007E-2</v>
      </c>
      <c r="V45" s="14">
        <v>0.14000000000000001</v>
      </c>
      <c r="W45" s="14">
        <v>0.1</v>
      </c>
      <c r="X45" s="14">
        <v>0.01</v>
      </c>
      <c r="Y45" s="14">
        <v>0.11</v>
      </c>
      <c r="Z45" s="14">
        <v>0.17</v>
      </c>
      <c r="AA45" s="14">
        <v>0.18</v>
      </c>
      <c r="AB45" s="14">
        <v>0.15</v>
      </c>
      <c r="AC45" s="14">
        <v>0.19</v>
      </c>
      <c r="AD45" s="14">
        <v>0.12</v>
      </c>
      <c r="AE45" s="14">
        <v>7.0000000000000007E-2</v>
      </c>
      <c r="AF45" s="14">
        <v>0.03</v>
      </c>
    </row>
    <row r="46" spans="1:32">
      <c r="A46" s="19"/>
      <c r="B46" s="11" t="s">
        <v>386</v>
      </c>
      <c r="C46" s="12">
        <v>93</v>
      </c>
      <c r="D46" s="12">
        <v>1</v>
      </c>
      <c r="E46" s="12">
        <v>4</v>
      </c>
      <c r="F46" s="12">
        <v>2</v>
      </c>
      <c r="G46" s="12">
        <v>1</v>
      </c>
      <c r="H46" s="12">
        <v>0</v>
      </c>
      <c r="I46" s="12">
        <v>1</v>
      </c>
      <c r="J46" s="12">
        <v>1</v>
      </c>
      <c r="K46" s="12">
        <v>5</v>
      </c>
      <c r="L46" s="12">
        <v>2</v>
      </c>
      <c r="M46" s="12">
        <v>3</v>
      </c>
      <c r="N46" s="12">
        <v>2</v>
      </c>
      <c r="O46" s="12">
        <v>7</v>
      </c>
      <c r="P46" s="12">
        <v>1</v>
      </c>
      <c r="Q46" s="12">
        <v>0</v>
      </c>
      <c r="R46" s="12">
        <v>4</v>
      </c>
      <c r="S46" s="12">
        <v>1</v>
      </c>
      <c r="T46" s="12">
        <v>7</v>
      </c>
      <c r="U46" s="12">
        <v>1</v>
      </c>
      <c r="V46" s="12">
        <v>2</v>
      </c>
      <c r="W46" s="12">
        <v>0</v>
      </c>
      <c r="X46" s="12">
        <v>1</v>
      </c>
      <c r="Y46" s="12">
        <v>1</v>
      </c>
      <c r="Z46" s="12">
        <v>19</v>
      </c>
      <c r="AA46" s="12">
        <v>7</v>
      </c>
      <c r="AB46" s="12">
        <v>0</v>
      </c>
      <c r="AC46" s="12">
        <v>1</v>
      </c>
      <c r="AD46" s="12">
        <v>3</v>
      </c>
      <c r="AE46" s="12">
        <v>2</v>
      </c>
      <c r="AF46" s="12">
        <v>1</v>
      </c>
    </row>
    <row r="47" spans="1:32">
      <c r="A47" s="19"/>
      <c r="B47" s="13" t="s">
        <v>399</v>
      </c>
      <c r="C47" s="15" t="s">
        <v>375</v>
      </c>
      <c r="D47" s="15" t="s">
        <v>375</v>
      </c>
      <c r="E47" s="15" t="s">
        <v>375</v>
      </c>
      <c r="F47" s="15" t="s">
        <v>375</v>
      </c>
      <c r="G47" s="15" t="s">
        <v>375</v>
      </c>
      <c r="H47" s="15" t="s">
        <v>375</v>
      </c>
      <c r="I47" s="15" t="s">
        <v>375</v>
      </c>
      <c r="J47" s="15" t="s">
        <v>375</v>
      </c>
      <c r="K47" s="14">
        <v>0.01</v>
      </c>
      <c r="L47" s="15" t="s">
        <v>375</v>
      </c>
      <c r="M47" s="15" t="s">
        <v>375</v>
      </c>
      <c r="N47" s="15" t="s">
        <v>375</v>
      </c>
      <c r="O47" s="14">
        <v>0.01</v>
      </c>
      <c r="P47" s="15" t="s">
        <v>375</v>
      </c>
      <c r="Q47" s="15" t="s">
        <v>375</v>
      </c>
      <c r="R47" s="14">
        <v>0.01</v>
      </c>
      <c r="S47" s="15" t="s">
        <v>375</v>
      </c>
      <c r="T47" s="14">
        <v>0.01</v>
      </c>
      <c r="U47" s="15" t="s">
        <v>375</v>
      </c>
      <c r="V47" s="15" t="s">
        <v>375</v>
      </c>
      <c r="W47" s="15" t="s">
        <v>375</v>
      </c>
      <c r="X47" s="15" t="s">
        <v>375</v>
      </c>
      <c r="Y47" s="15" t="s">
        <v>375</v>
      </c>
      <c r="Z47" s="14">
        <v>0.02</v>
      </c>
      <c r="AA47" s="14">
        <v>0.01</v>
      </c>
      <c r="AB47" s="15" t="s">
        <v>375</v>
      </c>
      <c r="AC47" s="15" t="s">
        <v>375</v>
      </c>
      <c r="AD47" s="15" t="s">
        <v>375</v>
      </c>
      <c r="AE47" s="15" t="s">
        <v>375</v>
      </c>
      <c r="AF47" s="15" t="s">
        <v>375</v>
      </c>
    </row>
    <row r="48" spans="1:32">
      <c r="A48" s="19"/>
      <c r="B48" s="11" t="s">
        <v>822</v>
      </c>
      <c r="C48" s="12">
        <v>23534</v>
      </c>
      <c r="D48" s="12">
        <v>976</v>
      </c>
      <c r="E48" s="12">
        <v>875</v>
      </c>
      <c r="F48" s="12">
        <v>938</v>
      </c>
      <c r="G48" s="12">
        <v>950</v>
      </c>
      <c r="H48" s="12">
        <v>1099</v>
      </c>
      <c r="I48" s="12">
        <v>1371</v>
      </c>
      <c r="J48" s="12">
        <v>272</v>
      </c>
      <c r="K48" s="12">
        <v>896</v>
      </c>
      <c r="L48" s="12">
        <v>929</v>
      </c>
      <c r="M48" s="12">
        <v>802</v>
      </c>
      <c r="N48" s="12">
        <v>940</v>
      </c>
      <c r="O48" s="12">
        <v>855</v>
      </c>
      <c r="P48" s="12">
        <v>870</v>
      </c>
      <c r="Q48" s="12">
        <v>958</v>
      </c>
      <c r="R48" s="12">
        <v>438</v>
      </c>
      <c r="S48" s="12">
        <v>897</v>
      </c>
      <c r="T48" s="12">
        <v>863</v>
      </c>
      <c r="U48" s="12">
        <v>472</v>
      </c>
      <c r="V48" s="12">
        <v>882</v>
      </c>
      <c r="W48" s="12">
        <v>454</v>
      </c>
      <c r="X48" s="12">
        <v>1001</v>
      </c>
      <c r="Y48" s="12">
        <v>890</v>
      </c>
      <c r="Z48" s="12">
        <v>828</v>
      </c>
      <c r="AA48" s="12">
        <v>837</v>
      </c>
      <c r="AB48" s="12">
        <v>886</v>
      </c>
      <c r="AC48" s="12">
        <v>810</v>
      </c>
      <c r="AD48" s="12">
        <v>883</v>
      </c>
      <c r="AE48" s="12">
        <v>929</v>
      </c>
      <c r="AF48" s="12">
        <v>995</v>
      </c>
    </row>
    <row r="49" spans="1:32">
      <c r="A49" s="19"/>
      <c r="B49" s="13" t="s">
        <v>823</v>
      </c>
      <c r="C49" s="14">
        <v>0.89</v>
      </c>
      <c r="D49" s="14">
        <v>0.96</v>
      </c>
      <c r="E49" s="14">
        <v>0.84</v>
      </c>
      <c r="F49" s="14">
        <v>0.88</v>
      </c>
      <c r="G49" s="14">
        <v>0.94000000000000006</v>
      </c>
      <c r="H49" s="14">
        <v>0.89</v>
      </c>
      <c r="I49" s="14">
        <v>0.9</v>
      </c>
      <c r="J49" s="14">
        <v>0.92</v>
      </c>
      <c r="K49" s="14">
        <v>0.89</v>
      </c>
      <c r="L49" s="14">
        <v>0.92</v>
      </c>
      <c r="M49" s="14">
        <v>0.8</v>
      </c>
      <c r="N49" s="14">
        <v>0.93</v>
      </c>
      <c r="O49" s="14">
        <v>0.85</v>
      </c>
      <c r="P49" s="14">
        <v>0.87</v>
      </c>
      <c r="Q49" s="14">
        <v>0.93</v>
      </c>
      <c r="R49" s="14">
        <v>0.87</v>
      </c>
      <c r="S49" s="14">
        <v>0.89</v>
      </c>
      <c r="T49" s="14">
        <v>0.84</v>
      </c>
      <c r="U49" s="14">
        <v>0.93</v>
      </c>
      <c r="V49" s="14">
        <v>0.86</v>
      </c>
      <c r="W49" s="14">
        <v>0.9</v>
      </c>
      <c r="X49" s="14">
        <v>0.99</v>
      </c>
      <c r="Y49" s="14">
        <v>0.89</v>
      </c>
      <c r="Z49" s="14">
        <v>0.81</v>
      </c>
      <c r="AA49" s="14">
        <v>0.81</v>
      </c>
      <c r="AB49" s="14">
        <v>0.85</v>
      </c>
      <c r="AC49" s="14">
        <v>0.81</v>
      </c>
      <c r="AD49" s="14">
        <v>0.88</v>
      </c>
      <c r="AE49" s="14">
        <v>0.93</v>
      </c>
      <c r="AF49" s="14">
        <v>0.97</v>
      </c>
    </row>
    <row r="50" spans="1:32">
      <c r="A50" s="19"/>
      <c r="B50" s="11" t="s">
        <v>824</v>
      </c>
      <c r="C50" s="12">
        <v>2826</v>
      </c>
      <c r="D50" s="12">
        <v>44</v>
      </c>
      <c r="E50" s="12">
        <v>167</v>
      </c>
      <c r="F50" s="12">
        <v>123</v>
      </c>
      <c r="G50" s="12">
        <v>65</v>
      </c>
      <c r="H50" s="12">
        <v>131</v>
      </c>
      <c r="I50" s="12">
        <v>155</v>
      </c>
      <c r="J50" s="12">
        <v>24</v>
      </c>
      <c r="K50" s="12">
        <v>105</v>
      </c>
      <c r="L50" s="12">
        <v>74</v>
      </c>
      <c r="M50" s="12">
        <v>203</v>
      </c>
      <c r="N50" s="12">
        <v>69</v>
      </c>
      <c r="O50" s="12">
        <v>143</v>
      </c>
      <c r="P50" s="12">
        <v>133</v>
      </c>
      <c r="Q50" s="12">
        <v>73</v>
      </c>
      <c r="R50" s="12">
        <v>59</v>
      </c>
      <c r="S50" s="12">
        <v>105</v>
      </c>
      <c r="T50" s="12">
        <v>153</v>
      </c>
      <c r="U50" s="12">
        <v>35</v>
      </c>
      <c r="V50" s="12">
        <v>142</v>
      </c>
      <c r="W50" s="12">
        <v>48</v>
      </c>
      <c r="X50" s="12">
        <v>8</v>
      </c>
      <c r="Y50" s="12">
        <v>113</v>
      </c>
      <c r="Z50" s="12">
        <v>169</v>
      </c>
      <c r="AA50" s="12">
        <v>193</v>
      </c>
      <c r="AB50" s="12">
        <v>155</v>
      </c>
      <c r="AC50" s="12">
        <v>194</v>
      </c>
      <c r="AD50" s="12">
        <v>117</v>
      </c>
      <c r="AE50" s="12">
        <v>70</v>
      </c>
      <c r="AF50" s="12">
        <v>34</v>
      </c>
    </row>
    <row r="51" spans="1:32">
      <c r="A51" s="19"/>
      <c r="B51" s="13" t="s">
        <v>825</v>
      </c>
      <c r="C51" s="14">
        <v>0.11</v>
      </c>
      <c r="D51" s="14">
        <v>0.04</v>
      </c>
      <c r="E51" s="14">
        <v>0.16</v>
      </c>
      <c r="F51" s="14">
        <v>0.12</v>
      </c>
      <c r="G51" s="14">
        <v>0.06</v>
      </c>
      <c r="H51" s="14">
        <v>0.11</v>
      </c>
      <c r="I51" s="14">
        <v>0.1</v>
      </c>
      <c r="J51" s="14">
        <v>0.08</v>
      </c>
      <c r="K51" s="14">
        <v>0.1</v>
      </c>
      <c r="L51" s="14">
        <v>0.08</v>
      </c>
      <c r="M51" s="14">
        <v>0.2</v>
      </c>
      <c r="N51" s="14">
        <v>7.0000000000000007E-2</v>
      </c>
      <c r="O51" s="14">
        <v>0.14000000000000001</v>
      </c>
      <c r="P51" s="14">
        <v>0.13</v>
      </c>
      <c r="Q51" s="14">
        <v>7.0000000000000007E-2</v>
      </c>
      <c r="R51" s="14">
        <v>0.12</v>
      </c>
      <c r="S51" s="14">
        <v>0.11</v>
      </c>
      <c r="T51" s="14">
        <v>0.15</v>
      </c>
      <c r="U51" s="14">
        <v>7.0000000000000007E-2</v>
      </c>
      <c r="V51" s="14">
        <v>0.14000000000000001</v>
      </c>
      <c r="W51" s="14">
        <v>0.1</v>
      </c>
      <c r="X51" s="14">
        <v>0.01</v>
      </c>
      <c r="Y51" s="14">
        <v>0.11</v>
      </c>
      <c r="Z51" s="14">
        <v>0.17</v>
      </c>
      <c r="AA51" s="14">
        <v>0.18</v>
      </c>
      <c r="AB51" s="14">
        <v>0.15</v>
      </c>
      <c r="AC51" s="14">
        <v>0.19</v>
      </c>
      <c r="AD51" s="14">
        <v>0.12</v>
      </c>
      <c r="AE51" s="14">
        <v>7.0000000000000007E-2</v>
      </c>
      <c r="AF51" s="14">
        <v>0.03</v>
      </c>
    </row>
    <row r="52" spans="1:32">
      <c r="A52" s="18"/>
    </row>
    <row r="53" spans="1:32">
      <c r="A53" s="18"/>
    </row>
  </sheetData>
  <mergeCells count="10">
    <mergeCell ref="B4:F4"/>
    <mergeCell ref="A10:A47"/>
    <mergeCell ref="H3:L3"/>
    <mergeCell ref="C8:AF8"/>
    <mergeCell ref="A48:A53"/>
    <mergeCell ref="B3:F3"/>
    <mergeCell ref="B5:F5"/>
    <mergeCell ref="H5:L5"/>
    <mergeCell ref="B10:B11"/>
    <mergeCell ref="H4:L4"/>
  </mergeCells>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4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155</v>
      </c>
      <c r="C3" s="17"/>
      <c r="D3" s="17"/>
      <c r="E3" s="17"/>
      <c r="F3" s="17"/>
      <c r="H3" s="17" t="s">
        <v>156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HYPERLINK("#Content!A79","&lt;&lt;Back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826</v>
      </c>
      <c r="C12" s="12">
        <v>1540</v>
      </c>
      <c r="D12" s="12">
        <v>73</v>
      </c>
      <c r="E12" s="12">
        <v>28</v>
      </c>
      <c r="F12" s="12">
        <v>34</v>
      </c>
      <c r="G12" s="12">
        <v>11</v>
      </c>
      <c r="H12" s="12">
        <v>127</v>
      </c>
      <c r="I12" s="12">
        <v>147</v>
      </c>
      <c r="J12" s="12">
        <v>20</v>
      </c>
      <c r="K12" s="12">
        <v>68</v>
      </c>
      <c r="L12" s="12">
        <v>21</v>
      </c>
      <c r="M12" s="12">
        <v>10</v>
      </c>
      <c r="N12" s="12">
        <v>42</v>
      </c>
      <c r="O12" s="12">
        <v>90</v>
      </c>
      <c r="P12" s="12">
        <v>46</v>
      </c>
      <c r="Q12" s="12">
        <v>47</v>
      </c>
      <c r="R12" s="12">
        <v>10</v>
      </c>
      <c r="S12" s="12">
        <v>34</v>
      </c>
      <c r="T12" s="12">
        <v>60</v>
      </c>
      <c r="U12" s="12">
        <v>22</v>
      </c>
      <c r="V12" s="12">
        <v>40</v>
      </c>
      <c r="W12" s="12">
        <v>15</v>
      </c>
      <c r="X12" s="12">
        <v>117</v>
      </c>
      <c r="Y12" s="12">
        <v>60</v>
      </c>
      <c r="Z12" s="12">
        <v>34</v>
      </c>
      <c r="AA12" s="12">
        <v>22</v>
      </c>
      <c r="AB12" s="12">
        <v>11</v>
      </c>
      <c r="AC12" s="12">
        <v>17</v>
      </c>
      <c r="AD12" s="12">
        <v>31</v>
      </c>
      <c r="AE12" s="12">
        <v>27</v>
      </c>
      <c r="AF12" s="12">
        <v>17</v>
      </c>
    </row>
    <row r="13" spans="1:32">
      <c r="A13" s="19"/>
      <c r="B13" s="13" t="s">
        <v>827</v>
      </c>
      <c r="C13" s="14">
        <v>0.06</v>
      </c>
      <c r="D13" s="14">
        <v>7.0000000000000007E-2</v>
      </c>
      <c r="E13" s="14">
        <v>0.03</v>
      </c>
      <c r="F13" s="14">
        <v>0.03</v>
      </c>
      <c r="G13" s="14">
        <v>0.01</v>
      </c>
      <c r="H13" s="14">
        <v>0.1</v>
      </c>
      <c r="I13" s="14">
        <v>0.1</v>
      </c>
      <c r="J13" s="14">
        <v>7.0000000000000007E-2</v>
      </c>
      <c r="K13" s="14">
        <v>7.0000000000000007E-2</v>
      </c>
      <c r="L13" s="14">
        <v>0.02</v>
      </c>
      <c r="M13" s="14">
        <v>0.01</v>
      </c>
      <c r="N13" s="14">
        <v>0.04</v>
      </c>
      <c r="O13" s="14">
        <v>0.09</v>
      </c>
      <c r="P13" s="14">
        <v>0.05</v>
      </c>
      <c r="Q13" s="14">
        <v>0.05</v>
      </c>
      <c r="R13" s="14">
        <v>0.02</v>
      </c>
      <c r="S13" s="14">
        <v>0.03</v>
      </c>
      <c r="T13" s="14">
        <v>0.06</v>
      </c>
      <c r="U13" s="14">
        <v>0.04</v>
      </c>
      <c r="V13" s="14">
        <v>0.04</v>
      </c>
      <c r="W13" s="14">
        <v>0.03</v>
      </c>
      <c r="X13" s="14">
        <v>0.12</v>
      </c>
      <c r="Y13" s="14">
        <v>0.06</v>
      </c>
      <c r="Z13" s="14">
        <v>0.03</v>
      </c>
      <c r="AA13" s="14">
        <v>0.02</v>
      </c>
      <c r="AB13" s="14">
        <v>0.01</v>
      </c>
      <c r="AC13" s="14">
        <v>0.02</v>
      </c>
      <c r="AD13" s="14">
        <v>0.03</v>
      </c>
      <c r="AE13" s="14">
        <v>0.03</v>
      </c>
      <c r="AF13" s="14">
        <v>0.02</v>
      </c>
    </row>
    <row r="14" spans="1:32">
      <c r="A14" s="19"/>
      <c r="B14" s="11" t="s">
        <v>828</v>
      </c>
      <c r="C14" s="12">
        <v>1487</v>
      </c>
      <c r="D14" s="12">
        <v>90</v>
      </c>
      <c r="E14" s="12">
        <v>25</v>
      </c>
      <c r="F14" s="12">
        <v>31</v>
      </c>
      <c r="G14" s="12">
        <v>21</v>
      </c>
      <c r="H14" s="12">
        <v>68</v>
      </c>
      <c r="I14" s="12">
        <v>75</v>
      </c>
      <c r="J14" s="12">
        <v>7</v>
      </c>
      <c r="K14" s="12">
        <v>29</v>
      </c>
      <c r="L14" s="12">
        <v>40</v>
      </c>
      <c r="M14" s="12">
        <v>20</v>
      </c>
      <c r="N14" s="12">
        <v>67</v>
      </c>
      <c r="O14" s="12">
        <v>133</v>
      </c>
      <c r="P14" s="12">
        <v>34</v>
      </c>
      <c r="Q14" s="12">
        <v>38</v>
      </c>
      <c r="R14" s="12">
        <v>48</v>
      </c>
      <c r="S14" s="12">
        <v>25</v>
      </c>
      <c r="T14" s="12">
        <v>25</v>
      </c>
      <c r="U14" s="12">
        <v>72</v>
      </c>
      <c r="V14" s="12">
        <v>33</v>
      </c>
      <c r="W14" s="12">
        <v>27</v>
      </c>
      <c r="X14" s="12">
        <v>47</v>
      </c>
      <c r="Y14" s="12">
        <v>59</v>
      </c>
      <c r="Z14" s="12">
        <v>23</v>
      </c>
      <c r="AA14" s="12">
        <v>55</v>
      </c>
      <c r="AB14" s="12">
        <v>14</v>
      </c>
      <c r="AC14" s="12">
        <v>43</v>
      </c>
      <c r="AD14" s="12">
        <v>54</v>
      </c>
      <c r="AE14" s="12">
        <v>40</v>
      </c>
      <c r="AF14" s="12">
        <v>27</v>
      </c>
    </row>
    <row r="15" spans="1:32">
      <c r="A15" s="19"/>
      <c r="B15" s="13" t="s">
        <v>829</v>
      </c>
      <c r="C15" s="14">
        <v>0.06</v>
      </c>
      <c r="D15" s="14">
        <v>0.09</v>
      </c>
      <c r="E15" s="14">
        <v>0.02</v>
      </c>
      <c r="F15" s="14">
        <v>0.03</v>
      </c>
      <c r="G15" s="14">
        <v>0.02</v>
      </c>
      <c r="H15" s="14">
        <v>0.06</v>
      </c>
      <c r="I15" s="14">
        <v>0.05</v>
      </c>
      <c r="J15" s="14">
        <v>0.02</v>
      </c>
      <c r="K15" s="14">
        <v>0.03</v>
      </c>
      <c r="L15" s="14">
        <v>0.04</v>
      </c>
      <c r="M15" s="14">
        <v>0.02</v>
      </c>
      <c r="N15" s="14">
        <v>7.0000000000000007E-2</v>
      </c>
      <c r="O15" s="14">
        <v>0.13</v>
      </c>
      <c r="P15" s="14">
        <v>0.03</v>
      </c>
      <c r="Q15" s="14">
        <v>0.04</v>
      </c>
      <c r="R15" s="14">
        <v>0.09</v>
      </c>
      <c r="S15" s="14">
        <v>0.02</v>
      </c>
      <c r="T15" s="14">
        <v>0.02</v>
      </c>
      <c r="U15" s="14">
        <v>0.14000000000000001</v>
      </c>
      <c r="V15" s="14">
        <v>0.03</v>
      </c>
      <c r="W15" s="14">
        <v>0.05</v>
      </c>
      <c r="X15" s="14">
        <v>0.05</v>
      </c>
      <c r="Y15" s="14">
        <v>0.06</v>
      </c>
      <c r="Z15" s="14">
        <v>0.02</v>
      </c>
      <c r="AA15" s="14">
        <v>0.05</v>
      </c>
      <c r="AB15" s="14">
        <v>0.01</v>
      </c>
      <c r="AC15" s="14">
        <v>0.04</v>
      </c>
      <c r="AD15" s="14">
        <v>0.05</v>
      </c>
      <c r="AE15" s="14">
        <v>0.04</v>
      </c>
      <c r="AF15" s="14">
        <v>0.03</v>
      </c>
    </row>
    <row r="16" spans="1:32">
      <c r="A16" s="19"/>
      <c r="B16" s="11" t="s">
        <v>830</v>
      </c>
      <c r="C16" s="12">
        <v>1249</v>
      </c>
      <c r="D16" s="12">
        <v>107</v>
      </c>
      <c r="E16" s="12">
        <v>30</v>
      </c>
      <c r="F16" s="12">
        <v>75</v>
      </c>
      <c r="G16" s="12">
        <v>18</v>
      </c>
      <c r="H16" s="12">
        <v>88</v>
      </c>
      <c r="I16" s="12">
        <v>103</v>
      </c>
      <c r="J16" s="12">
        <v>14</v>
      </c>
      <c r="K16" s="12">
        <v>88</v>
      </c>
      <c r="L16" s="12">
        <v>26</v>
      </c>
      <c r="M16" s="12">
        <v>26</v>
      </c>
      <c r="N16" s="12">
        <v>36</v>
      </c>
      <c r="O16" s="12">
        <v>43</v>
      </c>
      <c r="P16" s="12">
        <v>52</v>
      </c>
      <c r="Q16" s="12">
        <v>44</v>
      </c>
      <c r="R16" s="12">
        <v>35</v>
      </c>
      <c r="S16" s="12">
        <v>39</v>
      </c>
      <c r="T16" s="12">
        <v>81</v>
      </c>
      <c r="U16" s="12">
        <v>52</v>
      </c>
      <c r="V16" s="12">
        <v>39</v>
      </c>
      <c r="W16" s="12">
        <v>36</v>
      </c>
      <c r="X16" s="12">
        <v>52</v>
      </c>
      <c r="Y16" s="12">
        <v>65</v>
      </c>
      <c r="Z16" s="12">
        <v>13</v>
      </c>
      <c r="AA16" s="12">
        <v>36</v>
      </c>
      <c r="AB16" s="12">
        <v>27</v>
      </c>
      <c r="AC16" s="12">
        <v>114</v>
      </c>
      <c r="AD16" s="12">
        <v>90</v>
      </c>
      <c r="AE16" s="12">
        <v>56</v>
      </c>
      <c r="AF16" s="12">
        <v>59</v>
      </c>
    </row>
    <row r="17" spans="1:32">
      <c r="A17" s="19"/>
      <c r="B17" s="13" t="s">
        <v>831</v>
      </c>
      <c r="C17" s="14">
        <v>0.05</v>
      </c>
      <c r="D17" s="14">
        <v>0.1</v>
      </c>
      <c r="E17" s="14">
        <v>0.03</v>
      </c>
      <c r="F17" s="14">
        <v>7.0000000000000007E-2</v>
      </c>
      <c r="G17" s="14">
        <v>0.02</v>
      </c>
      <c r="H17" s="14">
        <v>7.0000000000000007E-2</v>
      </c>
      <c r="I17" s="14">
        <v>7.0000000000000007E-2</v>
      </c>
      <c r="J17" s="14">
        <v>0.05</v>
      </c>
      <c r="K17" s="14">
        <v>0.09</v>
      </c>
      <c r="L17" s="14">
        <v>0.03</v>
      </c>
      <c r="M17" s="14">
        <v>0.03</v>
      </c>
      <c r="N17" s="14">
        <v>0.04</v>
      </c>
      <c r="O17" s="14">
        <v>0.04</v>
      </c>
      <c r="P17" s="14">
        <v>0.05</v>
      </c>
      <c r="Q17" s="14">
        <v>0.04</v>
      </c>
      <c r="R17" s="14">
        <v>7.0000000000000007E-2</v>
      </c>
      <c r="S17" s="14">
        <v>0.04</v>
      </c>
      <c r="T17" s="14">
        <v>0.08</v>
      </c>
      <c r="U17" s="14">
        <v>0.1</v>
      </c>
      <c r="V17" s="14">
        <v>0.04</v>
      </c>
      <c r="W17" s="14">
        <v>7.0000000000000007E-2</v>
      </c>
      <c r="X17" s="14">
        <v>0.05</v>
      </c>
      <c r="Y17" s="14">
        <v>7.0000000000000007E-2</v>
      </c>
      <c r="Z17" s="14">
        <v>0.01</v>
      </c>
      <c r="AA17" s="14">
        <v>0.03</v>
      </c>
      <c r="AB17" s="14">
        <v>0.03</v>
      </c>
      <c r="AC17" s="14">
        <v>0.11</v>
      </c>
      <c r="AD17" s="14">
        <v>0.09</v>
      </c>
      <c r="AE17" s="14">
        <v>0.06</v>
      </c>
      <c r="AF17" s="14">
        <v>0.06</v>
      </c>
    </row>
    <row r="18" spans="1:32">
      <c r="A18" s="19"/>
      <c r="B18" s="11" t="s">
        <v>832</v>
      </c>
      <c r="C18" s="12">
        <v>1384</v>
      </c>
      <c r="D18" s="12">
        <v>105</v>
      </c>
      <c r="E18" s="12">
        <v>48</v>
      </c>
      <c r="F18" s="12">
        <v>42</v>
      </c>
      <c r="G18" s="12">
        <v>23</v>
      </c>
      <c r="H18" s="12">
        <v>73</v>
      </c>
      <c r="I18" s="12">
        <v>86</v>
      </c>
      <c r="J18" s="12">
        <v>13</v>
      </c>
      <c r="K18" s="12">
        <v>91</v>
      </c>
      <c r="L18" s="12">
        <v>66</v>
      </c>
      <c r="M18" s="12">
        <v>26</v>
      </c>
      <c r="N18" s="12">
        <v>54</v>
      </c>
      <c r="O18" s="12">
        <v>88</v>
      </c>
      <c r="P18" s="12">
        <v>27</v>
      </c>
      <c r="Q18" s="12">
        <v>44</v>
      </c>
      <c r="R18" s="12">
        <v>28</v>
      </c>
      <c r="S18" s="12">
        <v>47</v>
      </c>
      <c r="T18" s="12">
        <v>65</v>
      </c>
      <c r="U18" s="12">
        <v>52</v>
      </c>
      <c r="V18" s="12">
        <v>40</v>
      </c>
      <c r="W18" s="12">
        <v>52</v>
      </c>
      <c r="X18" s="12">
        <v>78</v>
      </c>
      <c r="Y18" s="12">
        <v>39</v>
      </c>
      <c r="Z18" s="12">
        <v>24</v>
      </c>
      <c r="AA18" s="12">
        <v>18</v>
      </c>
      <c r="AB18" s="12">
        <v>28</v>
      </c>
      <c r="AC18" s="12">
        <v>56</v>
      </c>
      <c r="AD18" s="12">
        <v>27</v>
      </c>
      <c r="AE18" s="12">
        <v>46</v>
      </c>
      <c r="AF18" s="12">
        <v>26</v>
      </c>
    </row>
    <row r="19" spans="1:32">
      <c r="A19" s="19"/>
      <c r="B19" s="13" t="s">
        <v>833</v>
      </c>
      <c r="C19" s="14">
        <v>0.05</v>
      </c>
      <c r="D19" s="14">
        <v>0.1</v>
      </c>
      <c r="E19" s="14">
        <v>0.05</v>
      </c>
      <c r="F19" s="14">
        <v>0.04</v>
      </c>
      <c r="G19" s="14">
        <v>0.02</v>
      </c>
      <c r="H19" s="14">
        <v>0.06</v>
      </c>
      <c r="I19" s="14">
        <v>0.06</v>
      </c>
      <c r="J19" s="14">
        <v>0.04</v>
      </c>
      <c r="K19" s="14">
        <v>0.09</v>
      </c>
      <c r="L19" s="14">
        <v>7.0000000000000007E-2</v>
      </c>
      <c r="M19" s="14">
        <v>0.03</v>
      </c>
      <c r="N19" s="14">
        <v>0.05</v>
      </c>
      <c r="O19" s="14">
        <v>0.09</v>
      </c>
      <c r="P19" s="14">
        <v>0.03</v>
      </c>
      <c r="Q19" s="14">
        <v>0.04</v>
      </c>
      <c r="R19" s="14">
        <v>0.06</v>
      </c>
      <c r="S19" s="14">
        <v>0.05</v>
      </c>
      <c r="T19" s="14">
        <v>0.06</v>
      </c>
      <c r="U19" s="14">
        <v>0.1</v>
      </c>
      <c r="V19" s="14">
        <v>0.04</v>
      </c>
      <c r="W19" s="14">
        <v>0.1</v>
      </c>
      <c r="X19" s="14">
        <v>0.08</v>
      </c>
      <c r="Y19" s="14">
        <v>0.04</v>
      </c>
      <c r="Z19" s="14">
        <v>0.02</v>
      </c>
      <c r="AA19" s="14">
        <v>0.02</v>
      </c>
      <c r="AB19" s="14">
        <v>0.03</v>
      </c>
      <c r="AC19" s="14">
        <v>0.06</v>
      </c>
      <c r="AD19" s="14">
        <v>0.03</v>
      </c>
      <c r="AE19" s="14">
        <v>0.05</v>
      </c>
      <c r="AF19" s="14">
        <v>0.03</v>
      </c>
    </row>
    <row r="20" spans="1:32">
      <c r="A20" s="19"/>
      <c r="B20" s="11" t="s">
        <v>834</v>
      </c>
      <c r="C20" s="12">
        <v>618</v>
      </c>
      <c r="D20" s="12">
        <v>51</v>
      </c>
      <c r="E20" s="12">
        <v>13</v>
      </c>
      <c r="F20" s="12">
        <v>16</v>
      </c>
      <c r="G20" s="12">
        <v>12</v>
      </c>
      <c r="H20" s="12">
        <v>29</v>
      </c>
      <c r="I20" s="12">
        <v>37</v>
      </c>
      <c r="J20" s="12">
        <v>7</v>
      </c>
      <c r="K20" s="12">
        <v>58</v>
      </c>
      <c r="L20" s="12">
        <v>2</v>
      </c>
      <c r="M20" s="12">
        <v>2</v>
      </c>
      <c r="N20" s="12">
        <v>5</v>
      </c>
      <c r="O20" s="12">
        <v>47</v>
      </c>
      <c r="P20" s="12">
        <v>18</v>
      </c>
      <c r="Q20" s="12">
        <v>29</v>
      </c>
      <c r="R20" s="12">
        <v>10</v>
      </c>
      <c r="S20" s="12">
        <v>20</v>
      </c>
      <c r="T20" s="12">
        <v>38</v>
      </c>
      <c r="U20" s="12">
        <v>48</v>
      </c>
      <c r="V20" s="12">
        <v>17</v>
      </c>
      <c r="W20" s="12">
        <v>17</v>
      </c>
      <c r="X20" s="12">
        <v>15</v>
      </c>
      <c r="Y20" s="12">
        <v>45</v>
      </c>
      <c r="Z20" s="12">
        <v>15</v>
      </c>
      <c r="AA20" s="12">
        <v>6</v>
      </c>
      <c r="AB20" s="12">
        <v>13</v>
      </c>
      <c r="AC20" s="12">
        <v>21</v>
      </c>
      <c r="AD20" s="12">
        <v>17</v>
      </c>
      <c r="AE20" s="12">
        <v>32</v>
      </c>
      <c r="AF20" s="12">
        <v>10</v>
      </c>
    </row>
    <row r="21" spans="1:32">
      <c r="A21" s="19"/>
      <c r="B21" s="13" t="s">
        <v>835</v>
      </c>
      <c r="C21" s="14">
        <v>0.02</v>
      </c>
      <c r="D21" s="14">
        <v>0.05</v>
      </c>
      <c r="E21" s="14">
        <v>0.01</v>
      </c>
      <c r="F21" s="14">
        <v>0.01</v>
      </c>
      <c r="G21" s="14">
        <v>0.01</v>
      </c>
      <c r="H21" s="14">
        <v>0.02</v>
      </c>
      <c r="I21" s="14">
        <v>0.02</v>
      </c>
      <c r="J21" s="14">
        <v>0.03</v>
      </c>
      <c r="K21" s="14">
        <v>0.06</v>
      </c>
      <c r="L21" s="15" t="s">
        <v>375</v>
      </c>
      <c r="M21" s="15" t="s">
        <v>375</v>
      </c>
      <c r="N21" s="15" t="s">
        <v>375</v>
      </c>
      <c r="O21" s="14">
        <v>0.05</v>
      </c>
      <c r="P21" s="14">
        <v>0.02</v>
      </c>
      <c r="Q21" s="14">
        <v>0.03</v>
      </c>
      <c r="R21" s="14">
        <v>0.02</v>
      </c>
      <c r="S21" s="14">
        <v>0.02</v>
      </c>
      <c r="T21" s="14">
        <v>0.04</v>
      </c>
      <c r="U21" s="14">
        <v>0.09</v>
      </c>
      <c r="V21" s="14">
        <v>0.02</v>
      </c>
      <c r="W21" s="14">
        <v>0.03</v>
      </c>
      <c r="X21" s="14">
        <v>0.02</v>
      </c>
      <c r="Y21" s="14">
        <v>0.04</v>
      </c>
      <c r="Z21" s="14">
        <v>0.02</v>
      </c>
      <c r="AA21" s="14">
        <v>0.01</v>
      </c>
      <c r="AB21" s="14">
        <v>0.01</v>
      </c>
      <c r="AC21" s="14">
        <v>0.02</v>
      </c>
      <c r="AD21" s="14">
        <v>0.02</v>
      </c>
      <c r="AE21" s="14">
        <v>0.03</v>
      </c>
      <c r="AF21" s="14">
        <v>0.01</v>
      </c>
    </row>
    <row r="22" spans="1:32">
      <c r="A22" s="19"/>
      <c r="B22" s="11" t="s">
        <v>836</v>
      </c>
      <c r="C22" s="12">
        <v>2207</v>
      </c>
      <c r="D22" s="12">
        <v>128</v>
      </c>
      <c r="E22" s="12">
        <v>74</v>
      </c>
      <c r="F22" s="12">
        <v>68</v>
      </c>
      <c r="G22" s="12">
        <v>65</v>
      </c>
      <c r="H22" s="12">
        <v>121</v>
      </c>
      <c r="I22" s="12">
        <v>142</v>
      </c>
      <c r="J22" s="12">
        <v>21</v>
      </c>
      <c r="K22" s="12">
        <v>144</v>
      </c>
      <c r="L22" s="12">
        <v>79</v>
      </c>
      <c r="M22" s="12">
        <v>40</v>
      </c>
      <c r="N22" s="12">
        <v>100</v>
      </c>
      <c r="O22" s="12">
        <v>138</v>
      </c>
      <c r="P22" s="12">
        <v>53</v>
      </c>
      <c r="Q22" s="12">
        <v>58</v>
      </c>
      <c r="R22" s="12">
        <v>38</v>
      </c>
      <c r="S22" s="12">
        <v>63</v>
      </c>
      <c r="T22" s="12">
        <v>91</v>
      </c>
      <c r="U22" s="12">
        <v>51</v>
      </c>
      <c r="V22" s="12">
        <v>58</v>
      </c>
      <c r="W22" s="12">
        <v>40</v>
      </c>
      <c r="X22" s="12">
        <v>118</v>
      </c>
      <c r="Y22" s="12">
        <v>78</v>
      </c>
      <c r="Z22" s="12">
        <v>30</v>
      </c>
      <c r="AA22" s="12">
        <v>42</v>
      </c>
      <c r="AB22" s="12">
        <v>24</v>
      </c>
      <c r="AC22" s="12">
        <v>99</v>
      </c>
      <c r="AD22" s="12">
        <v>102</v>
      </c>
      <c r="AE22" s="12">
        <v>84</v>
      </c>
      <c r="AF22" s="12">
        <v>89</v>
      </c>
    </row>
    <row r="23" spans="1:32">
      <c r="A23" s="19"/>
      <c r="B23" s="13" t="s">
        <v>837</v>
      </c>
      <c r="C23" s="14">
        <v>0.08</v>
      </c>
      <c r="D23" s="14">
        <v>0.13</v>
      </c>
      <c r="E23" s="14">
        <v>7.0000000000000007E-2</v>
      </c>
      <c r="F23" s="14">
        <v>0.06</v>
      </c>
      <c r="G23" s="14">
        <v>0.06</v>
      </c>
      <c r="H23" s="14">
        <v>0.1</v>
      </c>
      <c r="I23" s="14">
        <v>0.09</v>
      </c>
      <c r="J23" s="14">
        <v>7.0000000000000007E-2</v>
      </c>
      <c r="K23" s="14">
        <v>0.14000000000000001</v>
      </c>
      <c r="L23" s="14">
        <v>0.08</v>
      </c>
      <c r="M23" s="14">
        <v>0.04</v>
      </c>
      <c r="N23" s="14">
        <v>0.1</v>
      </c>
      <c r="O23" s="14">
        <v>0.14000000000000001</v>
      </c>
      <c r="P23" s="14">
        <v>0.05</v>
      </c>
      <c r="Q23" s="14">
        <v>0.06</v>
      </c>
      <c r="R23" s="14">
        <v>0.08</v>
      </c>
      <c r="S23" s="14">
        <v>0.06</v>
      </c>
      <c r="T23" s="14">
        <v>0.09</v>
      </c>
      <c r="U23" s="14">
        <v>0.1</v>
      </c>
      <c r="V23" s="14">
        <v>0.06</v>
      </c>
      <c r="W23" s="14">
        <v>0.08</v>
      </c>
      <c r="X23" s="14">
        <v>0.12</v>
      </c>
      <c r="Y23" s="14">
        <v>0.08</v>
      </c>
      <c r="Z23" s="14">
        <v>0.03</v>
      </c>
      <c r="AA23" s="14">
        <v>0.04</v>
      </c>
      <c r="AB23" s="14">
        <v>0.02</v>
      </c>
      <c r="AC23" s="14">
        <v>0.1</v>
      </c>
      <c r="AD23" s="14">
        <v>0.1</v>
      </c>
      <c r="AE23" s="14">
        <v>0.08</v>
      </c>
      <c r="AF23" s="14">
        <v>0.09</v>
      </c>
    </row>
    <row r="24" spans="1:32">
      <c r="A24" s="19"/>
      <c r="B24" s="11" t="s">
        <v>838</v>
      </c>
      <c r="C24" s="12">
        <v>670</v>
      </c>
      <c r="D24" s="12">
        <v>47</v>
      </c>
      <c r="E24" s="12">
        <v>16</v>
      </c>
      <c r="F24" s="12">
        <v>29</v>
      </c>
      <c r="G24" s="12">
        <v>7</v>
      </c>
      <c r="H24" s="12">
        <v>34</v>
      </c>
      <c r="I24" s="12">
        <v>41</v>
      </c>
      <c r="J24" s="12">
        <v>7</v>
      </c>
      <c r="K24" s="12">
        <v>27</v>
      </c>
      <c r="L24" s="12">
        <v>11</v>
      </c>
      <c r="M24" s="12">
        <v>4</v>
      </c>
      <c r="N24" s="12">
        <v>13</v>
      </c>
      <c r="O24" s="12">
        <v>45</v>
      </c>
      <c r="P24" s="12">
        <v>19</v>
      </c>
      <c r="Q24" s="12">
        <v>25</v>
      </c>
      <c r="R24" s="12">
        <v>11</v>
      </c>
      <c r="S24" s="12">
        <v>15</v>
      </c>
      <c r="T24" s="12">
        <v>31</v>
      </c>
      <c r="U24" s="12">
        <v>32</v>
      </c>
      <c r="V24" s="12">
        <v>32</v>
      </c>
      <c r="W24" s="12">
        <v>14</v>
      </c>
      <c r="X24" s="12">
        <v>20</v>
      </c>
      <c r="Y24" s="12">
        <v>52</v>
      </c>
      <c r="Z24" s="12">
        <v>25</v>
      </c>
      <c r="AA24" s="12">
        <v>3</v>
      </c>
      <c r="AB24" s="12">
        <v>11</v>
      </c>
      <c r="AC24" s="12">
        <v>13</v>
      </c>
      <c r="AD24" s="12">
        <v>28</v>
      </c>
      <c r="AE24" s="12">
        <v>20</v>
      </c>
      <c r="AF24" s="12">
        <v>9</v>
      </c>
    </row>
    <row r="25" spans="1:32">
      <c r="A25" s="19"/>
      <c r="B25" s="13" t="s">
        <v>839</v>
      </c>
      <c r="C25" s="14">
        <v>0.03</v>
      </c>
      <c r="D25" s="14">
        <v>0.05</v>
      </c>
      <c r="E25" s="14">
        <v>0.01</v>
      </c>
      <c r="F25" s="14">
        <v>0.03</v>
      </c>
      <c r="G25" s="14">
        <v>0.01</v>
      </c>
      <c r="H25" s="14">
        <v>0.03</v>
      </c>
      <c r="I25" s="14">
        <v>0.03</v>
      </c>
      <c r="J25" s="14">
        <v>0.02</v>
      </c>
      <c r="K25" s="14">
        <v>0.03</v>
      </c>
      <c r="L25" s="14">
        <v>0.01</v>
      </c>
      <c r="M25" s="15" t="s">
        <v>375</v>
      </c>
      <c r="N25" s="14">
        <v>0.01</v>
      </c>
      <c r="O25" s="14">
        <v>0.04</v>
      </c>
      <c r="P25" s="14">
        <v>0.02</v>
      </c>
      <c r="Q25" s="14">
        <v>0.02</v>
      </c>
      <c r="R25" s="14">
        <v>0.02</v>
      </c>
      <c r="S25" s="14">
        <v>0.01</v>
      </c>
      <c r="T25" s="14">
        <v>0.03</v>
      </c>
      <c r="U25" s="14">
        <v>0.06</v>
      </c>
      <c r="V25" s="14">
        <v>0.03</v>
      </c>
      <c r="W25" s="14">
        <v>0.03</v>
      </c>
      <c r="X25" s="14">
        <v>0.02</v>
      </c>
      <c r="Y25" s="14">
        <v>0.05</v>
      </c>
      <c r="Z25" s="14">
        <v>0.02</v>
      </c>
      <c r="AA25" s="15" t="s">
        <v>375</v>
      </c>
      <c r="AB25" s="14">
        <v>0.01</v>
      </c>
      <c r="AC25" s="14">
        <v>0.01</v>
      </c>
      <c r="AD25" s="14">
        <v>0.03</v>
      </c>
      <c r="AE25" s="14">
        <v>0.02</v>
      </c>
      <c r="AF25" s="14">
        <v>0.01</v>
      </c>
    </row>
    <row r="26" spans="1:32">
      <c r="A26" s="19"/>
      <c r="B26" s="11" t="s">
        <v>840</v>
      </c>
      <c r="C26" s="12">
        <v>1128</v>
      </c>
      <c r="D26" s="12">
        <v>94</v>
      </c>
      <c r="E26" s="12">
        <v>28</v>
      </c>
      <c r="F26" s="12">
        <v>26</v>
      </c>
      <c r="G26" s="12">
        <v>70</v>
      </c>
      <c r="H26" s="12">
        <v>75</v>
      </c>
      <c r="I26" s="12">
        <v>92</v>
      </c>
      <c r="J26" s="12">
        <v>16</v>
      </c>
      <c r="K26" s="12">
        <v>118</v>
      </c>
      <c r="L26" s="12">
        <v>27</v>
      </c>
      <c r="M26" s="12">
        <v>24</v>
      </c>
      <c r="N26" s="12">
        <v>37</v>
      </c>
      <c r="O26" s="12">
        <v>61</v>
      </c>
      <c r="P26" s="12">
        <v>28</v>
      </c>
      <c r="Q26" s="12">
        <v>22</v>
      </c>
      <c r="R26" s="12">
        <v>25</v>
      </c>
      <c r="S26" s="12">
        <v>57</v>
      </c>
      <c r="T26" s="12">
        <v>97</v>
      </c>
      <c r="U26" s="12">
        <v>39</v>
      </c>
      <c r="V26" s="12">
        <v>17</v>
      </c>
      <c r="W26" s="12">
        <v>25</v>
      </c>
      <c r="X26" s="12">
        <v>58</v>
      </c>
      <c r="Y26" s="12">
        <v>31</v>
      </c>
      <c r="Z26" s="12">
        <v>16</v>
      </c>
      <c r="AA26" s="12">
        <v>26</v>
      </c>
      <c r="AB26" s="12">
        <v>21</v>
      </c>
      <c r="AC26" s="12">
        <v>39</v>
      </c>
      <c r="AD26" s="12">
        <v>36</v>
      </c>
      <c r="AE26" s="12">
        <v>73</v>
      </c>
      <c r="AF26" s="12">
        <v>50</v>
      </c>
    </row>
    <row r="27" spans="1:32">
      <c r="A27" s="19"/>
      <c r="B27" s="13" t="s">
        <v>841</v>
      </c>
      <c r="C27" s="14">
        <v>0.04</v>
      </c>
      <c r="D27" s="14">
        <v>0.09</v>
      </c>
      <c r="E27" s="14">
        <v>0.03</v>
      </c>
      <c r="F27" s="14">
        <v>0.02</v>
      </c>
      <c r="G27" s="14">
        <v>7.0000000000000007E-2</v>
      </c>
      <c r="H27" s="14">
        <v>0.06</v>
      </c>
      <c r="I27" s="14">
        <v>0.06</v>
      </c>
      <c r="J27" s="14">
        <v>0.05</v>
      </c>
      <c r="K27" s="14">
        <v>0.12</v>
      </c>
      <c r="L27" s="14">
        <v>0.03</v>
      </c>
      <c r="M27" s="14">
        <v>0.02</v>
      </c>
      <c r="N27" s="14">
        <v>0.04</v>
      </c>
      <c r="O27" s="14">
        <v>0.06</v>
      </c>
      <c r="P27" s="14">
        <v>0.03</v>
      </c>
      <c r="Q27" s="14">
        <v>0.02</v>
      </c>
      <c r="R27" s="14">
        <v>0.05</v>
      </c>
      <c r="S27" s="14">
        <v>0.06</v>
      </c>
      <c r="T27" s="14">
        <v>0.09</v>
      </c>
      <c r="U27" s="14">
        <v>0.08</v>
      </c>
      <c r="V27" s="14">
        <v>0.02</v>
      </c>
      <c r="W27" s="14">
        <v>0.05</v>
      </c>
      <c r="X27" s="14">
        <v>0.06</v>
      </c>
      <c r="Y27" s="14">
        <v>0.03</v>
      </c>
      <c r="Z27" s="14">
        <v>0.02</v>
      </c>
      <c r="AA27" s="14">
        <v>0.02</v>
      </c>
      <c r="AB27" s="14">
        <v>0.02</v>
      </c>
      <c r="AC27" s="14">
        <v>0.04</v>
      </c>
      <c r="AD27" s="14">
        <v>0.04</v>
      </c>
      <c r="AE27" s="14">
        <v>7.0000000000000007E-2</v>
      </c>
      <c r="AF27" s="14">
        <v>0.05</v>
      </c>
    </row>
    <row r="28" spans="1:32">
      <c r="A28" s="19"/>
      <c r="B28" s="11" t="s">
        <v>842</v>
      </c>
      <c r="C28" s="12">
        <v>18139</v>
      </c>
      <c r="D28" s="12">
        <v>596</v>
      </c>
      <c r="E28" s="12">
        <v>710</v>
      </c>
      <c r="F28" s="12">
        <v>764</v>
      </c>
      <c r="G28" s="12">
        <v>832</v>
      </c>
      <c r="H28" s="12">
        <v>759</v>
      </c>
      <c r="I28" s="12">
        <v>965</v>
      </c>
      <c r="J28" s="12">
        <v>206</v>
      </c>
      <c r="K28" s="12">
        <v>516</v>
      </c>
      <c r="L28" s="12">
        <v>798</v>
      </c>
      <c r="M28" s="12">
        <v>735</v>
      </c>
      <c r="N28" s="12">
        <v>747</v>
      </c>
      <c r="O28" s="12">
        <v>571</v>
      </c>
      <c r="P28" s="12">
        <v>721</v>
      </c>
      <c r="Q28" s="12">
        <v>780</v>
      </c>
      <c r="R28" s="12">
        <v>341</v>
      </c>
      <c r="S28" s="12">
        <v>738</v>
      </c>
      <c r="T28" s="12">
        <v>574</v>
      </c>
      <c r="U28" s="12">
        <v>303</v>
      </c>
      <c r="V28" s="12">
        <v>752</v>
      </c>
      <c r="W28" s="12">
        <v>322</v>
      </c>
      <c r="X28" s="12">
        <v>704</v>
      </c>
      <c r="Y28" s="12">
        <v>703</v>
      </c>
      <c r="Z28" s="12">
        <v>738</v>
      </c>
      <c r="AA28" s="12">
        <v>721</v>
      </c>
      <c r="AB28" s="12">
        <v>781</v>
      </c>
      <c r="AC28" s="12">
        <v>678</v>
      </c>
      <c r="AD28" s="12">
        <v>652</v>
      </c>
      <c r="AE28" s="12">
        <v>730</v>
      </c>
      <c r="AF28" s="12">
        <v>842</v>
      </c>
    </row>
    <row r="29" spans="1:32">
      <c r="A29" s="19"/>
      <c r="B29" s="13" t="s">
        <v>843</v>
      </c>
      <c r="C29" s="14">
        <v>0.69000000000000006</v>
      </c>
      <c r="D29" s="14">
        <v>0.59</v>
      </c>
      <c r="E29" s="14">
        <v>0.68</v>
      </c>
      <c r="F29" s="14">
        <v>0.72</v>
      </c>
      <c r="G29" s="14">
        <v>0.82000000000000006</v>
      </c>
      <c r="H29" s="14">
        <v>0.62</v>
      </c>
      <c r="I29" s="14">
        <v>0.63</v>
      </c>
      <c r="J29" s="14">
        <v>0.69000000000000006</v>
      </c>
      <c r="K29" s="14">
        <v>0.51</v>
      </c>
      <c r="L29" s="14">
        <v>0.79</v>
      </c>
      <c r="M29" s="14">
        <v>0.73</v>
      </c>
      <c r="N29" s="14">
        <v>0.74</v>
      </c>
      <c r="O29" s="14">
        <v>0.57000000000000006</v>
      </c>
      <c r="P29" s="14">
        <v>0.72</v>
      </c>
      <c r="Q29" s="14">
        <v>0.76</v>
      </c>
      <c r="R29" s="14">
        <v>0.68</v>
      </c>
      <c r="S29" s="14">
        <v>0.74</v>
      </c>
      <c r="T29" s="14">
        <v>0.56000000000000005</v>
      </c>
      <c r="U29" s="14">
        <v>0.6</v>
      </c>
      <c r="V29" s="14">
        <v>0.73</v>
      </c>
      <c r="W29" s="14">
        <v>0.64</v>
      </c>
      <c r="X29" s="14">
        <v>0.70000000000000007</v>
      </c>
      <c r="Y29" s="14">
        <v>0.70000000000000007</v>
      </c>
      <c r="Z29" s="14">
        <v>0.72</v>
      </c>
      <c r="AA29" s="14">
        <v>0.69000000000000006</v>
      </c>
      <c r="AB29" s="14">
        <v>0.75</v>
      </c>
      <c r="AC29" s="14">
        <v>0.67</v>
      </c>
      <c r="AD29" s="14">
        <v>0.65</v>
      </c>
      <c r="AE29" s="14">
        <v>0.73</v>
      </c>
      <c r="AF29" s="14">
        <v>0.82000000000000006</v>
      </c>
    </row>
    <row r="30" spans="1:32">
      <c r="A30" s="19"/>
      <c r="B30" s="11" t="s">
        <v>844</v>
      </c>
      <c r="C30" s="12">
        <v>1989</v>
      </c>
      <c r="D30" s="12">
        <v>34</v>
      </c>
      <c r="E30" s="12">
        <v>148</v>
      </c>
      <c r="F30" s="12">
        <v>68</v>
      </c>
      <c r="G30" s="12">
        <v>2</v>
      </c>
      <c r="H30" s="12">
        <v>109</v>
      </c>
      <c r="I30" s="12">
        <v>131</v>
      </c>
      <c r="J30" s="12">
        <v>22</v>
      </c>
      <c r="K30" s="12">
        <v>84</v>
      </c>
      <c r="L30" s="12">
        <v>27</v>
      </c>
      <c r="M30" s="12">
        <v>159</v>
      </c>
      <c r="N30" s="12">
        <v>40</v>
      </c>
      <c r="O30" s="12">
        <v>64</v>
      </c>
      <c r="P30" s="12">
        <v>105</v>
      </c>
      <c r="Q30" s="12">
        <v>60</v>
      </c>
      <c r="R30" s="12">
        <v>46</v>
      </c>
      <c r="S30" s="12">
        <v>73</v>
      </c>
      <c r="T30" s="12">
        <v>112</v>
      </c>
      <c r="U30" s="12">
        <v>6</v>
      </c>
      <c r="V30" s="12">
        <v>125</v>
      </c>
      <c r="W30" s="12">
        <v>33</v>
      </c>
      <c r="X30" s="12">
        <v>0</v>
      </c>
      <c r="Y30" s="12">
        <v>76</v>
      </c>
      <c r="Z30" s="12">
        <v>138</v>
      </c>
      <c r="AA30" s="12">
        <v>162</v>
      </c>
      <c r="AB30" s="12">
        <v>150</v>
      </c>
      <c r="AC30" s="12">
        <v>88</v>
      </c>
      <c r="AD30" s="12">
        <v>66</v>
      </c>
      <c r="AE30" s="12">
        <v>20</v>
      </c>
      <c r="AF30" s="12">
        <v>3</v>
      </c>
    </row>
    <row r="31" spans="1:32">
      <c r="A31" s="19"/>
      <c r="B31" s="13" t="s">
        <v>845</v>
      </c>
      <c r="C31" s="14">
        <v>7.0000000000000007E-2</v>
      </c>
      <c r="D31" s="14">
        <v>0.03</v>
      </c>
      <c r="E31" s="14">
        <v>0.14000000000000001</v>
      </c>
      <c r="F31" s="14">
        <v>0.06</v>
      </c>
      <c r="G31" s="15" t="s">
        <v>375</v>
      </c>
      <c r="H31" s="14">
        <v>0.09</v>
      </c>
      <c r="I31" s="14">
        <v>0.09</v>
      </c>
      <c r="J31" s="14">
        <v>0.08</v>
      </c>
      <c r="K31" s="14">
        <v>0.09</v>
      </c>
      <c r="L31" s="14">
        <v>0.03</v>
      </c>
      <c r="M31" s="14">
        <v>0.16</v>
      </c>
      <c r="N31" s="14">
        <v>0.04</v>
      </c>
      <c r="O31" s="14">
        <v>0.06</v>
      </c>
      <c r="P31" s="14">
        <v>0.1</v>
      </c>
      <c r="Q31" s="14">
        <v>0.06</v>
      </c>
      <c r="R31" s="14">
        <v>0.09</v>
      </c>
      <c r="S31" s="14">
        <v>7.0000000000000007E-2</v>
      </c>
      <c r="T31" s="14">
        <v>0.11</v>
      </c>
      <c r="U31" s="14">
        <v>0.01</v>
      </c>
      <c r="V31" s="14">
        <v>0.12</v>
      </c>
      <c r="W31" s="14">
        <v>7.0000000000000007E-2</v>
      </c>
      <c r="X31" s="15" t="s">
        <v>375</v>
      </c>
      <c r="Y31" s="14">
        <v>0.08</v>
      </c>
      <c r="Z31" s="14">
        <v>0.14000000000000001</v>
      </c>
      <c r="AA31" s="14">
        <v>0.16</v>
      </c>
      <c r="AB31" s="14">
        <v>0.14000000000000001</v>
      </c>
      <c r="AC31" s="14">
        <v>0.09</v>
      </c>
      <c r="AD31" s="14">
        <v>7.0000000000000007E-2</v>
      </c>
      <c r="AE31" s="14">
        <v>0.02</v>
      </c>
      <c r="AF31" s="15" t="s">
        <v>375</v>
      </c>
    </row>
    <row r="32" spans="1:32">
      <c r="A32" s="19"/>
      <c r="B32" s="11" t="s">
        <v>386</v>
      </c>
      <c r="C32" s="12">
        <v>42</v>
      </c>
      <c r="D32" s="12">
        <v>0</v>
      </c>
      <c r="E32" s="12">
        <v>3</v>
      </c>
      <c r="F32" s="12">
        <v>5</v>
      </c>
      <c r="G32" s="12">
        <v>4</v>
      </c>
      <c r="H32" s="12">
        <v>4</v>
      </c>
      <c r="I32" s="12">
        <v>4</v>
      </c>
      <c r="J32" s="12">
        <v>0</v>
      </c>
      <c r="K32" s="12">
        <v>13</v>
      </c>
      <c r="L32" s="12">
        <v>0</v>
      </c>
      <c r="M32" s="12">
        <v>0</v>
      </c>
      <c r="N32" s="12">
        <v>0</v>
      </c>
      <c r="O32" s="12">
        <v>1</v>
      </c>
      <c r="P32" s="12">
        <v>0</v>
      </c>
      <c r="Q32" s="12">
        <v>1</v>
      </c>
      <c r="R32" s="12">
        <v>3</v>
      </c>
      <c r="S32" s="12">
        <v>3</v>
      </c>
      <c r="T32" s="12">
        <v>10</v>
      </c>
      <c r="U32" s="12">
        <v>0</v>
      </c>
      <c r="V32" s="12">
        <v>1</v>
      </c>
      <c r="W32" s="12">
        <v>1</v>
      </c>
      <c r="X32" s="12">
        <v>0</v>
      </c>
      <c r="Y32" s="12">
        <v>1</v>
      </c>
      <c r="Z32" s="12">
        <v>1</v>
      </c>
      <c r="AA32" s="12">
        <v>8</v>
      </c>
      <c r="AB32" s="12">
        <v>0</v>
      </c>
      <c r="AC32" s="12">
        <v>1</v>
      </c>
      <c r="AD32" s="12">
        <v>3</v>
      </c>
      <c r="AE32" s="12">
        <v>3</v>
      </c>
      <c r="AF32" s="12">
        <v>1</v>
      </c>
    </row>
    <row r="33" spans="1:32">
      <c r="A33" s="19"/>
      <c r="B33" s="13" t="s">
        <v>399</v>
      </c>
      <c r="C33" s="15" t="s">
        <v>375</v>
      </c>
      <c r="D33" s="15" t="s">
        <v>375</v>
      </c>
      <c r="E33" s="15" t="s">
        <v>375</v>
      </c>
      <c r="F33" s="14">
        <v>0.01</v>
      </c>
      <c r="G33" s="15" t="s">
        <v>375</v>
      </c>
      <c r="H33" s="15" t="s">
        <v>375</v>
      </c>
      <c r="I33" s="15" t="s">
        <v>375</v>
      </c>
      <c r="J33" s="15" t="s">
        <v>375</v>
      </c>
      <c r="K33" s="14">
        <v>0.01</v>
      </c>
      <c r="L33" s="15" t="s">
        <v>375</v>
      </c>
      <c r="M33" s="15" t="s">
        <v>375</v>
      </c>
      <c r="N33" s="15" t="s">
        <v>375</v>
      </c>
      <c r="O33" s="15" t="s">
        <v>375</v>
      </c>
      <c r="P33" s="15" t="s">
        <v>375</v>
      </c>
      <c r="Q33" s="15" t="s">
        <v>375</v>
      </c>
      <c r="R33" s="14">
        <v>0.01</v>
      </c>
      <c r="S33" s="15" t="s">
        <v>375</v>
      </c>
      <c r="T33" s="14">
        <v>0.01</v>
      </c>
      <c r="U33" s="15" t="s">
        <v>375</v>
      </c>
      <c r="V33" s="15" t="s">
        <v>375</v>
      </c>
      <c r="W33" s="15" t="s">
        <v>375</v>
      </c>
      <c r="X33" s="15" t="s">
        <v>375</v>
      </c>
      <c r="Y33" s="15" t="s">
        <v>375</v>
      </c>
      <c r="Z33" s="15" t="s">
        <v>375</v>
      </c>
      <c r="AA33" s="14">
        <v>0.01</v>
      </c>
      <c r="AB33" s="15" t="s">
        <v>375</v>
      </c>
      <c r="AC33" s="15" t="s">
        <v>375</v>
      </c>
      <c r="AD33" s="15" t="s">
        <v>375</v>
      </c>
      <c r="AE33" s="15" t="s">
        <v>375</v>
      </c>
      <c r="AF33" s="15" t="s">
        <v>375</v>
      </c>
    </row>
    <row r="34" spans="1:32">
      <c r="A34" s="19"/>
      <c r="B34" s="11" t="s">
        <v>678</v>
      </c>
      <c r="C34" s="12">
        <v>6283</v>
      </c>
      <c r="D34" s="12">
        <v>390</v>
      </c>
      <c r="E34" s="12">
        <v>185</v>
      </c>
      <c r="F34" s="12">
        <v>227</v>
      </c>
      <c r="G34" s="12">
        <v>178</v>
      </c>
      <c r="H34" s="12">
        <v>358</v>
      </c>
      <c r="I34" s="12">
        <v>427</v>
      </c>
      <c r="J34" s="12">
        <v>69</v>
      </c>
      <c r="K34" s="12">
        <v>393</v>
      </c>
      <c r="L34" s="12">
        <v>181</v>
      </c>
      <c r="M34" s="12">
        <v>113</v>
      </c>
      <c r="N34" s="12">
        <v>224</v>
      </c>
      <c r="O34" s="12">
        <v>368</v>
      </c>
      <c r="P34" s="12">
        <v>177</v>
      </c>
      <c r="Q34" s="12">
        <v>190</v>
      </c>
      <c r="R34" s="12">
        <v>112</v>
      </c>
      <c r="S34" s="12">
        <v>190</v>
      </c>
      <c r="T34" s="12">
        <v>326</v>
      </c>
      <c r="U34" s="12">
        <v>199</v>
      </c>
      <c r="V34" s="12">
        <v>148</v>
      </c>
      <c r="W34" s="12">
        <v>147</v>
      </c>
      <c r="X34" s="12">
        <v>305</v>
      </c>
      <c r="Y34" s="12">
        <v>224</v>
      </c>
      <c r="Z34" s="12">
        <v>139</v>
      </c>
      <c r="AA34" s="12">
        <v>146</v>
      </c>
      <c r="AB34" s="12">
        <v>110</v>
      </c>
      <c r="AC34" s="12">
        <v>239</v>
      </c>
      <c r="AD34" s="12">
        <v>282</v>
      </c>
      <c r="AE34" s="12">
        <v>248</v>
      </c>
      <c r="AF34" s="12">
        <v>186</v>
      </c>
    </row>
    <row r="35" spans="1:32">
      <c r="A35" s="19"/>
      <c r="B35" s="13" t="s">
        <v>679</v>
      </c>
      <c r="C35" s="14">
        <v>0.24</v>
      </c>
      <c r="D35" s="14">
        <v>0.38</v>
      </c>
      <c r="E35" s="14">
        <v>0.18</v>
      </c>
      <c r="F35" s="14">
        <v>0.21</v>
      </c>
      <c r="G35" s="14">
        <v>0.18</v>
      </c>
      <c r="H35" s="14">
        <v>0.28999999999999998</v>
      </c>
      <c r="I35" s="14">
        <v>0.28000000000000003</v>
      </c>
      <c r="J35" s="14">
        <v>0.23</v>
      </c>
      <c r="K35" s="14">
        <v>0.39</v>
      </c>
      <c r="L35" s="14">
        <v>0.18</v>
      </c>
      <c r="M35" s="14">
        <v>0.11</v>
      </c>
      <c r="N35" s="14">
        <v>0.22</v>
      </c>
      <c r="O35" s="14">
        <v>0.37</v>
      </c>
      <c r="P35" s="14">
        <v>0.18</v>
      </c>
      <c r="Q35" s="14">
        <v>0.18</v>
      </c>
      <c r="R35" s="14">
        <v>0.22</v>
      </c>
      <c r="S35" s="14">
        <v>0.19</v>
      </c>
      <c r="T35" s="14">
        <v>0.32</v>
      </c>
      <c r="U35" s="14">
        <v>0.39</v>
      </c>
      <c r="V35" s="14">
        <v>0.15</v>
      </c>
      <c r="W35" s="14">
        <v>0.28999999999999998</v>
      </c>
      <c r="X35" s="14">
        <v>0.3</v>
      </c>
      <c r="Y35" s="14">
        <v>0.22</v>
      </c>
      <c r="Z35" s="14">
        <v>0.14000000000000001</v>
      </c>
      <c r="AA35" s="14">
        <v>0.14000000000000001</v>
      </c>
      <c r="AB35" s="14">
        <v>0.11</v>
      </c>
      <c r="AC35" s="14">
        <v>0.24</v>
      </c>
      <c r="AD35" s="14">
        <v>0.28000000000000003</v>
      </c>
      <c r="AE35" s="14">
        <v>0.25</v>
      </c>
      <c r="AF35" s="14">
        <v>0.18</v>
      </c>
    </row>
    <row r="36" spans="1:32">
      <c r="A36" s="19"/>
      <c r="B36" s="11" t="s">
        <v>846</v>
      </c>
      <c r="C36" s="12">
        <v>18139</v>
      </c>
      <c r="D36" s="12">
        <v>596</v>
      </c>
      <c r="E36" s="12">
        <v>710</v>
      </c>
      <c r="F36" s="12">
        <v>764</v>
      </c>
      <c r="G36" s="12">
        <v>832</v>
      </c>
      <c r="H36" s="12">
        <v>759</v>
      </c>
      <c r="I36" s="12">
        <v>965</v>
      </c>
      <c r="J36" s="12">
        <v>206</v>
      </c>
      <c r="K36" s="12">
        <v>516</v>
      </c>
      <c r="L36" s="12">
        <v>798</v>
      </c>
      <c r="M36" s="12">
        <v>735</v>
      </c>
      <c r="N36" s="12">
        <v>747</v>
      </c>
      <c r="O36" s="12">
        <v>571</v>
      </c>
      <c r="P36" s="12">
        <v>721</v>
      </c>
      <c r="Q36" s="12">
        <v>780</v>
      </c>
      <c r="R36" s="12">
        <v>341</v>
      </c>
      <c r="S36" s="12">
        <v>738</v>
      </c>
      <c r="T36" s="12">
        <v>574</v>
      </c>
      <c r="U36" s="12">
        <v>303</v>
      </c>
      <c r="V36" s="12">
        <v>752</v>
      </c>
      <c r="W36" s="12">
        <v>322</v>
      </c>
      <c r="X36" s="12">
        <v>704</v>
      </c>
      <c r="Y36" s="12">
        <v>703</v>
      </c>
      <c r="Z36" s="12">
        <v>738</v>
      </c>
      <c r="AA36" s="12">
        <v>721</v>
      </c>
      <c r="AB36" s="12">
        <v>781</v>
      </c>
      <c r="AC36" s="12">
        <v>678</v>
      </c>
      <c r="AD36" s="12">
        <v>652</v>
      </c>
      <c r="AE36" s="12">
        <v>730</v>
      </c>
      <c r="AF36" s="12">
        <v>842</v>
      </c>
    </row>
    <row r="37" spans="1:32">
      <c r="A37" s="19"/>
      <c r="B37" s="13" t="s">
        <v>847</v>
      </c>
      <c r="C37" s="14">
        <v>0.69000000000000006</v>
      </c>
      <c r="D37" s="14">
        <v>0.59</v>
      </c>
      <c r="E37" s="14">
        <v>0.68</v>
      </c>
      <c r="F37" s="14">
        <v>0.72</v>
      </c>
      <c r="G37" s="14">
        <v>0.82000000000000006</v>
      </c>
      <c r="H37" s="14">
        <v>0.62</v>
      </c>
      <c r="I37" s="14">
        <v>0.63</v>
      </c>
      <c r="J37" s="14">
        <v>0.69000000000000006</v>
      </c>
      <c r="K37" s="14">
        <v>0.51</v>
      </c>
      <c r="L37" s="14">
        <v>0.79</v>
      </c>
      <c r="M37" s="14">
        <v>0.73</v>
      </c>
      <c r="N37" s="14">
        <v>0.74</v>
      </c>
      <c r="O37" s="14">
        <v>0.57000000000000006</v>
      </c>
      <c r="P37" s="14">
        <v>0.72</v>
      </c>
      <c r="Q37" s="14">
        <v>0.76</v>
      </c>
      <c r="R37" s="14">
        <v>0.68</v>
      </c>
      <c r="S37" s="14">
        <v>0.74</v>
      </c>
      <c r="T37" s="14">
        <v>0.56000000000000005</v>
      </c>
      <c r="U37" s="14">
        <v>0.6</v>
      </c>
      <c r="V37" s="14">
        <v>0.73</v>
      </c>
      <c r="W37" s="14">
        <v>0.64</v>
      </c>
      <c r="X37" s="14">
        <v>0.70000000000000007</v>
      </c>
      <c r="Y37" s="14">
        <v>0.70000000000000007</v>
      </c>
      <c r="Z37" s="14">
        <v>0.72</v>
      </c>
      <c r="AA37" s="14">
        <v>0.69000000000000006</v>
      </c>
      <c r="AB37" s="14">
        <v>0.75</v>
      </c>
      <c r="AC37" s="14">
        <v>0.67</v>
      </c>
      <c r="AD37" s="14">
        <v>0.65</v>
      </c>
      <c r="AE37" s="14">
        <v>0.73</v>
      </c>
      <c r="AF37" s="14">
        <v>0.82000000000000006</v>
      </c>
    </row>
    <row r="38" spans="1:32">
      <c r="A38" s="18"/>
    </row>
    <row r="39" spans="1:32">
      <c r="A39" s="18"/>
    </row>
    <row r="40" spans="1:32">
      <c r="A40" s="18"/>
    </row>
    <row r="41" spans="1:32">
      <c r="A41" s="18"/>
    </row>
  </sheetData>
  <mergeCells count="10">
    <mergeCell ref="B4:F4"/>
    <mergeCell ref="H3:L3"/>
    <mergeCell ref="C8:AF8"/>
    <mergeCell ref="A34:A41"/>
    <mergeCell ref="A10:A33"/>
    <mergeCell ref="B3:F3"/>
    <mergeCell ref="B5:F5"/>
    <mergeCell ref="H5:L5"/>
    <mergeCell ref="B10:B11"/>
    <mergeCell ref="H4:L4"/>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3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157</v>
      </c>
      <c r="C3" s="17"/>
      <c r="D3" s="17"/>
      <c r="E3" s="17"/>
      <c r="F3" s="17"/>
      <c r="H3" s="17" t="s">
        <v>158</v>
      </c>
      <c r="I3" s="17"/>
      <c r="J3" s="17"/>
      <c r="K3" s="17"/>
      <c r="L3" s="17"/>
    </row>
    <row r="4" spans="1:32" ht="27" customHeight="1">
      <c r="B4" s="17"/>
      <c r="C4" s="17"/>
      <c r="D4" s="17"/>
      <c r="E4" s="17"/>
      <c r="F4" s="17"/>
      <c r="H4" s="17"/>
      <c r="I4" s="17"/>
      <c r="J4" s="17"/>
      <c r="K4" s="17"/>
      <c r="L4" s="17"/>
    </row>
    <row r="5" spans="1:32" ht="12" customHeight="1">
      <c r="B5" s="17" t="s">
        <v>848</v>
      </c>
      <c r="C5" s="17"/>
      <c r="D5" s="17"/>
      <c r="E5" s="17"/>
      <c r="F5" s="17"/>
      <c r="H5" s="17" t="s">
        <v>849</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6283</v>
      </c>
      <c r="D10" s="10">
        <v>390</v>
      </c>
      <c r="E10" s="10">
        <v>185</v>
      </c>
      <c r="F10" s="10">
        <v>227</v>
      </c>
      <c r="G10" s="10">
        <v>178</v>
      </c>
      <c r="H10" s="10">
        <v>358</v>
      </c>
      <c r="I10" s="10">
        <v>427</v>
      </c>
      <c r="J10" s="10">
        <v>69</v>
      </c>
      <c r="K10" s="10">
        <v>393</v>
      </c>
      <c r="L10" s="10">
        <v>181</v>
      </c>
      <c r="M10" s="10">
        <v>113</v>
      </c>
      <c r="N10" s="10">
        <v>224</v>
      </c>
      <c r="O10" s="10">
        <v>368</v>
      </c>
      <c r="P10" s="10">
        <v>177</v>
      </c>
      <c r="Q10" s="10">
        <v>190</v>
      </c>
      <c r="R10" s="10">
        <v>112</v>
      </c>
      <c r="S10" s="10">
        <v>190</v>
      </c>
      <c r="T10" s="10">
        <v>326</v>
      </c>
      <c r="U10" s="10">
        <v>199</v>
      </c>
      <c r="V10" s="10">
        <v>148</v>
      </c>
      <c r="W10" s="10">
        <v>147</v>
      </c>
      <c r="X10" s="10">
        <v>305</v>
      </c>
      <c r="Y10" s="10">
        <v>224</v>
      </c>
      <c r="Z10" s="10">
        <v>139</v>
      </c>
      <c r="AA10" s="10">
        <v>146</v>
      </c>
      <c r="AB10" s="10">
        <v>110</v>
      </c>
      <c r="AC10" s="10">
        <v>239</v>
      </c>
      <c r="AD10" s="10">
        <v>282</v>
      </c>
      <c r="AE10" s="10">
        <v>248</v>
      </c>
      <c r="AF10" s="10">
        <v>186</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850</v>
      </c>
      <c r="C12" s="12">
        <v>949</v>
      </c>
      <c r="D12" s="12">
        <v>77</v>
      </c>
      <c r="E12" s="12">
        <v>24</v>
      </c>
      <c r="F12" s="12">
        <v>34</v>
      </c>
      <c r="G12" s="12">
        <v>42</v>
      </c>
      <c r="H12" s="12">
        <v>70</v>
      </c>
      <c r="I12" s="12">
        <v>83</v>
      </c>
      <c r="J12" s="12">
        <v>13</v>
      </c>
      <c r="K12" s="12">
        <v>58</v>
      </c>
      <c r="L12" s="12">
        <v>19</v>
      </c>
      <c r="M12" s="12">
        <v>11</v>
      </c>
      <c r="N12" s="12">
        <v>38</v>
      </c>
      <c r="O12" s="12">
        <v>41</v>
      </c>
      <c r="P12" s="12">
        <v>21</v>
      </c>
      <c r="Q12" s="12">
        <v>22</v>
      </c>
      <c r="R12" s="12">
        <v>15</v>
      </c>
      <c r="S12" s="12">
        <v>20</v>
      </c>
      <c r="T12" s="12">
        <v>44</v>
      </c>
      <c r="U12" s="12">
        <v>42</v>
      </c>
      <c r="V12" s="12">
        <v>30</v>
      </c>
      <c r="W12" s="12">
        <v>23</v>
      </c>
      <c r="X12" s="12">
        <v>51</v>
      </c>
      <c r="Y12" s="12">
        <v>29</v>
      </c>
      <c r="Z12" s="12">
        <v>17</v>
      </c>
      <c r="AA12" s="12">
        <v>24</v>
      </c>
      <c r="AB12" s="12">
        <v>7</v>
      </c>
      <c r="AC12" s="12">
        <v>11</v>
      </c>
      <c r="AD12" s="12">
        <v>36</v>
      </c>
      <c r="AE12" s="12">
        <v>52</v>
      </c>
      <c r="AF12" s="12">
        <v>52</v>
      </c>
    </row>
    <row r="13" spans="1:32">
      <c r="A13" s="19"/>
      <c r="B13" s="13" t="s">
        <v>851</v>
      </c>
      <c r="C13" s="14">
        <v>0.15</v>
      </c>
      <c r="D13" s="14">
        <v>0.2</v>
      </c>
      <c r="E13" s="14">
        <v>0.13</v>
      </c>
      <c r="F13" s="14">
        <v>0.15</v>
      </c>
      <c r="G13" s="14">
        <v>0.24</v>
      </c>
      <c r="H13" s="14">
        <v>0.2</v>
      </c>
      <c r="I13" s="14">
        <v>0.19</v>
      </c>
      <c r="J13" s="14">
        <v>0.19</v>
      </c>
      <c r="K13" s="14">
        <v>0.15</v>
      </c>
      <c r="L13" s="14">
        <v>0.11</v>
      </c>
      <c r="M13" s="14">
        <v>0.1</v>
      </c>
      <c r="N13" s="14">
        <v>0.17</v>
      </c>
      <c r="O13" s="14">
        <v>0.11</v>
      </c>
      <c r="P13" s="14">
        <v>0.12</v>
      </c>
      <c r="Q13" s="14">
        <v>0.12</v>
      </c>
      <c r="R13" s="14">
        <v>0.13</v>
      </c>
      <c r="S13" s="14">
        <v>0.1</v>
      </c>
      <c r="T13" s="14">
        <v>0.14000000000000001</v>
      </c>
      <c r="U13" s="14">
        <v>0.21</v>
      </c>
      <c r="V13" s="14">
        <v>0.2</v>
      </c>
      <c r="W13" s="14">
        <v>0.16</v>
      </c>
      <c r="X13" s="14">
        <v>0.17</v>
      </c>
      <c r="Y13" s="14">
        <v>0.13</v>
      </c>
      <c r="Z13" s="14">
        <v>0.12</v>
      </c>
      <c r="AA13" s="14">
        <v>0.17</v>
      </c>
      <c r="AB13" s="14">
        <v>0.06</v>
      </c>
      <c r="AC13" s="14">
        <v>0.05</v>
      </c>
      <c r="AD13" s="14">
        <v>0.13</v>
      </c>
      <c r="AE13" s="14">
        <v>0.21</v>
      </c>
      <c r="AF13" s="14">
        <v>0.28000000000000003</v>
      </c>
    </row>
    <row r="14" spans="1:32">
      <c r="A14" s="19"/>
      <c r="B14" s="11" t="s">
        <v>852</v>
      </c>
      <c r="C14" s="12">
        <v>845</v>
      </c>
      <c r="D14" s="12">
        <v>50</v>
      </c>
      <c r="E14" s="12">
        <v>34</v>
      </c>
      <c r="F14" s="12">
        <v>14</v>
      </c>
      <c r="G14" s="12">
        <v>18</v>
      </c>
      <c r="H14" s="12">
        <v>44</v>
      </c>
      <c r="I14" s="12">
        <v>51</v>
      </c>
      <c r="J14" s="12">
        <v>6</v>
      </c>
      <c r="K14" s="12">
        <v>30</v>
      </c>
      <c r="L14" s="12">
        <v>22</v>
      </c>
      <c r="M14" s="12">
        <v>8</v>
      </c>
      <c r="N14" s="12">
        <v>27</v>
      </c>
      <c r="O14" s="12">
        <v>45</v>
      </c>
      <c r="P14" s="12">
        <v>36</v>
      </c>
      <c r="Q14" s="12">
        <v>32</v>
      </c>
      <c r="R14" s="12">
        <v>10</v>
      </c>
      <c r="S14" s="12">
        <v>15</v>
      </c>
      <c r="T14" s="12">
        <v>12</v>
      </c>
      <c r="U14" s="12">
        <v>36</v>
      </c>
      <c r="V14" s="12">
        <v>47</v>
      </c>
      <c r="W14" s="12">
        <v>18</v>
      </c>
      <c r="X14" s="12">
        <v>35</v>
      </c>
      <c r="Y14" s="12">
        <v>50</v>
      </c>
      <c r="Z14" s="12">
        <v>33</v>
      </c>
      <c r="AA14" s="12">
        <v>17</v>
      </c>
      <c r="AB14" s="12">
        <v>11</v>
      </c>
      <c r="AC14" s="12">
        <v>34</v>
      </c>
      <c r="AD14" s="12">
        <v>28</v>
      </c>
      <c r="AE14" s="12">
        <v>32</v>
      </c>
      <c r="AF14" s="12">
        <v>33</v>
      </c>
    </row>
    <row r="15" spans="1:32">
      <c r="A15" s="19"/>
      <c r="B15" s="13" t="s">
        <v>853</v>
      </c>
      <c r="C15" s="14">
        <v>0.13</v>
      </c>
      <c r="D15" s="14">
        <v>0.13</v>
      </c>
      <c r="E15" s="14">
        <v>0.18</v>
      </c>
      <c r="F15" s="14">
        <v>0.06</v>
      </c>
      <c r="G15" s="14">
        <v>0.1</v>
      </c>
      <c r="H15" s="14">
        <v>0.12</v>
      </c>
      <c r="I15" s="14">
        <v>0.12</v>
      </c>
      <c r="J15" s="14">
        <v>0.09</v>
      </c>
      <c r="K15" s="14">
        <v>0.08</v>
      </c>
      <c r="L15" s="14">
        <v>0.12</v>
      </c>
      <c r="M15" s="14">
        <v>7.0000000000000007E-2</v>
      </c>
      <c r="N15" s="14">
        <v>0.12</v>
      </c>
      <c r="O15" s="14">
        <v>0.12</v>
      </c>
      <c r="P15" s="14">
        <v>0.2</v>
      </c>
      <c r="Q15" s="14">
        <v>0.17</v>
      </c>
      <c r="R15" s="14">
        <v>0.09</v>
      </c>
      <c r="S15" s="14">
        <v>0.08</v>
      </c>
      <c r="T15" s="14">
        <v>0.04</v>
      </c>
      <c r="U15" s="14">
        <v>0.18</v>
      </c>
      <c r="V15" s="14">
        <v>0.32</v>
      </c>
      <c r="W15" s="14">
        <v>0.12</v>
      </c>
      <c r="X15" s="14">
        <v>0.12</v>
      </c>
      <c r="Y15" s="14">
        <v>0.22</v>
      </c>
      <c r="Z15" s="14">
        <v>0.24</v>
      </c>
      <c r="AA15" s="14">
        <v>0.12</v>
      </c>
      <c r="AB15" s="14">
        <v>0.1</v>
      </c>
      <c r="AC15" s="14">
        <v>0.14000000000000001</v>
      </c>
      <c r="AD15" s="14">
        <v>0.1</v>
      </c>
      <c r="AE15" s="14">
        <v>0.13</v>
      </c>
      <c r="AF15" s="14">
        <v>0.18</v>
      </c>
    </row>
    <row r="16" spans="1:32">
      <c r="A16" s="19"/>
      <c r="B16" s="11" t="s">
        <v>854</v>
      </c>
      <c r="C16" s="12">
        <v>255</v>
      </c>
      <c r="D16" s="12">
        <v>25</v>
      </c>
      <c r="E16" s="12">
        <v>12</v>
      </c>
      <c r="F16" s="12">
        <v>7</v>
      </c>
      <c r="G16" s="12">
        <v>2</v>
      </c>
      <c r="H16" s="12">
        <v>10</v>
      </c>
      <c r="I16" s="12">
        <v>12</v>
      </c>
      <c r="J16" s="12">
        <v>2</v>
      </c>
      <c r="K16" s="12">
        <v>15</v>
      </c>
      <c r="L16" s="12">
        <v>10</v>
      </c>
      <c r="M16" s="12">
        <v>1</v>
      </c>
      <c r="N16" s="12">
        <v>2</v>
      </c>
      <c r="O16" s="12">
        <v>6</v>
      </c>
      <c r="P16" s="12">
        <v>13</v>
      </c>
      <c r="Q16" s="12">
        <v>22</v>
      </c>
      <c r="R16" s="12">
        <v>2</v>
      </c>
      <c r="S16" s="12">
        <v>5</v>
      </c>
      <c r="T16" s="12">
        <v>7</v>
      </c>
      <c r="U16" s="12">
        <v>5</v>
      </c>
      <c r="V16" s="12">
        <v>25</v>
      </c>
      <c r="W16" s="12">
        <v>7</v>
      </c>
      <c r="X16" s="12">
        <v>16</v>
      </c>
      <c r="Y16" s="12">
        <v>17</v>
      </c>
      <c r="Z16" s="12">
        <v>8</v>
      </c>
      <c r="AA16" s="12">
        <v>1</v>
      </c>
      <c r="AB16" s="12">
        <v>2</v>
      </c>
      <c r="AC16" s="12">
        <v>12</v>
      </c>
      <c r="AD16" s="12">
        <v>12</v>
      </c>
      <c r="AE16" s="12">
        <v>17</v>
      </c>
      <c r="AF16" s="12">
        <v>7</v>
      </c>
    </row>
    <row r="17" spans="1:32">
      <c r="A17" s="19"/>
      <c r="B17" s="13" t="s">
        <v>855</v>
      </c>
      <c r="C17" s="14">
        <v>0.04</v>
      </c>
      <c r="D17" s="14">
        <v>0.06</v>
      </c>
      <c r="E17" s="14">
        <v>7.0000000000000007E-2</v>
      </c>
      <c r="F17" s="14">
        <v>0.03</v>
      </c>
      <c r="G17" s="14">
        <v>0.01</v>
      </c>
      <c r="H17" s="14">
        <v>0.03</v>
      </c>
      <c r="I17" s="14">
        <v>0.03</v>
      </c>
      <c r="J17" s="14">
        <v>0.03</v>
      </c>
      <c r="K17" s="14">
        <v>0.04</v>
      </c>
      <c r="L17" s="14">
        <v>0.05</v>
      </c>
      <c r="M17" s="14">
        <v>0.01</v>
      </c>
      <c r="N17" s="14">
        <v>0.01</v>
      </c>
      <c r="O17" s="14">
        <v>0.02</v>
      </c>
      <c r="P17" s="14">
        <v>0.08</v>
      </c>
      <c r="Q17" s="14">
        <v>0.11</v>
      </c>
      <c r="R17" s="14">
        <v>0.02</v>
      </c>
      <c r="S17" s="14">
        <v>0.03</v>
      </c>
      <c r="T17" s="14">
        <v>0.02</v>
      </c>
      <c r="U17" s="14">
        <v>0.02</v>
      </c>
      <c r="V17" s="14">
        <v>0.17</v>
      </c>
      <c r="W17" s="14">
        <v>0.05</v>
      </c>
      <c r="X17" s="14">
        <v>0.05</v>
      </c>
      <c r="Y17" s="14">
        <v>7.0000000000000007E-2</v>
      </c>
      <c r="Z17" s="14">
        <v>0.06</v>
      </c>
      <c r="AA17" s="14">
        <v>0.01</v>
      </c>
      <c r="AB17" s="14">
        <v>0.02</v>
      </c>
      <c r="AC17" s="14">
        <v>0.05</v>
      </c>
      <c r="AD17" s="14">
        <v>0.04</v>
      </c>
      <c r="AE17" s="14">
        <v>7.0000000000000007E-2</v>
      </c>
      <c r="AF17" s="14">
        <v>0.04</v>
      </c>
    </row>
    <row r="18" spans="1:32">
      <c r="A18" s="19"/>
      <c r="B18" s="11" t="s">
        <v>856</v>
      </c>
      <c r="C18" s="12">
        <v>901</v>
      </c>
      <c r="D18" s="12">
        <v>73</v>
      </c>
      <c r="E18" s="12">
        <v>16</v>
      </c>
      <c r="F18" s="12">
        <v>42</v>
      </c>
      <c r="G18" s="12">
        <v>67</v>
      </c>
      <c r="H18" s="12">
        <v>25</v>
      </c>
      <c r="I18" s="12">
        <v>33</v>
      </c>
      <c r="J18" s="12">
        <v>8</v>
      </c>
      <c r="K18" s="12">
        <v>42</v>
      </c>
      <c r="L18" s="12">
        <v>40</v>
      </c>
      <c r="M18" s="12">
        <v>10</v>
      </c>
      <c r="N18" s="12">
        <v>27</v>
      </c>
      <c r="O18" s="12">
        <v>77</v>
      </c>
      <c r="P18" s="12">
        <v>24</v>
      </c>
      <c r="Q18" s="12">
        <v>25</v>
      </c>
      <c r="R18" s="12">
        <v>5</v>
      </c>
      <c r="S18" s="12">
        <v>33</v>
      </c>
      <c r="T18" s="12">
        <v>20</v>
      </c>
      <c r="U18" s="12">
        <v>34</v>
      </c>
      <c r="V18" s="12">
        <v>38</v>
      </c>
      <c r="W18" s="12">
        <v>28</v>
      </c>
      <c r="X18" s="12">
        <v>57</v>
      </c>
      <c r="Y18" s="12">
        <v>33</v>
      </c>
      <c r="Z18" s="12">
        <v>15</v>
      </c>
      <c r="AA18" s="12">
        <v>7</v>
      </c>
      <c r="AB18" s="12">
        <v>3</v>
      </c>
      <c r="AC18" s="12">
        <v>20</v>
      </c>
      <c r="AD18" s="12">
        <v>41</v>
      </c>
      <c r="AE18" s="12">
        <v>44</v>
      </c>
      <c r="AF18" s="12">
        <v>36</v>
      </c>
    </row>
    <row r="19" spans="1:32">
      <c r="A19" s="19"/>
      <c r="B19" s="13" t="s">
        <v>857</v>
      </c>
      <c r="C19" s="14">
        <v>0.14000000000000001</v>
      </c>
      <c r="D19" s="14">
        <v>0.19</v>
      </c>
      <c r="E19" s="14">
        <v>0.09</v>
      </c>
      <c r="F19" s="14">
        <v>0.18</v>
      </c>
      <c r="G19" s="14">
        <v>0.38</v>
      </c>
      <c r="H19" s="14">
        <v>7.0000000000000007E-2</v>
      </c>
      <c r="I19" s="14">
        <v>0.08</v>
      </c>
      <c r="J19" s="14">
        <v>0.11</v>
      </c>
      <c r="K19" s="14">
        <v>0.11</v>
      </c>
      <c r="L19" s="14">
        <v>0.22</v>
      </c>
      <c r="M19" s="14">
        <v>0.09</v>
      </c>
      <c r="N19" s="14">
        <v>0.12</v>
      </c>
      <c r="O19" s="14">
        <v>0.21</v>
      </c>
      <c r="P19" s="14">
        <v>0.13</v>
      </c>
      <c r="Q19" s="14">
        <v>0.13</v>
      </c>
      <c r="R19" s="14">
        <v>0.05</v>
      </c>
      <c r="S19" s="14">
        <v>0.18</v>
      </c>
      <c r="T19" s="14">
        <v>0.06</v>
      </c>
      <c r="U19" s="14">
        <v>0.17</v>
      </c>
      <c r="V19" s="14">
        <v>0.26</v>
      </c>
      <c r="W19" s="14">
        <v>0.19</v>
      </c>
      <c r="X19" s="14">
        <v>0.19</v>
      </c>
      <c r="Y19" s="14">
        <v>0.15</v>
      </c>
      <c r="Z19" s="14">
        <v>0.11</v>
      </c>
      <c r="AA19" s="14">
        <v>0.05</v>
      </c>
      <c r="AB19" s="14">
        <v>0.03</v>
      </c>
      <c r="AC19" s="14">
        <v>0.08</v>
      </c>
      <c r="AD19" s="14">
        <v>0.15</v>
      </c>
      <c r="AE19" s="14">
        <v>0.18</v>
      </c>
      <c r="AF19" s="14">
        <v>0.19</v>
      </c>
    </row>
    <row r="20" spans="1:32">
      <c r="A20" s="19"/>
      <c r="B20" s="11" t="s">
        <v>858</v>
      </c>
      <c r="C20" s="12">
        <v>364</v>
      </c>
      <c r="D20" s="12">
        <v>29</v>
      </c>
      <c r="E20" s="12">
        <v>20</v>
      </c>
      <c r="F20" s="12">
        <v>8</v>
      </c>
      <c r="G20" s="12">
        <v>3</v>
      </c>
      <c r="H20" s="12">
        <v>13</v>
      </c>
      <c r="I20" s="12">
        <v>14</v>
      </c>
      <c r="J20" s="12">
        <v>1</v>
      </c>
      <c r="K20" s="12">
        <v>12</v>
      </c>
      <c r="L20" s="12">
        <v>9</v>
      </c>
      <c r="M20" s="12">
        <v>0</v>
      </c>
      <c r="N20" s="12">
        <v>4</v>
      </c>
      <c r="O20" s="12">
        <v>15</v>
      </c>
      <c r="P20" s="12">
        <v>29</v>
      </c>
      <c r="Q20" s="12">
        <v>29</v>
      </c>
      <c r="R20" s="12">
        <v>3</v>
      </c>
      <c r="S20" s="12">
        <v>8</v>
      </c>
      <c r="T20" s="12">
        <v>1</v>
      </c>
      <c r="U20" s="12">
        <v>2</v>
      </c>
      <c r="V20" s="12">
        <v>29</v>
      </c>
      <c r="W20" s="12">
        <v>14</v>
      </c>
      <c r="X20" s="12">
        <v>7</v>
      </c>
      <c r="Y20" s="12">
        <v>44</v>
      </c>
      <c r="Z20" s="12">
        <v>13</v>
      </c>
      <c r="AA20" s="12">
        <v>13</v>
      </c>
      <c r="AB20" s="12">
        <v>6</v>
      </c>
      <c r="AC20" s="12">
        <v>8</v>
      </c>
      <c r="AD20" s="12">
        <v>17</v>
      </c>
      <c r="AE20" s="12">
        <v>4</v>
      </c>
      <c r="AF20" s="12">
        <v>4</v>
      </c>
    </row>
    <row r="21" spans="1:32">
      <c r="A21" s="19"/>
      <c r="B21" s="13" t="s">
        <v>859</v>
      </c>
      <c r="C21" s="14">
        <v>0.06</v>
      </c>
      <c r="D21" s="14">
        <v>7.0000000000000007E-2</v>
      </c>
      <c r="E21" s="14">
        <v>0.11</v>
      </c>
      <c r="F21" s="14">
        <v>0.04</v>
      </c>
      <c r="G21" s="14">
        <v>0.02</v>
      </c>
      <c r="H21" s="14">
        <v>0.04</v>
      </c>
      <c r="I21" s="14">
        <v>0.03</v>
      </c>
      <c r="J21" s="14">
        <v>0.02</v>
      </c>
      <c r="K21" s="14">
        <v>0.03</v>
      </c>
      <c r="L21" s="14">
        <v>0.05</v>
      </c>
      <c r="M21" s="15" t="s">
        <v>375</v>
      </c>
      <c r="N21" s="14">
        <v>0.02</v>
      </c>
      <c r="O21" s="14">
        <v>0.04</v>
      </c>
      <c r="P21" s="14">
        <v>0.16</v>
      </c>
      <c r="Q21" s="14">
        <v>0.16</v>
      </c>
      <c r="R21" s="14">
        <v>0.03</v>
      </c>
      <c r="S21" s="14">
        <v>0.04</v>
      </c>
      <c r="T21" s="15" t="s">
        <v>375</v>
      </c>
      <c r="U21" s="14">
        <v>0.01</v>
      </c>
      <c r="V21" s="14">
        <v>0.2</v>
      </c>
      <c r="W21" s="14">
        <v>0.1</v>
      </c>
      <c r="X21" s="14">
        <v>0.02</v>
      </c>
      <c r="Y21" s="14">
        <v>0.2</v>
      </c>
      <c r="Z21" s="14">
        <v>0.09</v>
      </c>
      <c r="AA21" s="14">
        <v>0.09</v>
      </c>
      <c r="AB21" s="14">
        <v>0.06</v>
      </c>
      <c r="AC21" s="14">
        <v>0.03</v>
      </c>
      <c r="AD21" s="14">
        <v>0.06</v>
      </c>
      <c r="AE21" s="14">
        <v>0.02</v>
      </c>
      <c r="AF21" s="14">
        <v>0.02</v>
      </c>
    </row>
    <row r="22" spans="1:32">
      <c r="A22" s="19"/>
      <c r="B22" s="11" t="s">
        <v>860</v>
      </c>
      <c r="C22" s="12">
        <v>336</v>
      </c>
      <c r="D22" s="12">
        <v>33</v>
      </c>
      <c r="E22" s="12">
        <v>5</v>
      </c>
      <c r="F22" s="12">
        <v>3</v>
      </c>
      <c r="G22" s="12">
        <v>10</v>
      </c>
      <c r="H22" s="12">
        <v>26</v>
      </c>
      <c r="I22" s="12">
        <v>30</v>
      </c>
      <c r="J22" s="12">
        <v>3</v>
      </c>
      <c r="K22" s="12">
        <v>25</v>
      </c>
      <c r="L22" s="12">
        <v>8</v>
      </c>
      <c r="M22" s="12">
        <v>4</v>
      </c>
      <c r="N22" s="12">
        <v>5</v>
      </c>
      <c r="O22" s="12">
        <v>16</v>
      </c>
      <c r="P22" s="12">
        <v>15</v>
      </c>
      <c r="Q22" s="12">
        <v>10</v>
      </c>
      <c r="R22" s="12">
        <v>6</v>
      </c>
      <c r="S22" s="12">
        <v>7</v>
      </c>
      <c r="T22" s="12">
        <v>12</v>
      </c>
      <c r="U22" s="12">
        <v>8</v>
      </c>
      <c r="V22" s="12">
        <v>9</v>
      </c>
      <c r="W22" s="12">
        <v>10</v>
      </c>
      <c r="X22" s="12">
        <v>28</v>
      </c>
      <c r="Y22" s="12">
        <v>21</v>
      </c>
      <c r="Z22" s="12">
        <v>8</v>
      </c>
      <c r="AA22" s="12">
        <v>7</v>
      </c>
      <c r="AB22" s="12">
        <v>2</v>
      </c>
      <c r="AC22" s="12">
        <v>7</v>
      </c>
      <c r="AD22" s="12">
        <v>10</v>
      </c>
      <c r="AE22" s="12">
        <v>19</v>
      </c>
      <c r="AF22" s="12">
        <v>8</v>
      </c>
    </row>
    <row r="23" spans="1:32">
      <c r="A23" s="19"/>
      <c r="B23" s="13" t="s">
        <v>861</v>
      </c>
      <c r="C23" s="14">
        <v>0.05</v>
      </c>
      <c r="D23" s="14">
        <v>0.09</v>
      </c>
      <c r="E23" s="14">
        <v>0.03</v>
      </c>
      <c r="F23" s="14">
        <v>0.01</v>
      </c>
      <c r="G23" s="14">
        <v>0.05</v>
      </c>
      <c r="H23" s="14">
        <v>7.0000000000000007E-2</v>
      </c>
      <c r="I23" s="14">
        <v>7.0000000000000007E-2</v>
      </c>
      <c r="J23" s="14">
        <v>0.05</v>
      </c>
      <c r="K23" s="14">
        <v>0.06</v>
      </c>
      <c r="L23" s="14">
        <v>0.05</v>
      </c>
      <c r="M23" s="14">
        <v>0.03</v>
      </c>
      <c r="N23" s="14">
        <v>0.02</v>
      </c>
      <c r="O23" s="14">
        <v>0.04</v>
      </c>
      <c r="P23" s="14">
        <v>0.08</v>
      </c>
      <c r="Q23" s="14">
        <v>0.05</v>
      </c>
      <c r="R23" s="14">
        <v>0.05</v>
      </c>
      <c r="S23" s="14">
        <v>0.04</v>
      </c>
      <c r="T23" s="14">
        <v>0.04</v>
      </c>
      <c r="U23" s="14">
        <v>0.04</v>
      </c>
      <c r="V23" s="14">
        <v>0.06</v>
      </c>
      <c r="W23" s="14">
        <v>0.06</v>
      </c>
      <c r="X23" s="14">
        <v>0.09</v>
      </c>
      <c r="Y23" s="14">
        <v>0.1</v>
      </c>
      <c r="Z23" s="14">
        <v>0.06</v>
      </c>
      <c r="AA23" s="14">
        <v>0.05</v>
      </c>
      <c r="AB23" s="14">
        <v>0.02</v>
      </c>
      <c r="AC23" s="14">
        <v>0.03</v>
      </c>
      <c r="AD23" s="14">
        <v>0.03</v>
      </c>
      <c r="AE23" s="14">
        <v>0.08</v>
      </c>
      <c r="AF23" s="14">
        <v>0.04</v>
      </c>
    </row>
    <row r="24" spans="1:32">
      <c r="A24" s="19"/>
      <c r="B24" s="11" t="s">
        <v>862</v>
      </c>
      <c r="C24" s="12">
        <v>3527</v>
      </c>
      <c r="D24" s="12">
        <v>185</v>
      </c>
      <c r="E24" s="12">
        <v>96</v>
      </c>
      <c r="F24" s="12">
        <v>133</v>
      </c>
      <c r="G24" s="12">
        <v>77</v>
      </c>
      <c r="H24" s="12">
        <v>210</v>
      </c>
      <c r="I24" s="12">
        <v>251</v>
      </c>
      <c r="J24" s="12">
        <v>42</v>
      </c>
      <c r="K24" s="12">
        <v>255</v>
      </c>
      <c r="L24" s="12">
        <v>95</v>
      </c>
      <c r="M24" s="12">
        <v>85</v>
      </c>
      <c r="N24" s="12">
        <v>138</v>
      </c>
      <c r="O24" s="12">
        <v>206</v>
      </c>
      <c r="P24" s="12">
        <v>90</v>
      </c>
      <c r="Q24" s="12">
        <v>100</v>
      </c>
      <c r="R24" s="12">
        <v>77</v>
      </c>
      <c r="S24" s="12">
        <v>122</v>
      </c>
      <c r="T24" s="12">
        <v>242</v>
      </c>
      <c r="U24" s="12">
        <v>104</v>
      </c>
      <c r="V24" s="12">
        <v>52</v>
      </c>
      <c r="W24" s="12">
        <v>73</v>
      </c>
      <c r="X24" s="12">
        <v>167</v>
      </c>
      <c r="Y24" s="12">
        <v>107</v>
      </c>
      <c r="Z24" s="12">
        <v>61</v>
      </c>
      <c r="AA24" s="12">
        <v>90</v>
      </c>
      <c r="AB24" s="12">
        <v>85</v>
      </c>
      <c r="AC24" s="12">
        <v>165</v>
      </c>
      <c r="AD24" s="12">
        <v>163</v>
      </c>
      <c r="AE24" s="12">
        <v>115</v>
      </c>
      <c r="AF24" s="12">
        <v>97</v>
      </c>
    </row>
    <row r="25" spans="1:32">
      <c r="A25" s="19"/>
      <c r="B25" s="13" t="s">
        <v>863</v>
      </c>
      <c r="C25" s="14">
        <v>0.56000000000000005</v>
      </c>
      <c r="D25" s="14">
        <v>0.47</v>
      </c>
      <c r="E25" s="14">
        <v>0.52</v>
      </c>
      <c r="F25" s="14">
        <v>0.59</v>
      </c>
      <c r="G25" s="14">
        <v>0.44</v>
      </c>
      <c r="H25" s="14">
        <v>0.59</v>
      </c>
      <c r="I25" s="14">
        <v>0.59</v>
      </c>
      <c r="J25" s="14">
        <v>0.6</v>
      </c>
      <c r="K25" s="14">
        <v>0.65</v>
      </c>
      <c r="L25" s="14">
        <v>0.53</v>
      </c>
      <c r="M25" s="14">
        <v>0.76</v>
      </c>
      <c r="N25" s="14">
        <v>0.62</v>
      </c>
      <c r="O25" s="14">
        <v>0.56000000000000005</v>
      </c>
      <c r="P25" s="14">
        <v>0.51</v>
      </c>
      <c r="Q25" s="14">
        <v>0.53</v>
      </c>
      <c r="R25" s="14">
        <v>0.69000000000000006</v>
      </c>
      <c r="S25" s="14">
        <v>0.64</v>
      </c>
      <c r="T25" s="14">
        <v>0.74</v>
      </c>
      <c r="U25" s="14">
        <v>0.52</v>
      </c>
      <c r="V25" s="14">
        <v>0.35</v>
      </c>
      <c r="W25" s="14">
        <v>0.5</v>
      </c>
      <c r="X25" s="14">
        <v>0.55000000000000004</v>
      </c>
      <c r="Y25" s="14">
        <v>0.48</v>
      </c>
      <c r="Z25" s="14">
        <v>0.44</v>
      </c>
      <c r="AA25" s="14">
        <v>0.61</v>
      </c>
      <c r="AB25" s="14">
        <v>0.78</v>
      </c>
      <c r="AC25" s="14">
        <v>0.69000000000000006</v>
      </c>
      <c r="AD25" s="14">
        <v>0.57999999999999996</v>
      </c>
      <c r="AE25" s="14">
        <v>0.47</v>
      </c>
      <c r="AF25" s="14">
        <v>0.52</v>
      </c>
    </row>
    <row r="26" spans="1:32">
      <c r="A26" s="19"/>
      <c r="B26" s="11" t="s">
        <v>386</v>
      </c>
      <c r="C26" s="12">
        <v>9</v>
      </c>
      <c r="D26" s="12">
        <v>0</v>
      </c>
      <c r="E26" s="12">
        <v>0</v>
      </c>
      <c r="F26" s="12">
        <v>0</v>
      </c>
      <c r="G26" s="12">
        <v>1</v>
      </c>
      <c r="H26" s="12">
        <v>0</v>
      </c>
      <c r="I26" s="12">
        <v>0</v>
      </c>
      <c r="J26" s="12">
        <v>0</v>
      </c>
      <c r="K26" s="12">
        <v>2</v>
      </c>
      <c r="L26" s="12">
        <v>0</v>
      </c>
      <c r="M26" s="12">
        <v>0</v>
      </c>
      <c r="N26" s="12">
        <v>0</v>
      </c>
      <c r="O26" s="12">
        <v>2</v>
      </c>
      <c r="P26" s="12">
        <v>1</v>
      </c>
      <c r="Q26" s="12">
        <v>0</v>
      </c>
      <c r="R26" s="12">
        <v>2</v>
      </c>
      <c r="S26" s="12">
        <v>0</v>
      </c>
      <c r="T26" s="12">
        <v>0</v>
      </c>
      <c r="U26" s="12">
        <v>2</v>
      </c>
      <c r="V26" s="12">
        <v>0</v>
      </c>
      <c r="W26" s="12">
        <v>0</v>
      </c>
      <c r="X26" s="12">
        <v>0</v>
      </c>
      <c r="Y26" s="12">
        <v>0</v>
      </c>
      <c r="Z26" s="12">
        <v>0</v>
      </c>
      <c r="AA26" s="12">
        <v>0</v>
      </c>
      <c r="AB26" s="12">
        <v>0</v>
      </c>
      <c r="AC26" s="12">
        <v>1</v>
      </c>
      <c r="AD26" s="12">
        <v>0</v>
      </c>
      <c r="AE26" s="12">
        <v>1</v>
      </c>
      <c r="AF26" s="12">
        <v>0</v>
      </c>
    </row>
    <row r="27" spans="1:32">
      <c r="A27" s="19"/>
      <c r="B27" s="13" t="s">
        <v>399</v>
      </c>
      <c r="C27" s="15" t="s">
        <v>375</v>
      </c>
      <c r="D27" s="15" t="s">
        <v>375</v>
      </c>
      <c r="E27" s="15" t="s">
        <v>375</v>
      </c>
      <c r="F27" s="15" t="s">
        <v>375</v>
      </c>
      <c r="G27" s="15" t="s">
        <v>375</v>
      </c>
      <c r="H27" s="15" t="s">
        <v>375</v>
      </c>
      <c r="I27" s="15" t="s">
        <v>375</v>
      </c>
      <c r="J27" s="15" t="s">
        <v>375</v>
      </c>
      <c r="K27" s="15" t="s">
        <v>375</v>
      </c>
      <c r="L27" s="15" t="s">
        <v>375</v>
      </c>
      <c r="M27" s="15" t="s">
        <v>375</v>
      </c>
      <c r="N27" s="15" t="s">
        <v>375</v>
      </c>
      <c r="O27" s="14">
        <v>0.01</v>
      </c>
      <c r="P27" s="15" t="s">
        <v>375</v>
      </c>
      <c r="Q27" s="15" t="s">
        <v>375</v>
      </c>
      <c r="R27" s="14">
        <v>0.02</v>
      </c>
      <c r="S27" s="15" t="s">
        <v>375</v>
      </c>
      <c r="T27" s="15" t="s">
        <v>375</v>
      </c>
      <c r="U27" s="14">
        <v>0.01</v>
      </c>
      <c r="V27" s="15" t="s">
        <v>375</v>
      </c>
      <c r="W27" s="15" t="s">
        <v>375</v>
      </c>
      <c r="X27" s="15" t="s">
        <v>375</v>
      </c>
      <c r="Y27" s="15" t="s">
        <v>375</v>
      </c>
      <c r="Z27" s="15" t="s">
        <v>375</v>
      </c>
      <c r="AA27" s="15" t="s">
        <v>375</v>
      </c>
      <c r="AB27" s="15" t="s">
        <v>375</v>
      </c>
      <c r="AC27" s="15" t="s">
        <v>375</v>
      </c>
      <c r="AD27" s="15" t="s">
        <v>375</v>
      </c>
      <c r="AE27" s="15" t="s">
        <v>375</v>
      </c>
      <c r="AF27" s="15" t="s">
        <v>375</v>
      </c>
    </row>
    <row r="28" spans="1:32">
      <c r="A28" s="19"/>
      <c r="B28" s="11" t="s">
        <v>678</v>
      </c>
      <c r="C28" s="12">
        <v>2746</v>
      </c>
      <c r="D28" s="12">
        <v>206</v>
      </c>
      <c r="E28" s="12">
        <v>89</v>
      </c>
      <c r="F28" s="12">
        <v>94</v>
      </c>
      <c r="G28" s="12">
        <v>100</v>
      </c>
      <c r="H28" s="12">
        <v>148</v>
      </c>
      <c r="I28" s="12">
        <v>175</v>
      </c>
      <c r="J28" s="12">
        <v>27</v>
      </c>
      <c r="K28" s="12">
        <v>136</v>
      </c>
      <c r="L28" s="12">
        <v>86</v>
      </c>
      <c r="M28" s="12">
        <v>28</v>
      </c>
      <c r="N28" s="12">
        <v>86</v>
      </c>
      <c r="O28" s="12">
        <v>160</v>
      </c>
      <c r="P28" s="12">
        <v>86</v>
      </c>
      <c r="Q28" s="12">
        <v>89</v>
      </c>
      <c r="R28" s="12">
        <v>33</v>
      </c>
      <c r="S28" s="12">
        <v>67</v>
      </c>
      <c r="T28" s="12">
        <v>85</v>
      </c>
      <c r="U28" s="12">
        <v>94</v>
      </c>
      <c r="V28" s="12">
        <v>96</v>
      </c>
      <c r="W28" s="12">
        <v>74</v>
      </c>
      <c r="X28" s="12">
        <v>138</v>
      </c>
      <c r="Y28" s="12">
        <v>117</v>
      </c>
      <c r="Z28" s="12">
        <v>78</v>
      </c>
      <c r="AA28" s="12">
        <v>57</v>
      </c>
      <c r="AB28" s="12">
        <v>24</v>
      </c>
      <c r="AC28" s="12">
        <v>74</v>
      </c>
      <c r="AD28" s="12">
        <v>119</v>
      </c>
      <c r="AE28" s="12">
        <v>131</v>
      </c>
      <c r="AF28" s="12">
        <v>89</v>
      </c>
    </row>
    <row r="29" spans="1:32">
      <c r="A29" s="19"/>
      <c r="B29" s="13" t="s">
        <v>679</v>
      </c>
      <c r="C29" s="14">
        <v>0.44</v>
      </c>
      <c r="D29" s="14">
        <v>0.53</v>
      </c>
      <c r="E29" s="14">
        <v>0.48</v>
      </c>
      <c r="F29" s="14">
        <v>0.41</v>
      </c>
      <c r="G29" s="14">
        <v>0.56000000000000005</v>
      </c>
      <c r="H29" s="14">
        <v>0.41</v>
      </c>
      <c r="I29" s="14">
        <v>0.41</v>
      </c>
      <c r="J29" s="14">
        <v>0.4</v>
      </c>
      <c r="K29" s="14">
        <v>0.35</v>
      </c>
      <c r="L29" s="14">
        <v>0.47</v>
      </c>
      <c r="M29" s="14">
        <v>0.24</v>
      </c>
      <c r="N29" s="14">
        <v>0.38</v>
      </c>
      <c r="O29" s="14">
        <v>0.43</v>
      </c>
      <c r="P29" s="14">
        <v>0.49</v>
      </c>
      <c r="Q29" s="14">
        <v>0.47</v>
      </c>
      <c r="R29" s="14">
        <v>0.28999999999999998</v>
      </c>
      <c r="S29" s="14">
        <v>0.36</v>
      </c>
      <c r="T29" s="14">
        <v>0.26</v>
      </c>
      <c r="U29" s="14">
        <v>0.47</v>
      </c>
      <c r="V29" s="14">
        <v>0.65</v>
      </c>
      <c r="W29" s="14">
        <v>0.5</v>
      </c>
      <c r="X29" s="14">
        <v>0.45</v>
      </c>
      <c r="Y29" s="14">
        <v>0.52</v>
      </c>
      <c r="Z29" s="14">
        <v>0.56000000000000005</v>
      </c>
      <c r="AA29" s="14">
        <v>0.39</v>
      </c>
      <c r="AB29" s="14">
        <v>0.22</v>
      </c>
      <c r="AC29" s="14">
        <v>0.31</v>
      </c>
      <c r="AD29" s="14">
        <v>0.42</v>
      </c>
      <c r="AE29" s="14">
        <v>0.53</v>
      </c>
      <c r="AF29" s="14">
        <v>0.48</v>
      </c>
    </row>
    <row r="30" spans="1:32">
      <c r="A30" s="19"/>
      <c r="B30" s="11" t="s">
        <v>846</v>
      </c>
      <c r="C30" s="12">
        <v>3527</v>
      </c>
      <c r="D30" s="12">
        <v>185</v>
      </c>
      <c r="E30" s="12">
        <v>96</v>
      </c>
      <c r="F30" s="12">
        <v>133</v>
      </c>
      <c r="G30" s="12">
        <v>77</v>
      </c>
      <c r="H30" s="12">
        <v>210</v>
      </c>
      <c r="I30" s="12">
        <v>251</v>
      </c>
      <c r="J30" s="12">
        <v>42</v>
      </c>
      <c r="K30" s="12">
        <v>255</v>
      </c>
      <c r="L30" s="12">
        <v>95</v>
      </c>
      <c r="M30" s="12">
        <v>85</v>
      </c>
      <c r="N30" s="12">
        <v>138</v>
      </c>
      <c r="O30" s="12">
        <v>206</v>
      </c>
      <c r="P30" s="12">
        <v>90</v>
      </c>
      <c r="Q30" s="12">
        <v>100</v>
      </c>
      <c r="R30" s="12">
        <v>77</v>
      </c>
      <c r="S30" s="12">
        <v>122</v>
      </c>
      <c r="T30" s="12">
        <v>242</v>
      </c>
      <c r="U30" s="12">
        <v>104</v>
      </c>
      <c r="V30" s="12">
        <v>52</v>
      </c>
      <c r="W30" s="12">
        <v>73</v>
      </c>
      <c r="X30" s="12">
        <v>167</v>
      </c>
      <c r="Y30" s="12">
        <v>107</v>
      </c>
      <c r="Z30" s="12">
        <v>61</v>
      </c>
      <c r="AA30" s="12">
        <v>90</v>
      </c>
      <c r="AB30" s="12">
        <v>85</v>
      </c>
      <c r="AC30" s="12">
        <v>165</v>
      </c>
      <c r="AD30" s="12">
        <v>163</v>
      </c>
      <c r="AE30" s="12">
        <v>115</v>
      </c>
      <c r="AF30" s="12">
        <v>97</v>
      </c>
    </row>
    <row r="31" spans="1:32">
      <c r="A31" s="19"/>
      <c r="B31" s="13" t="s">
        <v>847</v>
      </c>
      <c r="C31" s="14">
        <v>0.56000000000000005</v>
      </c>
      <c r="D31" s="14">
        <v>0.47</v>
      </c>
      <c r="E31" s="14">
        <v>0.52</v>
      </c>
      <c r="F31" s="14">
        <v>0.59</v>
      </c>
      <c r="G31" s="14">
        <v>0.44</v>
      </c>
      <c r="H31" s="14">
        <v>0.59</v>
      </c>
      <c r="I31" s="14">
        <v>0.59</v>
      </c>
      <c r="J31" s="14">
        <v>0.6</v>
      </c>
      <c r="K31" s="14">
        <v>0.65</v>
      </c>
      <c r="L31" s="14">
        <v>0.53</v>
      </c>
      <c r="M31" s="14">
        <v>0.76</v>
      </c>
      <c r="N31" s="14">
        <v>0.62</v>
      </c>
      <c r="O31" s="14">
        <v>0.56000000000000005</v>
      </c>
      <c r="P31" s="14">
        <v>0.51</v>
      </c>
      <c r="Q31" s="14">
        <v>0.53</v>
      </c>
      <c r="R31" s="14">
        <v>0.69000000000000006</v>
      </c>
      <c r="S31" s="14">
        <v>0.64</v>
      </c>
      <c r="T31" s="14">
        <v>0.74</v>
      </c>
      <c r="U31" s="14">
        <v>0.52</v>
      </c>
      <c r="V31" s="14">
        <v>0.35</v>
      </c>
      <c r="W31" s="14">
        <v>0.5</v>
      </c>
      <c r="X31" s="14">
        <v>0.55000000000000004</v>
      </c>
      <c r="Y31" s="14">
        <v>0.48</v>
      </c>
      <c r="Z31" s="14">
        <v>0.44</v>
      </c>
      <c r="AA31" s="14">
        <v>0.61</v>
      </c>
      <c r="AB31" s="14">
        <v>0.78</v>
      </c>
      <c r="AC31" s="14">
        <v>0.69000000000000006</v>
      </c>
      <c r="AD31" s="14">
        <v>0.57999999999999996</v>
      </c>
      <c r="AE31" s="14">
        <v>0.47</v>
      </c>
      <c r="AF31" s="14">
        <v>0.52</v>
      </c>
    </row>
  </sheetData>
  <mergeCells count="10">
    <mergeCell ref="H3:L3"/>
    <mergeCell ref="C8:AF8"/>
    <mergeCell ref="B3:F3"/>
    <mergeCell ref="A28:A31"/>
    <mergeCell ref="B5:F5"/>
    <mergeCell ref="A10:A27"/>
    <mergeCell ref="B10:B11"/>
    <mergeCell ref="H4:L4"/>
    <mergeCell ref="B4:F4"/>
    <mergeCell ref="H5:L5"/>
  </mergeCells>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3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159</v>
      </c>
      <c r="C3" s="17"/>
      <c r="D3" s="17"/>
      <c r="E3" s="17"/>
      <c r="F3" s="17"/>
      <c r="H3" s="17" t="s">
        <v>160</v>
      </c>
      <c r="I3" s="17"/>
      <c r="J3" s="17"/>
      <c r="K3" s="17"/>
      <c r="L3" s="17"/>
    </row>
    <row r="4" spans="1:32" ht="27" customHeight="1">
      <c r="B4" s="17"/>
      <c r="C4" s="17"/>
      <c r="D4" s="17"/>
      <c r="E4" s="17"/>
      <c r="F4" s="17"/>
      <c r="H4" s="17"/>
      <c r="I4" s="17"/>
      <c r="J4" s="17"/>
      <c r="K4" s="17"/>
      <c r="L4" s="17"/>
    </row>
    <row r="5" spans="1:32" ht="12" customHeight="1">
      <c r="B5" s="17" t="s">
        <v>848</v>
      </c>
      <c r="C5" s="17"/>
      <c r="D5" s="17"/>
      <c r="E5" s="17"/>
      <c r="F5" s="17"/>
      <c r="H5" s="17" t="s">
        <v>849</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6283</v>
      </c>
      <c r="D10" s="10">
        <v>390</v>
      </c>
      <c r="E10" s="10">
        <v>185</v>
      </c>
      <c r="F10" s="10">
        <v>227</v>
      </c>
      <c r="G10" s="10">
        <v>178</v>
      </c>
      <c r="H10" s="10">
        <v>358</v>
      </c>
      <c r="I10" s="10">
        <v>427</v>
      </c>
      <c r="J10" s="10">
        <v>69</v>
      </c>
      <c r="K10" s="10">
        <v>393</v>
      </c>
      <c r="L10" s="10">
        <v>181</v>
      </c>
      <c r="M10" s="10">
        <v>113</v>
      </c>
      <c r="N10" s="10">
        <v>224</v>
      </c>
      <c r="O10" s="10">
        <v>368</v>
      </c>
      <c r="P10" s="10">
        <v>177</v>
      </c>
      <c r="Q10" s="10">
        <v>190</v>
      </c>
      <c r="R10" s="10">
        <v>112</v>
      </c>
      <c r="S10" s="10">
        <v>190</v>
      </c>
      <c r="T10" s="10">
        <v>326</v>
      </c>
      <c r="U10" s="10">
        <v>199</v>
      </c>
      <c r="V10" s="10">
        <v>148</v>
      </c>
      <c r="W10" s="10">
        <v>147</v>
      </c>
      <c r="X10" s="10">
        <v>305</v>
      </c>
      <c r="Y10" s="10">
        <v>224</v>
      </c>
      <c r="Z10" s="10">
        <v>139</v>
      </c>
      <c r="AA10" s="10">
        <v>146</v>
      </c>
      <c r="AB10" s="10">
        <v>110</v>
      </c>
      <c r="AC10" s="10">
        <v>239</v>
      </c>
      <c r="AD10" s="10">
        <v>282</v>
      </c>
      <c r="AE10" s="10">
        <v>248</v>
      </c>
      <c r="AF10" s="10">
        <v>186</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864</v>
      </c>
      <c r="C12" s="12">
        <v>1758</v>
      </c>
      <c r="D12" s="12">
        <v>156</v>
      </c>
      <c r="E12" s="12">
        <v>68</v>
      </c>
      <c r="F12" s="12">
        <v>63</v>
      </c>
      <c r="G12" s="12">
        <v>67</v>
      </c>
      <c r="H12" s="12">
        <v>80</v>
      </c>
      <c r="I12" s="12">
        <v>106</v>
      </c>
      <c r="J12" s="12">
        <v>26</v>
      </c>
      <c r="K12" s="12">
        <v>132</v>
      </c>
      <c r="L12" s="12">
        <v>90</v>
      </c>
      <c r="M12" s="12">
        <v>49</v>
      </c>
      <c r="N12" s="12">
        <v>102</v>
      </c>
      <c r="O12" s="12">
        <v>69</v>
      </c>
      <c r="P12" s="12">
        <v>61</v>
      </c>
      <c r="Q12" s="12">
        <v>45</v>
      </c>
      <c r="R12" s="12">
        <v>34</v>
      </c>
      <c r="S12" s="12">
        <v>26</v>
      </c>
      <c r="T12" s="12">
        <v>89</v>
      </c>
      <c r="U12" s="12">
        <v>48</v>
      </c>
      <c r="V12" s="12">
        <v>57</v>
      </c>
      <c r="W12" s="12">
        <v>51</v>
      </c>
      <c r="X12" s="12">
        <v>81</v>
      </c>
      <c r="Y12" s="12">
        <v>35</v>
      </c>
      <c r="Z12" s="12">
        <v>37</v>
      </c>
      <c r="AA12" s="12">
        <v>41</v>
      </c>
      <c r="AB12" s="12">
        <v>52</v>
      </c>
      <c r="AC12" s="12">
        <v>69</v>
      </c>
      <c r="AD12" s="12">
        <v>118</v>
      </c>
      <c r="AE12" s="12">
        <v>57</v>
      </c>
      <c r="AF12" s="12">
        <v>68</v>
      </c>
    </row>
    <row r="13" spans="1:32">
      <c r="A13" s="19"/>
      <c r="B13" s="13" t="s">
        <v>865</v>
      </c>
      <c r="C13" s="14">
        <v>0.28000000000000003</v>
      </c>
      <c r="D13" s="14">
        <v>0.4</v>
      </c>
      <c r="E13" s="14">
        <v>0.37</v>
      </c>
      <c r="F13" s="14">
        <v>0.28000000000000003</v>
      </c>
      <c r="G13" s="14">
        <v>0.37</v>
      </c>
      <c r="H13" s="14">
        <v>0.22</v>
      </c>
      <c r="I13" s="14">
        <v>0.25</v>
      </c>
      <c r="J13" s="14">
        <v>0.38</v>
      </c>
      <c r="K13" s="14">
        <v>0.33</v>
      </c>
      <c r="L13" s="14">
        <v>0.5</v>
      </c>
      <c r="M13" s="14">
        <v>0.44</v>
      </c>
      <c r="N13" s="14">
        <v>0.46</v>
      </c>
      <c r="O13" s="14">
        <v>0.19</v>
      </c>
      <c r="P13" s="14">
        <v>0.34</v>
      </c>
      <c r="Q13" s="14">
        <v>0.23</v>
      </c>
      <c r="R13" s="14">
        <v>0.31</v>
      </c>
      <c r="S13" s="14">
        <v>0.14000000000000001</v>
      </c>
      <c r="T13" s="14">
        <v>0.27</v>
      </c>
      <c r="U13" s="14">
        <v>0.24</v>
      </c>
      <c r="V13" s="14">
        <v>0.39</v>
      </c>
      <c r="W13" s="14">
        <v>0.35</v>
      </c>
      <c r="X13" s="14">
        <v>0.27</v>
      </c>
      <c r="Y13" s="14">
        <v>0.16</v>
      </c>
      <c r="Z13" s="14">
        <v>0.27</v>
      </c>
      <c r="AA13" s="14">
        <v>0.28000000000000003</v>
      </c>
      <c r="AB13" s="14">
        <v>0.47</v>
      </c>
      <c r="AC13" s="14">
        <v>0.28999999999999998</v>
      </c>
      <c r="AD13" s="14">
        <v>0.42</v>
      </c>
      <c r="AE13" s="14">
        <v>0.23</v>
      </c>
      <c r="AF13" s="14">
        <v>0.37</v>
      </c>
    </row>
    <row r="14" spans="1:32">
      <c r="A14" s="19"/>
      <c r="B14" s="11" t="s">
        <v>866</v>
      </c>
      <c r="C14" s="12">
        <v>2120</v>
      </c>
      <c r="D14" s="12">
        <v>170</v>
      </c>
      <c r="E14" s="12">
        <v>60</v>
      </c>
      <c r="F14" s="12">
        <v>76</v>
      </c>
      <c r="G14" s="12">
        <v>85</v>
      </c>
      <c r="H14" s="12">
        <v>103</v>
      </c>
      <c r="I14" s="12">
        <v>127</v>
      </c>
      <c r="J14" s="12">
        <v>25</v>
      </c>
      <c r="K14" s="12">
        <v>115</v>
      </c>
      <c r="L14" s="12">
        <v>66</v>
      </c>
      <c r="M14" s="12">
        <v>48</v>
      </c>
      <c r="N14" s="12">
        <v>59</v>
      </c>
      <c r="O14" s="12">
        <v>150</v>
      </c>
      <c r="P14" s="12">
        <v>75</v>
      </c>
      <c r="Q14" s="12">
        <v>56</v>
      </c>
      <c r="R14" s="12">
        <v>28</v>
      </c>
      <c r="S14" s="12">
        <v>42</v>
      </c>
      <c r="T14" s="12">
        <v>92</v>
      </c>
      <c r="U14" s="12">
        <v>52</v>
      </c>
      <c r="V14" s="12">
        <v>40</v>
      </c>
      <c r="W14" s="12">
        <v>43</v>
      </c>
      <c r="X14" s="12">
        <v>105</v>
      </c>
      <c r="Y14" s="12">
        <v>59</v>
      </c>
      <c r="Z14" s="12">
        <v>35</v>
      </c>
      <c r="AA14" s="12">
        <v>57</v>
      </c>
      <c r="AB14" s="12">
        <v>45</v>
      </c>
      <c r="AC14" s="12">
        <v>88</v>
      </c>
      <c r="AD14" s="12">
        <v>113</v>
      </c>
      <c r="AE14" s="12">
        <v>97</v>
      </c>
      <c r="AF14" s="12">
        <v>77</v>
      </c>
    </row>
    <row r="15" spans="1:32">
      <c r="A15" s="19"/>
      <c r="B15" s="13" t="s">
        <v>867</v>
      </c>
      <c r="C15" s="14">
        <v>0.34</v>
      </c>
      <c r="D15" s="14">
        <v>0.43</v>
      </c>
      <c r="E15" s="14">
        <v>0.32</v>
      </c>
      <c r="F15" s="14">
        <v>0.33</v>
      </c>
      <c r="G15" s="14">
        <v>0.48</v>
      </c>
      <c r="H15" s="14">
        <v>0.28999999999999998</v>
      </c>
      <c r="I15" s="14">
        <v>0.3</v>
      </c>
      <c r="J15" s="14">
        <v>0.36</v>
      </c>
      <c r="K15" s="14">
        <v>0.28999999999999998</v>
      </c>
      <c r="L15" s="14">
        <v>0.36</v>
      </c>
      <c r="M15" s="14">
        <v>0.43</v>
      </c>
      <c r="N15" s="14">
        <v>0.27</v>
      </c>
      <c r="O15" s="14">
        <v>0.41</v>
      </c>
      <c r="P15" s="14">
        <v>0.42</v>
      </c>
      <c r="Q15" s="14">
        <v>0.28999999999999998</v>
      </c>
      <c r="R15" s="14">
        <v>0.25</v>
      </c>
      <c r="S15" s="14">
        <v>0.22</v>
      </c>
      <c r="T15" s="14">
        <v>0.28000000000000003</v>
      </c>
      <c r="U15" s="14">
        <v>0.26</v>
      </c>
      <c r="V15" s="14">
        <v>0.27</v>
      </c>
      <c r="W15" s="14">
        <v>0.28999999999999998</v>
      </c>
      <c r="X15" s="14">
        <v>0.34</v>
      </c>
      <c r="Y15" s="14">
        <v>0.27</v>
      </c>
      <c r="Z15" s="14">
        <v>0.25</v>
      </c>
      <c r="AA15" s="14">
        <v>0.39</v>
      </c>
      <c r="AB15" s="14">
        <v>0.41</v>
      </c>
      <c r="AC15" s="14">
        <v>0.37</v>
      </c>
      <c r="AD15" s="14">
        <v>0.4</v>
      </c>
      <c r="AE15" s="14">
        <v>0.39</v>
      </c>
      <c r="AF15" s="14">
        <v>0.41</v>
      </c>
    </row>
    <row r="16" spans="1:32">
      <c r="A16" s="19"/>
      <c r="B16" s="11" t="s">
        <v>868</v>
      </c>
      <c r="C16" s="12">
        <v>373</v>
      </c>
      <c r="D16" s="12">
        <v>28</v>
      </c>
      <c r="E16" s="12">
        <v>11</v>
      </c>
      <c r="F16" s="12">
        <v>25</v>
      </c>
      <c r="G16" s="12">
        <v>3</v>
      </c>
      <c r="H16" s="12">
        <v>2</v>
      </c>
      <c r="I16" s="12">
        <v>3</v>
      </c>
      <c r="J16" s="12">
        <v>1</v>
      </c>
      <c r="K16" s="12">
        <v>17</v>
      </c>
      <c r="L16" s="12">
        <v>12</v>
      </c>
      <c r="M16" s="12">
        <v>3</v>
      </c>
      <c r="N16" s="12">
        <v>10</v>
      </c>
      <c r="O16" s="12">
        <v>29</v>
      </c>
      <c r="P16" s="12">
        <v>23</v>
      </c>
      <c r="Q16" s="12">
        <v>20</v>
      </c>
      <c r="R16" s="12">
        <v>6</v>
      </c>
      <c r="S16" s="12">
        <v>10</v>
      </c>
      <c r="T16" s="12">
        <v>6</v>
      </c>
      <c r="U16" s="12">
        <v>9</v>
      </c>
      <c r="V16" s="12">
        <v>29</v>
      </c>
      <c r="W16" s="12">
        <v>15</v>
      </c>
      <c r="X16" s="12">
        <v>7</v>
      </c>
      <c r="Y16" s="12">
        <v>21</v>
      </c>
      <c r="Z16" s="12">
        <v>15</v>
      </c>
      <c r="AA16" s="12">
        <v>4</v>
      </c>
      <c r="AB16" s="12">
        <v>12</v>
      </c>
      <c r="AC16" s="12">
        <v>6</v>
      </c>
      <c r="AD16" s="12">
        <v>21</v>
      </c>
      <c r="AE16" s="12">
        <v>10</v>
      </c>
      <c r="AF16" s="12">
        <v>9</v>
      </c>
    </row>
    <row r="17" spans="1:32">
      <c r="A17" s="19"/>
      <c r="B17" s="13" t="s">
        <v>869</v>
      </c>
      <c r="C17" s="14">
        <v>0.06</v>
      </c>
      <c r="D17" s="14">
        <v>7.0000000000000007E-2</v>
      </c>
      <c r="E17" s="14">
        <v>0.06</v>
      </c>
      <c r="F17" s="14">
        <v>0.11</v>
      </c>
      <c r="G17" s="14">
        <v>0.01</v>
      </c>
      <c r="H17" s="15" t="s">
        <v>375</v>
      </c>
      <c r="I17" s="14">
        <v>0.01</v>
      </c>
      <c r="J17" s="14">
        <v>0.01</v>
      </c>
      <c r="K17" s="14">
        <v>0.04</v>
      </c>
      <c r="L17" s="14">
        <v>7.0000000000000007E-2</v>
      </c>
      <c r="M17" s="14">
        <v>0.02</v>
      </c>
      <c r="N17" s="14">
        <v>0.04</v>
      </c>
      <c r="O17" s="14">
        <v>0.08</v>
      </c>
      <c r="P17" s="14">
        <v>0.13</v>
      </c>
      <c r="Q17" s="14">
        <v>0.11</v>
      </c>
      <c r="R17" s="14">
        <v>0.05</v>
      </c>
      <c r="S17" s="14">
        <v>0.05</v>
      </c>
      <c r="T17" s="14">
        <v>0.02</v>
      </c>
      <c r="U17" s="14">
        <v>0.04</v>
      </c>
      <c r="V17" s="14">
        <v>0.2</v>
      </c>
      <c r="W17" s="14">
        <v>0.1</v>
      </c>
      <c r="X17" s="14">
        <v>0.02</v>
      </c>
      <c r="Y17" s="14">
        <v>0.1</v>
      </c>
      <c r="Z17" s="14">
        <v>0.11</v>
      </c>
      <c r="AA17" s="14">
        <v>0.03</v>
      </c>
      <c r="AB17" s="14">
        <v>0.11</v>
      </c>
      <c r="AC17" s="14">
        <v>0.03</v>
      </c>
      <c r="AD17" s="14">
        <v>7.0000000000000007E-2</v>
      </c>
      <c r="AE17" s="14">
        <v>0.04</v>
      </c>
      <c r="AF17" s="14">
        <v>0.05</v>
      </c>
    </row>
    <row r="18" spans="1:32">
      <c r="A18" s="19"/>
      <c r="B18" s="11" t="s">
        <v>870</v>
      </c>
      <c r="C18" s="12">
        <v>320</v>
      </c>
      <c r="D18" s="12">
        <v>23</v>
      </c>
      <c r="E18" s="12">
        <v>14</v>
      </c>
      <c r="F18" s="12">
        <v>17</v>
      </c>
      <c r="G18" s="12">
        <v>3</v>
      </c>
      <c r="H18" s="12">
        <v>5</v>
      </c>
      <c r="I18" s="12">
        <v>8</v>
      </c>
      <c r="J18" s="12">
        <v>3</v>
      </c>
      <c r="K18" s="12">
        <v>13</v>
      </c>
      <c r="L18" s="12">
        <v>9</v>
      </c>
      <c r="M18" s="12">
        <v>1</v>
      </c>
      <c r="N18" s="12">
        <v>9</v>
      </c>
      <c r="O18" s="12">
        <v>14</v>
      </c>
      <c r="P18" s="12">
        <v>18</v>
      </c>
      <c r="Q18" s="12">
        <v>18</v>
      </c>
      <c r="R18" s="12">
        <v>1</v>
      </c>
      <c r="S18" s="12">
        <v>12</v>
      </c>
      <c r="T18" s="12">
        <v>4</v>
      </c>
      <c r="U18" s="12">
        <v>5</v>
      </c>
      <c r="V18" s="12">
        <v>26</v>
      </c>
      <c r="W18" s="12">
        <v>14</v>
      </c>
      <c r="X18" s="12">
        <v>9</v>
      </c>
      <c r="Y18" s="12">
        <v>26</v>
      </c>
      <c r="Z18" s="12">
        <v>18</v>
      </c>
      <c r="AA18" s="12">
        <v>4</v>
      </c>
      <c r="AB18" s="12">
        <v>8</v>
      </c>
      <c r="AC18" s="12">
        <v>10</v>
      </c>
      <c r="AD18" s="12">
        <v>27</v>
      </c>
      <c r="AE18" s="12">
        <v>7</v>
      </c>
      <c r="AF18" s="12">
        <v>12</v>
      </c>
    </row>
    <row r="19" spans="1:32">
      <c r="A19" s="19"/>
      <c r="B19" s="13" t="s">
        <v>871</v>
      </c>
      <c r="C19" s="14">
        <v>0.05</v>
      </c>
      <c r="D19" s="14">
        <v>0.06</v>
      </c>
      <c r="E19" s="14">
        <v>0.08</v>
      </c>
      <c r="F19" s="14">
        <v>0.08</v>
      </c>
      <c r="G19" s="14">
        <v>0.02</v>
      </c>
      <c r="H19" s="14">
        <v>0.01</v>
      </c>
      <c r="I19" s="14">
        <v>0.02</v>
      </c>
      <c r="J19" s="14">
        <v>0.05</v>
      </c>
      <c r="K19" s="14">
        <v>0.03</v>
      </c>
      <c r="L19" s="14">
        <v>0.05</v>
      </c>
      <c r="M19" s="14">
        <v>0.01</v>
      </c>
      <c r="N19" s="14">
        <v>0.04</v>
      </c>
      <c r="O19" s="14">
        <v>0.04</v>
      </c>
      <c r="P19" s="14">
        <v>0.1</v>
      </c>
      <c r="Q19" s="14">
        <v>0.09</v>
      </c>
      <c r="R19" s="15" t="s">
        <v>375</v>
      </c>
      <c r="S19" s="14">
        <v>0.06</v>
      </c>
      <c r="T19" s="14">
        <v>0.01</v>
      </c>
      <c r="U19" s="14">
        <v>0.03</v>
      </c>
      <c r="V19" s="14">
        <v>0.18</v>
      </c>
      <c r="W19" s="14">
        <v>0.09</v>
      </c>
      <c r="X19" s="14">
        <v>0.03</v>
      </c>
      <c r="Y19" s="14">
        <v>0.12</v>
      </c>
      <c r="Z19" s="14">
        <v>0.13</v>
      </c>
      <c r="AA19" s="14">
        <v>0.02</v>
      </c>
      <c r="AB19" s="14">
        <v>7.0000000000000007E-2</v>
      </c>
      <c r="AC19" s="14">
        <v>0.04</v>
      </c>
      <c r="AD19" s="14">
        <v>0.09</v>
      </c>
      <c r="AE19" s="14">
        <v>0.03</v>
      </c>
      <c r="AF19" s="14">
        <v>7.0000000000000007E-2</v>
      </c>
    </row>
    <row r="20" spans="1:32">
      <c r="A20" s="19"/>
      <c r="B20" s="11" t="s">
        <v>872</v>
      </c>
      <c r="C20" s="12">
        <v>189</v>
      </c>
      <c r="D20" s="12">
        <v>23</v>
      </c>
      <c r="E20" s="12">
        <v>20</v>
      </c>
      <c r="F20" s="12">
        <v>10</v>
      </c>
      <c r="G20" s="12">
        <v>3</v>
      </c>
      <c r="H20" s="12">
        <v>1</v>
      </c>
      <c r="I20" s="12">
        <v>5</v>
      </c>
      <c r="J20" s="12">
        <v>4</v>
      </c>
      <c r="K20" s="12">
        <v>11</v>
      </c>
      <c r="L20" s="12">
        <v>6</v>
      </c>
      <c r="M20" s="12">
        <v>2</v>
      </c>
      <c r="N20" s="12">
        <v>3</v>
      </c>
      <c r="O20" s="12">
        <v>2</v>
      </c>
      <c r="P20" s="12">
        <v>17</v>
      </c>
      <c r="Q20" s="12">
        <v>13</v>
      </c>
      <c r="R20" s="12">
        <v>3</v>
      </c>
      <c r="S20" s="12">
        <v>4</v>
      </c>
      <c r="T20" s="12">
        <v>8</v>
      </c>
      <c r="U20" s="12">
        <v>1</v>
      </c>
      <c r="V20" s="12">
        <v>18</v>
      </c>
      <c r="W20" s="12">
        <v>4</v>
      </c>
      <c r="X20" s="12">
        <v>9</v>
      </c>
      <c r="Y20" s="12">
        <v>25</v>
      </c>
      <c r="Z20" s="12">
        <v>10</v>
      </c>
      <c r="AA20" s="12">
        <v>2</v>
      </c>
      <c r="AB20" s="12">
        <v>6</v>
      </c>
      <c r="AC20" s="12">
        <v>12</v>
      </c>
      <c r="AD20" s="12">
        <v>11</v>
      </c>
      <c r="AE20" s="12">
        <v>4</v>
      </c>
      <c r="AF20" s="12">
        <v>2</v>
      </c>
    </row>
    <row r="21" spans="1:32">
      <c r="A21" s="19"/>
      <c r="B21" s="13" t="s">
        <v>873</v>
      </c>
      <c r="C21" s="14">
        <v>0.03</v>
      </c>
      <c r="D21" s="14">
        <v>0.06</v>
      </c>
      <c r="E21" s="14">
        <v>0.11</v>
      </c>
      <c r="F21" s="14">
        <v>0.04</v>
      </c>
      <c r="G21" s="14">
        <v>0.01</v>
      </c>
      <c r="H21" s="15" t="s">
        <v>375</v>
      </c>
      <c r="I21" s="14">
        <v>0.01</v>
      </c>
      <c r="J21" s="14">
        <v>0.06</v>
      </c>
      <c r="K21" s="14">
        <v>0.03</v>
      </c>
      <c r="L21" s="14">
        <v>0.04</v>
      </c>
      <c r="M21" s="14">
        <v>0.02</v>
      </c>
      <c r="N21" s="14">
        <v>0.02</v>
      </c>
      <c r="O21" s="14">
        <v>0.01</v>
      </c>
      <c r="P21" s="14">
        <v>0.09</v>
      </c>
      <c r="Q21" s="14">
        <v>7.0000000000000007E-2</v>
      </c>
      <c r="R21" s="14">
        <v>0.03</v>
      </c>
      <c r="S21" s="14">
        <v>0.02</v>
      </c>
      <c r="T21" s="14">
        <v>0.03</v>
      </c>
      <c r="U21" s="14">
        <v>0.01</v>
      </c>
      <c r="V21" s="14">
        <v>0.12</v>
      </c>
      <c r="W21" s="14">
        <v>0.02</v>
      </c>
      <c r="X21" s="14">
        <v>0.03</v>
      </c>
      <c r="Y21" s="14">
        <v>0.11</v>
      </c>
      <c r="Z21" s="14">
        <v>7.0000000000000007E-2</v>
      </c>
      <c r="AA21" s="14">
        <v>0.01</v>
      </c>
      <c r="AB21" s="14">
        <v>0.05</v>
      </c>
      <c r="AC21" s="14">
        <v>0.05</v>
      </c>
      <c r="AD21" s="14">
        <v>0.04</v>
      </c>
      <c r="AE21" s="14">
        <v>0.02</v>
      </c>
      <c r="AF21" s="14">
        <v>0.01</v>
      </c>
    </row>
    <row r="22" spans="1:32">
      <c r="A22" s="19"/>
      <c r="B22" s="11" t="s">
        <v>874</v>
      </c>
      <c r="C22" s="12">
        <v>402</v>
      </c>
      <c r="D22" s="12">
        <v>41</v>
      </c>
      <c r="E22" s="12">
        <v>12</v>
      </c>
      <c r="F22" s="12">
        <v>28</v>
      </c>
      <c r="G22" s="12">
        <v>10</v>
      </c>
      <c r="H22" s="12">
        <v>14</v>
      </c>
      <c r="I22" s="12">
        <v>16</v>
      </c>
      <c r="J22" s="12">
        <v>3</v>
      </c>
      <c r="K22" s="12">
        <v>28</v>
      </c>
      <c r="L22" s="12">
        <v>18</v>
      </c>
      <c r="M22" s="12">
        <v>6</v>
      </c>
      <c r="N22" s="12">
        <v>15</v>
      </c>
      <c r="O22" s="12">
        <v>14</v>
      </c>
      <c r="P22" s="12">
        <v>16</v>
      </c>
      <c r="Q22" s="12">
        <v>20</v>
      </c>
      <c r="R22" s="12">
        <v>8</v>
      </c>
      <c r="S22" s="12">
        <v>9</v>
      </c>
      <c r="T22" s="12">
        <v>6</v>
      </c>
      <c r="U22" s="12">
        <v>4</v>
      </c>
      <c r="V22" s="12">
        <v>15</v>
      </c>
      <c r="W22" s="12">
        <v>19</v>
      </c>
      <c r="X22" s="12">
        <v>16</v>
      </c>
      <c r="Y22" s="12">
        <v>24</v>
      </c>
      <c r="Z22" s="12">
        <v>17</v>
      </c>
      <c r="AA22" s="12">
        <v>10</v>
      </c>
      <c r="AB22" s="12">
        <v>8</v>
      </c>
      <c r="AC22" s="12">
        <v>12</v>
      </c>
      <c r="AD22" s="12">
        <v>24</v>
      </c>
      <c r="AE22" s="12">
        <v>15</v>
      </c>
      <c r="AF22" s="12">
        <v>14</v>
      </c>
    </row>
    <row r="23" spans="1:32">
      <c r="A23" s="19"/>
      <c r="B23" s="13" t="s">
        <v>875</v>
      </c>
      <c r="C23" s="14">
        <v>0.06</v>
      </c>
      <c r="D23" s="14">
        <v>0.1</v>
      </c>
      <c r="E23" s="14">
        <v>7.0000000000000007E-2</v>
      </c>
      <c r="F23" s="14">
        <v>0.12</v>
      </c>
      <c r="G23" s="14">
        <v>0.06</v>
      </c>
      <c r="H23" s="14">
        <v>0.04</v>
      </c>
      <c r="I23" s="14">
        <v>0.04</v>
      </c>
      <c r="J23" s="14">
        <v>0.04</v>
      </c>
      <c r="K23" s="14">
        <v>7.0000000000000007E-2</v>
      </c>
      <c r="L23" s="14">
        <v>0.1</v>
      </c>
      <c r="M23" s="14">
        <v>0.06</v>
      </c>
      <c r="N23" s="14">
        <v>7.0000000000000007E-2</v>
      </c>
      <c r="O23" s="14">
        <v>0.04</v>
      </c>
      <c r="P23" s="14">
        <v>0.09</v>
      </c>
      <c r="Q23" s="14">
        <v>0.11</v>
      </c>
      <c r="R23" s="14">
        <v>7.0000000000000007E-2</v>
      </c>
      <c r="S23" s="14">
        <v>0.05</v>
      </c>
      <c r="T23" s="14">
        <v>0.02</v>
      </c>
      <c r="U23" s="14">
        <v>0.02</v>
      </c>
      <c r="V23" s="14">
        <v>0.1</v>
      </c>
      <c r="W23" s="14">
        <v>0.13</v>
      </c>
      <c r="X23" s="14">
        <v>0.05</v>
      </c>
      <c r="Y23" s="14">
        <v>0.11</v>
      </c>
      <c r="Z23" s="14">
        <v>0.12</v>
      </c>
      <c r="AA23" s="14">
        <v>7.0000000000000007E-2</v>
      </c>
      <c r="AB23" s="14">
        <v>0.08</v>
      </c>
      <c r="AC23" s="14">
        <v>0.05</v>
      </c>
      <c r="AD23" s="14">
        <v>0.08</v>
      </c>
      <c r="AE23" s="14">
        <v>0.06</v>
      </c>
      <c r="AF23" s="14">
        <v>7.0000000000000007E-2</v>
      </c>
    </row>
    <row r="24" spans="1:32">
      <c r="A24" s="19"/>
      <c r="B24" s="11" t="s">
        <v>876</v>
      </c>
      <c r="C24" s="12">
        <v>297</v>
      </c>
      <c r="D24" s="12">
        <v>24</v>
      </c>
      <c r="E24" s="12">
        <v>14</v>
      </c>
      <c r="F24" s="12">
        <v>19</v>
      </c>
      <c r="G24" s="12">
        <v>8</v>
      </c>
      <c r="H24" s="12">
        <v>3</v>
      </c>
      <c r="I24" s="12">
        <v>4</v>
      </c>
      <c r="J24" s="12">
        <v>1</v>
      </c>
      <c r="K24" s="12">
        <v>42</v>
      </c>
      <c r="L24" s="12">
        <v>19</v>
      </c>
      <c r="M24" s="12">
        <v>6</v>
      </c>
      <c r="N24" s="12">
        <v>8</v>
      </c>
      <c r="O24" s="12">
        <v>10</v>
      </c>
      <c r="P24" s="12">
        <v>14</v>
      </c>
      <c r="Q24" s="12">
        <v>16</v>
      </c>
      <c r="R24" s="12">
        <v>7</v>
      </c>
      <c r="S24" s="12">
        <v>7</v>
      </c>
      <c r="T24" s="12">
        <v>9</v>
      </c>
      <c r="U24" s="12">
        <v>4</v>
      </c>
      <c r="V24" s="12">
        <v>18</v>
      </c>
      <c r="W24" s="12">
        <v>5</v>
      </c>
      <c r="X24" s="12">
        <v>5</v>
      </c>
      <c r="Y24" s="12">
        <v>19</v>
      </c>
      <c r="Z24" s="12">
        <v>26</v>
      </c>
      <c r="AA24" s="12">
        <v>8</v>
      </c>
      <c r="AB24" s="12">
        <v>5</v>
      </c>
      <c r="AC24" s="12">
        <v>5</v>
      </c>
      <c r="AD24" s="12">
        <v>45</v>
      </c>
      <c r="AE24" s="12">
        <v>8</v>
      </c>
      <c r="AF24" s="12">
        <v>4</v>
      </c>
    </row>
    <row r="25" spans="1:32">
      <c r="A25" s="19"/>
      <c r="B25" s="13" t="s">
        <v>877</v>
      </c>
      <c r="C25" s="14">
        <v>0.05</v>
      </c>
      <c r="D25" s="14">
        <v>0.06</v>
      </c>
      <c r="E25" s="14">
        <v>0.08</v>
      </c>
      <c r="F25" s="14">
        <v>0.08</v>
      </c>
      <c r="G25" s="14">
        <v>0.04</v>
      </c>
      <c r="H25" s="14">
        <v>0.01</v>
      </c>
      <c r="I25" s="14">
        <v>0.01</v>
      </c>
      <c r="J25" s="14">
        <v>0.02</v>
      </c>
      <c r="K25" s="14">
        <v>0.11</v>
      </c>
      <c r="L25" s="14">
        <v>0.1</v>
      </c>
      <c r="M25" s="14">
        <v>0.06</v>
      </c>
      <c r="N25" s="14">
        <v>0.03</v>
      </c>
      <c r="O25" s="14">
        <v>0.03</v>
      </c>
      <c r="P25" s="14">
        <v>0.08</v>
      </c>
      <c r="Q25" s="14">
        <v>0.09</v>
      </c>
      <c r="R25" s="14">
        <v>7.0000000000000007E-2</v>
      </c>
      <c r="S25" s="14">
        <v>0.04</v>
      </c>
      <c r="T25" s="14">
        <v>0.03</v>
      </c>
      <c r="U25" s="14">
        <v>0.02</v>
      </c>
      <c r="V25" s="14">
        <v>0.12</v>
      </c>
      <c r="W25" s="14">
        <v>0.04</v>
      </c>
      <c r="X25" s="14">
        <v>0.02</v>
      </c>
      <c r="Y25" s="14">
        <v>0.08</v>
      </c>
      <c r="Z25" s="14">
        <v>0.19</v>
      </c>
      <c r="AA25" s="14">
        <v>0.06</v>
      </c>
      <c r="AB25" s="14">
        <v>0.04</v>
      </c>
      <c r="AC25" s="14">
        <v>0.02</v>
      </c>
      <c r="AD25" s="14">
        <v>0.16</v>
      </c>
      <c r="AE25" s="14">
        <v>0.03</v>
      </c>
      <c r="AF25" s="14">
        <v>0.02</v>
      </c>
    </row>
    <row r="26" spans="1:32">
      <c r="A26" s="19"/>
      <c r="B26" s="11" t="s">
        <v>878</v>
      </c>
      <c r="C26" s="12">
        <v>2201</v>
      </c>
      <c r="D26" s="12">
        <v>156</v>
      </c>
      <c r="E26" s="12">
        <v>71</v>
      </c>
      <c r="F26" s="12">
        <v>84</v>
      </c>
      <c r="G26" s="12">
        <v>60</v>
      </c>
      <c r="H26" s="12">
        <v>147</v>
      </c>
      <c r="I26" s="12">
        <v>184</v>
      </c>
      <c r="J26" s="12">
        <v>37</v>
      </c>
      <c r="K26" s="12">
        <v>202</v>
      </c>
      <c r="L26" s="12">
        <v>62</v>
      </c>
      <c r="M26" s="12">
        <v>57</v>
      </c>
      <c r="N26" s="12">
        <v>53</v>
      </c>
      <c r="O26" s="12">
        <v>111</v>
      </c>
      <c r="P26" s="12">
        <v>64</v>
      </c>
      <c r="Q26" s="12">
        <v>52</v>
      </c>
      <c r="R26" s="12">
        <v>32</v>
      </c>
      <c r="S26" s="12">
        <v>81</v>
      </c>
      <c r="T26" s="12">
        <v>128</v>
      </c>
      <c r="U26" s="12">
        <v>52</v>
      </c>
      <c r="V26" s="12">
        <v>53</v>
      </c>
      <c r="W26" s="12">
        <v>29</v>
      </c>
      <c r="X26" s="12">
        <v>128</v>
      </c>
      <c r="Y26" s="12">
        <v>77</v>
      </c>
      <c r="Z26" s="12">
        <v>35</v>
      </c>
      <c r="AA26" s="12">
        <v>57</v>
      </c>
      <c r="AB26" s="12">
        <v>41</v>
      </c>
      <c r="AC26" s="12">
        <v>82</v>
      </c>
      <c r="AD26" s="12">
        <v>119</v>
      </c>
      <c r="AE26" s="12">
        <v>127</v>
      </c>
      <c r="AF26" s="12">
        <v>112</v>
      </c>
    </row>
    <row r="27" spans="1:32">
      <c r="A27" s="19"/>
      <c r="B27" s="13" t="s">
        <v>879</v>
      </c>
      <c r="C27" s="14">
        <v>0.35</v>
      </c>
      <c r="D27" s="14">
        <v>0.4</v>
      </c>
      <c r="E27" s="14">
        <v>0.38</v>
      </c>
      <c r="F27" s="14">
        <v>0.37</v>
      </c>
      <c r="G27" s="14">
        <v>0.34</v>
      </c>
      <c r="H27" s="14">
        <v>0.41</v>
      </c>
      <c r="I27" s="14">
        <v>0.43</v>
      </c>
      <c r="J27" s="14">
        <v>0.53</v>
      </c>
      <c r="K27" s="14">
        <v>0.51</v>
      </c>
      <c r="L27" s="14">
        <v>0.34</v>
      </c>
      <c r="M27" s="14">
        <v>0.5</v>
      </c>
      <c r="N27" s="14">
        <v>0.24</v>
      </c>
      <c r="O27" s="14">
        <v>0.3</v>
      </c>
      <c r="P27" s="14">
        <v>0.36</v>
      </c>
      <c r="Q27" s="14">
        <v>0.28000000000000003</v>
      </c>
      <c r="R27" s="14">
        <v>0.28999999999999998</v>
      </c>
      <c r="S27" s="14">
        <v>0.43</v>
      </c>
      <c r="T27" s="14">
        <v>0.39</v>
      </c>
      <c r="U27" s="14">
        <v>0.26</v>
      </c>
      <c r="V27" s="14">
        <v>0.36</v>
      </c>
      <c r="W27" s="14">
        <v>0.2</v>
      </c>
      <c r="X27" s="14">
        <v>0.42</v>
      </c>
      <c r="Y27" s="14">
        <v>0.34</v>
      </c>
      <c r="Z27" s="14">
        <v>0.25</v>
      </c>
      <c r="AA27" s="14">
        <v>0.39</v>
      </c>
      <c r="AB27" s="14">
        <v>0.37</v>
      </c>
      <c r="AC27" s="14">
        <v>0.34</v>
      </c>
      <c r="AD27" s="14">
        <v>0.42</v>
      </c>
      <c r="AE27" s="14">
        <v>0.51</v>
      </c>
      <c r="AF27" s="14">
        <v>0.6</v>
      </c>
    </row>
    <row r="28" spans="1:32">
      <c r="A28" s="19"/>
      <c r="B28" s="11" t="s">
        <v>436</v>
      </c>
      <c r="C28" s="12">
        <v>59</v>
      </c>
      <c r="D28" s="12">
        <v>1</v>
      </c>
      <c r="E28" s="12">
        <v>1</v>
      </c>
      <c r="F28" s="12">
        <v>4</v>
      </c>
      <c r="G28" s="12">
        <v>2</v>
      </c>
      <c r="H28" s="12">
        <v>8</v>
      </c>
      <c r="I28" s="12">
        <v>9</v>
      </c>
      <c r="J28" s="12">
        <v>1</v>
      </c>
      <c r="K28" s="12">
        <v>5</v>
      </c>
      <c r="L28" s="12">
        <v>1</v>
      </c>
      <c r="M28" s="12">
        <v>0</v>
      </c>
      <c r="N28" s="12">
        <v>0</v>
      </c>
      <c r="O28" s="12">
        <v>4</v>
      </c>
      <c r="P28" s="12">
        <v>1</v>
      </c>
      <c r="Q28" s="12">
        <v>0</v>
      </c>
      <c r="R28" s="12">
        <v>0</v>
      </c>
      <c r="S28" s="12">
        <v>2</v>
      </c>
      <c r="T28" s="12">
        <v>1</v>
      </c>
      <c r="U28" s="12">
        <v>6</v>
      </c>
      <c r="V28" s="12">
        <v>0</v>
      </c>
      <c r="W28" s="12">
        <v>4</v>
      </c>
      <c r="X28" s="12">
        <v>1</v>
      </c>
      <c r="Y28" s="12">
        <v>5</v>
      </c>
      <c r="Z28" s="12">
        <v>0</v>
      </c>
      <c r="AA28" s="12">
        <v>0</v>
      </c>
      <c r="AB28" s="12">
        <v>0</v>
      </c>
      <c r="AC28" s="12">
        <v>4</v>
      </c>
      <c r="AD28" s="12">
        <v>1</v>
      </c>
      <c r="AE28" s="12">
        <v>1</v>
      </c>
      <c r="AF28" s="12">
        <v>1</v>
      </c>
    </row>
    <row r="29" spans="1:32">
      <c r="A29" s="19"/>
      <c r="B29" s="13" t="s">
        <v>437</v>
      </c>
      <c r="C29" s="14">
        <v>0.01</v>
      </c>
      <c r="D29" s="15" t="s">
        <v>375</v>
      </c>
      <c r="E29" s="14">
        <v>0.01</v>
      </c>
      <c r="F29" s="14">
        <v>0.02</v>
      </c>
      <c r="G29" s="14">
        <v>0.01</v>
      </c>
      <c r="H29" s="14">
        <v>0.02</v>
      </c>
      <c r="I29" s="14">
        <v>0.02</v>
      </c>
      <c r="J29" s="14">
        <v>0.02</v>
      </c>
      <c r="K29" s="14">
        <v>0.01</v>
      </c>
      <c r="L29" s="15" t="s">
        <v>375</v>
      </c>
      <c r="M29" s="15" t="s">
        <v>375</v>
      </c>
      <c r="N29" s="15" t="s">
        <v>375</v>
      </c>
      <c r="O29" s="14">
        <v>0.01</v>
      </c>
      <c r="P29" s="15" t="s">
        <v>375</v>
      </c>
      <c r="Q29" s="15" t="s">
        <v>375</v>
      </c>
      <c r="R29" s="15" t="s">
        <v>375</v>
      </c>
      <c r="S29" s="14">
        <v>0.01</v>
      </c>
      <c r="T29" s="15" t="s">
        <v>375</v>
      </c>
      <c r="U29" s="14">
        <v>0.03</v>
      </c>
      <c r="V29" s="15" t="s">
        <v>375</v>
      </c>
      <c r="W29" s="14">
        <v>0.03</v>
      </c>
      <c r="X29" s="15" t="s">
        <v>375</v>
      </c>
      <c r="Y29" s="14">
        <v>0.02</v>
      </c>
      <c r="Z29" s="15" t="s">
        <v>375</v>
      </c>
      <c r="AA29" s="15" t="s">
        <v>375</v>
      </c>
      <c r="AB29" s="15" t="s">
        <v>375</v>
      </c>
      <c r="AC29" s="14">
        <v>0.02</v>
      </c>
      <c r="AD29" s="15" t="s">
        <v>375</v>
      </c>
      <c r="AE29" s="15" t="s">
        <v>375</v>
      </c>
      <c r="AF29" s="15" t="s">
        <v>375</v>
      </c>
    </row>
    <row r="30" spans="1:32">
      <c r="A30" s="19"/>
      <c r="B30" s="11" t="s">
        <v>880</v>
      </c>
      <c r="C30" s="12">
        <v>1158</v>
      </c>
      <c r="D30" s="12">
        <v>27</v>
      </c>
      <c r="E30" s="12">
        <v>18</v>
      </c>
      <c r="F30" s="12">
        <v>15</v>
      </c>
      <c r="G30" s="12">
        <v>24</v>
      </c>
      <c r="H30" s="12">
        <v>88</v>
      </c>
      <c r="I30" s="12">
        <v>96</v>
      </c>
      <c r="J30" s="12">
        <v>8</v>
      </c>
      <c r="K30" s="12">
        <v>43</v>
      </c>
      <c r="L30" s="12">
        <v>11</v>
      </c>
      <c r="M30" s="12">
        <v>11</v>
      </c>
      <c r="N30" s="12">
        <v>60</v>
      </c>
      <c r="O30" s="12">
        <v>87</v>
      </c>
      <c r="P30" s="12">
        <v>14</v>
      </c>
      <c r="Q30" s="12">
        <v>26</v>
      </c>
      <c r="R30" s="12">
        <v>37</v>
      </c>
      <c r="S30" s="12">
        <v>37</v>
      </c>
      <c r="T30" s="12">
        <v>79</v>
      </c>
      <c r="U30" s="12">
        <v>59</v>
      </c>
      <c r="V30" s="12">
        <v>7</v>
      </c>
      <c r="W30" s="12">
        <v>26</v>
      </c>
      <c r="X30" s="12">
        <v>56</v>
      </c>
      <c r="Y30" s="12">
        <v>57</v>
      </c>
      <c r="Z30" s="12">
        <v>1</v>
      </c>
      <c r="AA30" s="12">
        <v>35</v>
      </c>
      <c r="AB30" s="12">
        <v>3</v>
      </c>
      <c r="AC30" s="12">
        <v>47</v>
      </c>
      <c r="AD30" s="12">
        <v>9</v>
      </c>
      <c r="AE30" s="12">
        <v>54</v>
      </c>
      <c r="AF30" s="12">
        <v>21</v>
      </c>
    </row>
    <row r="31" spans="1:32">
      <c r="A31" s="19"/>
      <c r="B31" s="13" t="s">
        <v>881</v>
      </c>
      <c r="C31" s="14">
        <v>0.18</v>
      </c>
      <c r="D31" s="14">
        <v>7.0000000000000007E-2</v>
      </c>
      <c r="E31" s="14">
        <v>0.1</v>
      </c>
      <c r="F31" s="14">
        <v>7.0000000000000007E-2</v>
      </c>
      <c r="G31" s="14">
        <v>0.13</v>
      </c>
      <c r="H31" s="14">
        <v>0.25</v>
      </c>
      <c r="I31" s="14">
        <v>0.23</v>
      </c>
      <c r="J31" s="14">
        <v>0.11</v>
      </c>
      <c r="K31" s="14">
        <v>0.11</v>
      </c>
      <c r="L31" s="14">
        <v>0.06</v>
      </c>
      <c r="M31" s="14">
        <v>0.1</v>
      </c>
      <c r="N31" s="14">
        <v>0.27</v>
      </c>
      <c r="O31" s="14">
        <v>0.24</v>
      </c>
      <c r="P31" s="14">
        <v>0.08</v>
      </c>
      <c r="Q31" s="14">
        <v>0.14000000000000001</v>
      </c>
      <c r="R31" s="14">
        <v>0.33</v>
      </c>
      <c r="S31" s="14">
        <v>0.2</v>
      </c>
      <c r="T31" s="14">
        <v>0.24</v>
      </c>
      <c r="U31" s="14">
        <v>0.28999999999999998</v>
      </c>
      <c r="V31" s="14">
        <v>0.05</v>
      </c>
      <c r="W31" s="14">
        <v>0.18</v>
      </c>
      <c r="X31" s="14">
        <v>0.18</v>
      </c>
      <c r="Y31" s="14">
        <v>0.26</v>
      </c>
      <c r="Z31" s="15" t="s">
        <v>375</v>
      </c>
      <c r="AA31" s="14">
        <v>0.24</v>
      </c>
      <c r="AB31" s="14">
        <v>0.02</v>
      </c>
      <c r="AC31" s="14">
        <v>0.2</v>
      </c>
      <c r="AD31" s="14">
        <v>0.03</v>
      </c>
      <c r="AE31" s="14">
        <v>0.22</v>
      </c>
      <c r="AF31" s="14">
        <v>0.11</v>
      </c>
    </row>
    <row r="32" spans="1:32">
      <c r="A32" s="19"/>
      <c r="B32" s="11" t="s">
        <v>386</v>
      </c>
      <c r="C32" s="12">
        <v>38</v>
      </c>
      <c r="D32" s="12">
        <v>1</v>
      </c>
      <c r="E32" s="12">
        <v>0</v>
      </c>
      <c r="F32" s="12">
        <v>0</v>
      </c>
      <c r="G32" s="12">
        <v>1</v>
      </c>
      <c r="H32" s="12">
        <v>2</v>
      </c>
      <c r="I32" s="12">
        <v>2</v>
      </c>
      <c r="J32" s="12">
        <v>0</v>
      </c>
      <c r="K32" s="12">
        <v>5</v>
      </c>
      <c r="L32" s="12">
        <v>0</v>
      </c>
      <c r="M32" s="12">
        <v>0</v>
      </c>
      <c r="N32" s="12">
        <v>2</v>
      </c>
      <c r="O32" s="12">
        <v>4</v>
      </c>
      <c r="P32" s="12">
        <v>1</v>
      </c>
      <c r="Q32" s="12">
        <v>0</v>
      </c>
      <c r="R32" s="12">
        <v>0</v>
      </c>
      <c r="S32" s="12">
        <v>2</v>
      </c>
      <c r="T32" s="12">
        <v>3</v>
      </c>
      <c r="U32" s="12">
        <v>0</v>
      </c>
      <c r="V32" s="12">
        <v>0</v>
      </c>
      <c r="W32" s="12">
        <v>2</v>
      </c>
      <c r="X32" s="12">
        <v>3</v>
      </c>
      <c r="Y32" s="12">
        <v>0</v>
      </c>
      <c r="Z32" s="12">
        <v>0</v>
      </c>
      <c r="AA32" s="12">
        <v>1</v>
      </c>
      <c r="AB32" s="12">
        <v>0</v>
      </c>
      <c r="AC32" s="12">
        <v>1</v>
      </c>
      <c r="AD32" s="12">
        <v>0</v>
      </c>
      <c r="AE32" s="12">
        <v>4</v>
      </c>
      <c r="AF32" s="12">
        <v>0</v>
      </c>
    </row>
    <row r="33" spans="1:32">
      <c r="A33" s="19"/>
      <c r="B33" s="13" t="s">
        <v>399</v>
      </c>
      <c r="C33" s="14">
        <v>0.01</v>
      </c>
      <c r="D33" s="15" t="s">
        <v>375</v>
      </c>
      <c r="E33" s="15" t="s">
        <v>375</v>
      </c>
      <c r="F33" s="15" t="s">
        <v>375</v>
      </c>
      <c r="G33" s="15" t="s">
        <v>375</v>
      </c>
      <c r="H33" s="14">
        <v>0.01</v>
      </c>
      <c r="I33" s="15" t="s">
        <v>375</v>
      </c>
      <c r="J33" s="15" t="s">
        <v>375</v>
      </c>
      <c r="K33" s="14">
        <v>0.01</v>
      </c>
      <c r="L33" s="15" t="s">
        <v>375</v>
      </c>
      <c r="M33" s="15" t="s">
        <v>375</v>
      </c>
      <c r="N33" s="14">
        <v>0.01</v>
      </c>
      <c r="O33" s="14">
        <v>0.01</v>
      </c>
      <c r="P33" s="15" t="s">
        <v>375</v>
      </c>
      <c r="Q33" s="15" t="s">
        <v>375</v>
      </c>
      <c r="R33" s="15" t="s">
        <v>375</v>
      </c>
      <c r="S33" s="14">
        <v>0.01</v>
      </c>
      <c r="T33" s="14">
        <v>0.01</v>
      </c>
      <c r="U33" s="15" t="s">
        <v>375</v>
      </c>
      <c r="V33" s="15" t="s">
        <v>375</v>
      </c>
      <c r="W33" s="14">
        <v>0.01</v>
      </c>
      <c r="X33" s="14">
        <v>0.01</v>
      </c>
      <c r="Y33" s="15" t="s">
        <v>375</v>
      </c>
      <c r="Z33" s="15" t="s">
        <v>375</v>
      </c>
      <c r="AA33" s="14">
        <v>0.01</v>
      </c>
      <c r="AB33" s="15" t="s">
        <v>375</v>
      </c>
      <c r="AC33" s="14">
        <v>0.01</v>
      </c>
      <c r="AD33" s="15" t="s">
        <v>375</v>
      </c>
      <c r="AE33" s="14">
        <v>0.02</v>
      </c>
      <c r="AF33" s="15" t="s">
        <v>375</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F3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161</v>
      </c>
      <c r="C3" s="17"/>
      <c r="D3" s="17"/>
      <c r="E3" s="17"/>
      <c r="F3" s="17"/>
      <c r="H3" s="17" t="s">
        <v>162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882</v>
      </c>
      <c r="C12" s="12">
        <v>5944</v>
      </c>
      <c r="D12" s="12">
        <v>322</v>
      </c>
      <c r="E12" s="12">
        <v>101</v>
      </c>
      <c r="F12" s="12">
        <v>228</v>
      </c>
      <c r="G12" s="12">
        <v>377</v>
      </c>
      <c r="H12" s="12">
        <v>467</v>
      </c>
      <c r="I12" s="12">
        <v>588</v>
      </c>
      <c r="J12" s="12">
        <v>121</v>
      </c>
      <c r="K12" s="12">
        <v>222</v>
      </c>
      <c r="L12" s="12">
        <v>180</v>
      </c>
      <c r="M12" s="12">
        <v>218</v>
      </c>
      <c r="N12" s="12">
        <v>181</v>
      </c>
      <c r="O12" s="12">
        <v>132</v>
      </c>
      <c r="P12" s="12">
        <v>100</v>
      </c>
      <c r="Q12" s="12">
        <v>118</v>
      </c>
      <c r="R12" s="12">
        <v>79</v>
      </c>
      <c r="S12" s="12">
        <v>226</v>
      </c>
      <c r="T12" s="12">
        <v>129</v>
      </c>
      <c r="U12" s="12">
        <v>183</v>
      </c>
      <c r="V12" s="12">
        <v>124</v>
      </c>
      <c r="W12" s="12">
        <v>77</v>
      </c>
      <c r="X12" s="12">
        <v>492</v>
      </c>
      <c r="Y12" s="12">
        <v>331</v>
      </c>
      <c r="Z12" s="12">
        <v>141</v>
      </c>
      <c r="AA12" s="12">
        <v>194</v>
      </c>
      <c r="AB12" s="12">
        <v>86</v>
      </c>
      <c r="AC12" s="12">
        <v>267</v>
      </c>
      <c r="AD12" s="12">
        <v>275</v>
      </c>
      <c r="AE12" s="12">
        <v>511</v>
      </c>
      <c r="AF12" s="12">
        <v>369</v>
      </c>
    </row>
    <row r="13" spans="1:32">
      <c r="A13" s="19"/>
      <c r="B13" s="13" t="s">
        <v>883</v>
      </c>
      <c r="C13" s="14">
        <v>0.22</v>
      </c>
      <c r="D13" s="14">
        <v>0.32</v>
      </c>
      <c r="E13" s="14">
        <v>0.1</v>
      </c>
      <c r="F13" s="14">
        <v>0.21</v>
      </c>
      <c r="G13" s="14">
        <v>0.37</v>
      </c>
      <c r="H13" s="14">
        <v>0.38</v>
      </c>
      <c r="I13" s="14">
        <v>0.39</v>
      </c>
      <c r="J13" s="14">
        <v>0.41</v>
      </c>
      <c r="K13" s="14">
        <v>0.22</v>
      </c>
      <c r="L13" s="14">
        <v>0.18</v>
      </c>
      <c r="M13" s="14">
        <v>0.22</v>
      </c>
      <c r="N13" s="14">
        <v>0.18</v>
      </c>
      <c r="O13" s="14">
        <v>0.13</v>
      </c>
      <c r="P13" s="14">
        <v>0.1</v>
      </c>
      <c r="Q13" s="14">
        <v>0.11</v>
      </c>
      <c r="R13" s="14">
        <v>0.16</v>
      </c>
      <c r="S13" s="14">
        <v>0.23</v>
      </c>
      <c r="T13" s="14">
        <v>0.13</v>
      </c>
      <c r="U13" s="14">
        <v>0.36</v>
      </c>
      <c r="V13" s="14">
        <v>0.12</v>
      </c>
      <c r="W13" s="14">
        <v>0.15</v>
      </c>
      <c r="X13" s="14">
        <v>0.49</v>
      </c>
      <c r="Y13" s="14">
        <v>0.33</v>
      </c>
      <c r="Z13" s="14">
        <v>0.14000000000000001</v>
      </c>
      <c r="AA13" s="14">
        <v>0.19</v>
      </c>
      <c r="AB13" s="14">
        <v>0.08</v>
      </c>
      <c r="AC13" s="14">
        <v>0.27</v>
      </c>
      <c r="AD13" s="14">
        <v>0.27</v>
      </c>
      <c r="AE13" s="14">
        <v>0.51</v>
      </c>
      <c r="AF13" s="14">
        <v>0.36</v>
      </c>
    </row>
    <row r="14" spans="1:32">
      <c r="A14" s="19"/>
      <c r="B14" s="11" t="s">
        <v>884</v>
      </c>
      <c r="C14" s="12">
        <v>10757</v>
      </c>
      <c r="D14" s="12">
        <v>591</v>
      </c>
      <c r="E14" s="12">
        <v>304</v>
      </c>
      <c r="F14" s="12">
        <v>351</v>
      </c>
      <c r="G14" s="12">
        <v>447</v>
      </c>
      <c r="H14" s="12">
        <v>453</v>
      </c>
      <c r="I14" s="12">
        <v>586</v>
      </c>
      <c r="J14" s="12">
        <v>133</v>
      </c>
      <c r="K14" s="12">
        <v>390</v>
      </c>
      <c r="L14" s="12">
        <v>409</v>
      </c>
      <c r="M14" s="12">
        <v>418</v>
      </c>
      <c r="N14" s="12">
        <v>558</v>
      </c>
      <c r="O14" s="12">
        <v>498</v>
      </c>
      <c r="P14" s="12">
        <v>318</v>
      </c>
      <c r="Q14" s="12">
        <v>349</v>
      </c>
      <c r="R14" s="12">
        <v>241</v>
      </c>
      <c r="S14" s="12">
        <v>428</v>
      </c>
      <c r="T14" s="12">
        <v>336</v>
      </c>
      <c r="U14" s="12">
        <v>311</v>
      </c>
      <c r="V14" s="12">
        <v>274</v>
      </c>
      <c r="W14" s="12">
        <v>162</v>
      </c>
      <c r="X14" s="12">
        <v>424</v>
      </c>
      <c r="Y14" s="12">
        <v>383</v>
      </c>
      <c r="Z14" s="12">
        <v>317</v>
      </c>
      <c r="AA14" s="12">
        <v>285</v>
      </c>
      <c r="AB14" s="12">
        <v>218</v>
      </c>
      <c r="AC14" s="12">
        <v>435</v>
      </c>
      <c r="AD14" s="12">
        <v>510</v>
      </c>
      <c r="AE14" s="12">
        <v>497</v>
      </c>
      <c r="AF14" s="12">
        <v>562</v>
      </c>
    </row>
    <row r="15" spans="1:32">
      <c r="A15" s="19"/>
      <c r="B15" s="13" t="s">
        <v>885</v>
      </c>
      <c r="C15" s="14">
        <v>0.41</v>
      </c>
      <c r="D15" s="14">
        <v>0.57999999999999996</v>
      </c>
      <c r="E15" s="14">
        <v>0.28999999999999998</v>
      </c>
      <c r="F15" s="14">
        <v>0.33</v>
      </c>
      <c r="G15" s="14">
        <v>0.44</v>
      </c>
      <c r="H15" s="14">
        <v>0.37</v>
      </c>
      <c r="I15" s="14">
        <v>0.38</v>
      </c>
      <c r="J15" s="14">
        <v>0.45</v>
      </c>
      <c r="K15" s="14">
        <v>0.39</v>
      </c>
      <c r="L15" s="14">
        <v>0.41</v>
      </c>
      <c r="M15" s="14">
        <v>0.41</v>
      </c>
      <c r="N15" s="14">
        <v>0.55000000000000004</v>
      </c>
      <c r="O15" s="14">
        <v>0.5</v>
      </c>
      <c r="P15" s="14">
        <v>0.32</v>
      </c>
      <c r="Q15" s="14">
        <v>0.34</v>
      </c>
      <c r="R15" s="14">
        <v>0.48</v>
      </c>
      <c r="S15" s="14">
        <v>0.43</v>
      </c>
      <c r="T15" s="14">
        <v>0.33</v>
      </c>
      <c r="U15" s="14">
        <v>0.61</v>
      </c>
      <c r="V15" s="14">
        <v>0.27</v>
      </c>
      <c r="W15" s="14">
        <v>0.32</v>
      </c>
      <c r="X15" s="14">
        <v>0.42</v>
      </c>
      <c r="Y15" s="14">
        <v>0.38</v>
      </c>
      <c r="Z15" s="14">
        <v>0.31</v>
      </c>
      <c r="AA15" s="14">
        <v>0.28000000000000003</v>
      </c>
      <c r="AB15" s="14">
        <v>0.21</v>
      </c>
      <c r="AC15" s="14">
        <v>0.43</v>
      </c>
      <c r="AD15" s="14">
        <v>0.51</v>
      </c>
      <c r="AE15" s="14">
        <v>0.5</v>
      </c>
      <c r="AF15" s="14">
        <v>0.55000000000000004</v>
      </c>
    </row>
    <row r="16" spans="1:32">
      <c r="A16" s="19"/>
      <c r="B16" s="11" t="s">
        <v>886</v>
      </c>
      <c r="C16" s="12">
        <v>10406</v>
      </c>
      <c r="D16" s="12">
        <v>619</v>
      </c>
      <c r="E16" s="12">
        <v>362</v>
      </c>
      <c r="F16" s="12">
        <v>348</v>
      </c>
      <c r="G16" s="12">
        <v>497</v>
      </c>
      <c r="H16" s="12">
        <v>491</v>
      </c>
      <c r="I16" s="12">
        <v>639</v>
      </c>
      <c r="J16" s="12">
        <v>148</v>
      </c>
      <c r="K16" s="12">
        <v>397</v>
      </c>
      <c r="L16" s="12">
        <v>363</v>
      </c>
      <c r="M16" s="12">
        <v>481</v>
      </c>
      <c r="N16" s="12">
        <v>464</v>
      </c>
      <c r="O16" s="12">
        <v>419</v>
      </c>
      <c r="P16" s="12">
        <v>247</v>
      </c>
      <c r="Q16" s="12">
        <v>318</v>
      </c>
      <c r="R16" s="12">
        <v>234</v>
      </c>
      <c r="S16" s="12">
        <v>439</v>
      </c>
      <c r="T16" s="12">
        <v>342</v>
      </c>
      <c r="U16" s="12">
        <v>317</v>
      </c>
      <c r="V16" s="12">
        <v>311</v>
      </c>
      <c r="W16" s="12">
        <v>181</v>
      </c>
      <c r="X16" s="12">
        <v>658</v>
      </c>
      <c r="Y16" s="12">
        <v>396</v>
      </c>
      <c r="Z16" s="12">
        <v>273</v>
      </c>
      <c r="AA16" s="12">
        <v>235</v>
      </c>
      <c r="AB16" s="12">
        <v>190</v>
      </c>
      <c r="AC16" s="12">
        <v>396</v>
      </c>
      <c r="AD16" s="12">
        <v>427</v>
      </c>
      <c r="AE16" s="12">
        <v>554</v>
      </c>
      <c r="AF16" s="12">
        <v>555</v>
      </c>
    </row>
    <row r="17" spans="1:32">
      <c r="A17" s="19"/>
      <c r="B17" s="13" t="s">
        <v>887</v>
      </c>
      <c r="C17" s="14">
        <v>0.39</v>
      </c>
      <c r="D17" s="14">
        <v>0.61</v>
      </c>
      <c r="E17" s="14">
        <v>0.35</v>
      </c>
      <c r="F17" s="14">
        <v>0.33</v>
      </c>
      <c r="G17" s="14">
        <v>0.49</v>
      </c>
      <c r="H17" s="14">
        <v>0.4</v>
      </c>
      <c r="I17" s="14">
        <v>0.42</v>
      </c>
      <c r="J17" s="14">
        <v>0.5</v>
      </c>
      <c r="K17" s="14">
        <v>0.39</v>
      </c>
      <c r="L17" s="14">
        <v>0.36</v>
      </c>
      <c r="M17" s="14">
        <v>0.48</v>
      </c>
      <c r="N17" s="14">
        <v>0.46</v>
      </c>
      <c r="O17" s="14">
        <v>0.42</v>
      </c>
      <c r="P17" s="14">
        <v>0.25</v>
      </c>
      <c r="Q17" s="14">
        <v>0.31</v>
      </c>
      <c r="R17" s="14">
        <v>0.47</v>
      </c>
      <c r="S17" s="14">
        <v>0.44</v>
      </c>
      <c r="T17" s="14">
        <v>0.33</v>
      </c>
      <c r="U17" s="14">
        <v>0.62</v>
      </c>
      <c r="V17" s="14">
        <v>0.3</v>
      </c>
      <c r="W17" s="14">
        <v>0.36</v>
      </c>
      <c r="X17" s="14">
        <v>0.65</v>
      </c>
      <c r="Y17" s="14">
        <v>0.39</v>
      </c>
      <c r="Z17" s="14">
        <v>0.27</v>
      </c>
      <c r="AA17" s="14">
        <v>0.23</v>
      </c>
      <c r="AB17" s="14">
        <v>0.18</v>
      </c>
      <c r="AC17" s="14">
        <v>0.39</v>
      </c>
      <c r="AD17" s="14">
        <v>0.43</v>
      </c>
      <c r="AE17" s="14">
        <v>0.55000000000000004</v>
      </c>
      <c r="AF17" s="14">
        <v>0.54</v>
      </c>
    </row>
    <row r="18" spans="1:32">
      <c r="A18" s="19"/>
      <c r="B18" s="11" t="s">
        <v>888</v>
      </c>
      <c r="C18" s="12">
        <v>5723</v>
      </c>
      <c r="D18" s="12">
        <v>360</v>
      </c>
      <c r="E18" s="12">
        <v>222</v>
      </c>
      <c r="F18" s="12">
        <v>279</v>
      </c>
      <c r="G18" s="12">
        <v>248</v>
      </c>
      <c r="H18" s="12">
        <v>280</v>
      </c>
      <c r="I18" s="12">
        <v>371</v>
      </c>
      <c r="J18" s="12">
        <v>91</v>
      </c>
      <c r="K18" s="12">
        <v>269</v>
      </c>
      <c r="L18" s="12">
        <v>261</v>
      </c>
      <c r="M18" s="12">
        <v>223</v>
      </c>
      <c r="N18" s="12">
        <v>196</v>
      </c>
      <c r="O18" s="12">
        <v>210</v>
      </c>
      <c r="P18" s="12">
        <v>208</v>
      </c>
      <c r="Q18" s="12">
        <v>147</v>
      </c>
      <c r="R18" s="12">
        <v>108</v>
      </c>
      <c r="S18" s="12">
        <v>287</v>
      </c>
      <c r="T18" s="12">
        <v>272</v>
      </c>
      <c r="U18" s="12">
        <v>182</v>
      </c>
      <c r="V18" s="12">
        <v>249</v>
      </c>
      <c r="W18" s="12">
        <v>116</v>
      </c>
      <c r="X18" s="12">
        <v>287</v>
      </c>
      <c r="Y18" s="12">
        <v>314</v>
      </c>
      <c r="Z18" s="12">
        <v>190</v>
      </c>
      <c r="AA18" s="12">
        <v>109</v>
      </c>
      <c r="AB18" s="12">
        <v>171</v>
      </c>
      <c r="AC18" s="12">
        <v>273</v>
      </c>
      <c r="AD18" s="12">
        <v>258</v>
      </c>
      <c r="AE18" s="12">
        <v>312</v>
      </c>
      <c r="AF18" s="12">
        <v>316</v>
      </c>
    </row>
    <row r="19" spans="1:32">
      <c r="A19" s="19"/>
      <c r="B19" s="13" t="s">
        <v>889</v>
      </c>
      <c r="C19" s="14">
        <v>0.22</v>
      </c>
      <c r="D19" s="14">
        <v>0.35</v>
      </c>
      <c r="E19" s="14">
        <v>0.21</v>
      </c>
      <c r="F19" s="14">
        <v>0.26</v>
      </c>
      <c r="G19" s="14">
        <v>0.24</v>
      </c>
      <c r="H19" s="14">
        <v>0.23</v>
      </c>
      <c r="I19" s="14">
        <v>0.24</v>
      </c>
      <c r="J19" s="14">
        <v>0.31</v>
      </c>
      <c r="K19" s="14">
        <v>0.27</v>
      </c>
      <c r="L19" s="14">
        <v>0.26</v>
      </c>
      <c r="M19" s="14">
        <v>0.22</v>
      </c>
      <c r="N19" s="14">
        <v>0.19</v>
      </c>
      <c r="O19" s="14">
        <v>0.21</v>
      </c>
      <c r="P19" s="14">
        <v>0.21</v>
      </c>
      <c r="Q19" s="14">
        <v>0.14000000000000001</v>
      </c>
      <c r="R19" s="14">
        <v>0.21</v>
      </c>
      <c r="S19" s="14">
        <v>0.28999999999999998</v>
      </c>
      <c r="T19" s="14">
        <v>0.27</v>
      </c>
      <c r="U19" s="14">
        <v>0.36</v>
      </c>
      <c r="V19" s="14">
        <v>0.24</v>
      </c>
      <c r="W19" s="14">
        <v>0.23</v>
      </c>
      <c r="X19" s="14">
        <v>0.28000000000000003</v>
      </c>
      <c r="Y19" s="14">
        <v>0.31</v>
      </c>
      <c r="Z19" s="14">
        <v>0.19</v>
      </c>
      <c r="AA19" s="14">
        <v>0.1</v>
      </c>
      <c r="AB19" s="14">
        <v>0.16</v>
      </c>
      <c r="AC19" s="14">
        <v>0.27</v>
      </c>
      <c r="AD19" s="14">
        <v>0.26</v>
      </c>
      <c r="AE19" s="14">
        <v>0.31</v>
      </c>
      <c r="AF19" s="14">
        <v>0.31</v>
      </c>
    </row>
    <row r="20" spans="1:32">
      <c r="A20" s="19"/>
      <c r="B20" s="11" t="s">
        <v>890</v>
      </c>
      <c r="C20" s="12">
        <v>4329</v>
      </c>
      <c r="D20" s="12">
        <v>296</v>
      </c>
      <c r="E20" s="12">
        <v>125</v>
      </c>
      <c r="F20" s="12">
        <v>210</v>
      </c>
      <c r="G20" s="12">
        <v>238</v>
      </c>
      <c r="H20" s="12">
        <v>209</v>
      </c>
      <c r="I20" s="12">
        <v>266</v>
      </c>
      <c r="J20" s="12">
        <v>57</v>
      </c>
      <c r="K20" s="12">
        <v>124</v>
      </c>
      <c r="L20" s="12">
        <v>209</v>
      </c>
      <c r="M20" s="12">
        <v>118</v>
      </c>
      <c r="N20" s="12">
        <v>173</v>
      </c>
      <c r="O20" s="12">
        <v>138</v>
      </c>
      <c r="P20" s="12">
        <v>133</v>
      </c>
      <c r="Q20" s="12">
        <v>91</v>
      </c>
      <c r="R20" s="12">
        <v>75</v>
      </c>
      <c r="S20" s="12">
        <v>186</v>
      </c>
      <c r="T20" s="12">
        <v>174</v>
      </c>
      <c r="U20" s="12">
        <v>175</v>
      </c>
      <c r="V20" s="12">
        <v>182</v>
      </c>
      <c r="W20" s="12">
        <v>96</v>
      </c>
      <c r="X20" s="12">
        <v>328</v>
      </c>
      <c r="Y20" s="12">
        <v>229</v>
      </c>
      <c r="Z20" s="12">
        <v>162</v>
      </c>
      <c r="AA20" s="12">
        <v>57</v>
      </c>
      <c r="AB20" s="12">
        <v>110</v>
      </c>
      <c r="AC20" s="12">
        <v>172</v>
      </c>
      <c r="AD20" s="12">
        <v>206</v>
      </c>
      <c r="AE20" s="12">
        <v>201</v>
      </c>
      <c r="AF20" s="12">
        <v>345</v>
      </c>
    </row>
    <row r="21" spans="1:32">
      <c r="A21" s="19"/>
      <c r="B21" s="13" t="s">
        <v>891</v>
      </c>
      <c r="C21" s="14">
        <v>0.16</v>
      </c>
      <c r="D21" s="14">
        <v>0.28999999999999998</v>
      </c>
      <c r="E21" s="14">
        <v>0.12</v>
      </c>
      <c r="F21" s="14">
        <v>0.2</v>
      </c>
      <c r="G21" s="14">
        <v>0.23</v>
      </c>
      <c r="H21" s="14">
        <v>0.17</v>
      </c>
      <c r="I21" s="14">
        <v>0.17</v>
      </c>
      <c r="J21" s="14">
        <v>0.19</v>
      </c>
      <c r="K21" s="14">
        <v>0.12</v>
      </c>
      <c r="L21" s="14">
        <v>0.21</v>
      </c>
      <c r="M21" s="14">
        <v>0.12</v>
      </c>
      <c r="N21" s="14">
        <v>0.17</v>
      </c>
      <c r="O21" s="14">
        <v>0.14000000000000001</v>
      </c>
      <c r="P21" s="14">
        <v>0.13</v>
      </c>
      <c r="Q21" s="14">
        <v>0.09</v>
      </c>
      <c r="R21" s="14">
        <v>0.15</v>
      </c>
      <c r="S21" s="14">
        <v>0.19</v>
      </c>
      <c r="T21" s="14">
        <v>0.17</v>
      </c>
      <c r="U21" s="14">
        <v>0.34</v>
      </c>
      <c r="V21" s="14">
        <v>0.18</v>
      </c>
      <c r="W21" s="14">
        <v>0.19</v>
      </c>
      <c r="X21" s="14">
        <v>0.32</v>
      </c>
      <c r="Y21" s="14">
        <v>0.23</v>
      </c>
      <c r="Z21" s="14">
        <v>0.16</v>
      </c>
      <c r="AA21" s="14">
        <v>0.06</v>
      </c>
      <c r="AB21" s="14">
        <v>0.11</v>
      </c>
      <c r="AC21" s="14">
        <v>0.17</v>
      </c>
      <c r="AD21" s="14">
        <v>0.21</v>
      </c>
      <c r="AE21" s="14">
        <v>0.2</v>
      </c>
      <c r="AF21" s="14">
        <v>0.33</v>
      </c>
    </row>
    <row r="22" spans="1:32">
      <c r="A22" s="19"/>
      <c r="B22" s="11" t="s">
        <v>892</v>
      </c>
      <c r="C22" s="12">
        <v>4595</v>
      </c>
      <c r="D22" s="12">
        <v>314</v>
      </c>
      <c r="E22" s="12">
        <v>109</v>
      </c>
      <c r="F22" s="12">
        <v>323</v>
      </c>
      <c r="G22" s="12">
        <v>239</v>
      </c>
      <c r="H22" s="12">
        <v>210</v>
      </c>
      <c r="I22" s="12">
        <v>268</v>
      </c>
      <c r="J22" s="12">
        <v>59</v>
      </c>
      <c r="K22" s="12">
        <v>271</v>
      </c>
      <c r="L22" s="12">
        <v>130</v>
      </c>
      <c r="M22" s="12">
        <v>147</v>
      </c>
      <c r="N22" s="12">
        <v>182</v>
      </c>
      <c r="O22" s="12">
        <v>73</v>
      </c>
      <c r="P22" s="12">
        <v>139</v>
      </c>
      <c r="Q22" s="12">
        <v>58</v>
      </c>
      <c r="R22" s="12">
        <v>60</v>
      </c>
      <c r="S22" s="12">
        <v>226</v>
      </c>
      <c r="T22" s="12">
        <v>148</v>
      </c>
      <c r="U22" s="12">
        <v>156</v>
      </c>
      <c r="V22" s="12">
        <v>192</v>
      </c>
      <c r="W22" s="12">
        <v>80</v>
      </c>
      <c r="X22" s="12">
        <v>558</v>
      </c>
      <c r="Y22" s="12">
        <v>242</v>
      </c>
      <c r="Z22" s="12">
        <v>183</v>
      </c>
      <c r="AA22" s="12">
        <v>47</v>
      </c>
      <c r="AB22" s="12">
        <v>90</v>
      </c>
      <c r="AC22" s="12">
        <v>217</v>
      </c>
      <c r="AD22" s="12">
        <v>323</v>
      </c>
      <c r="AE22" s="12">
        <v>584</v>
      </c>
      <c r="AF22" s="12">
        <v>490</v>
      </c>
    </row>
    <row r="23" spans="1:32">
      <c r="A23" s="19"/>
      <c r="B23" s="13" t="s">
        <v>893</v>
      </c>
      <c r="C23" s="14">
        <v>0.17</v>
      </c>
      <c r="D23" s="14">
        <v>0.31</v>
      </c>
      <c r="E23" s="14">
        <v>0.1</v>
      </c>
      <c r="F23" s="14">
        <v>0.3</v>
      </c>
      <c r="G23" s="14">
        <v>0.24</v>
      </c>
      <c r="H23" s="14">
        <v>0.17</v>
      </c>
      <c r="I23" s="14">
        <v>0.18</v>
      </c>
      <c r="J23" s="14">
        <v>0.2</v>
      </c>
      <c r="K23" s="14">
        <v>0.27</v>
      </c>
      <c r="L23" s="14">
        <v>0.13</v>
      </c>
      <c r="M23" s="14">
        <v>0.15</v>
      </c>
      <c r="N23" s="14">
        <v>0.18</v>
      </c>
      <c r="O23" s="14">
        <v>7.0000000000000007E-2</v>
      </c>
      <c r="P23" s="14">
        <v>0.14000000000000001</v>
      </c>
      <c r="Q23" s="14">
        <v>0.06</v>
      </c>
      <c r="R23" s="14">
        <v>0.12</v>
      </c>
      <c r="S23" s="14">
        <v>0.23</v>
      </c>
      <c r="T23" s="14">
        <v>0.14000000000000001</v>
      </c>
      <c r="U23" s="14">
        <v>0.31</v>
      </c>
      <c r="V23" s="14">
        <v>0.19</v>
      </c>
      <c r="W23" s="14">
        <v>0.16</v>
      </c>
      <c r="X23" s="14">
        <v>0.55000000000000004</v>
      </c>
      <c r="Y23" s="14">
        <v>0.24</v>
      </c>
      <c r="Z23" s="14">
        <v>0.18</v>
      </c>
      <c r="AA23" s="14">
        <v>0.05</v>
      </c>
      <c r="AB23" s="14">
        <v>0.09</v>
      </c>
      <c r="AC23" s="14">
        <v>0.22</v>
      </c>
      <c r="AD23" s="14">
        <v>0.32</v>
      </c>
      <c r="AE23" s="14">
        <v>0.57999999999999996</v>
      </c>
      <c r="AF23" s="14">
        <v>0.48</v>
      </c>
    </row>
    <row r="24" spans="1:32">
      <c r="A24" s="19"/>
      <c r="B24" s="11" t="s">
        <v>894</v>
      </c>
      <c r="C24" s="12">
        <v>7744</v>
      </c>
      <c r="D24" s="12">
        <v>455</v>
      </c>
      <c r="E24" s="12">
        <v>271</v>
      </c>
      <c r="F24" s="12">
        <v>285</v>
      </c>
      <c r="G24" s="12">
        <v>315</v>
      </c>
      <c r="H24" s="12">
        <v>320</v>
      </c>
      <c r="I24" s="12">
        <v>408</v>
      </c>
      <c r="J24" s="12">
        <v>88</v>
      </c>
      <c r="K24" s="12">
        <v>337</v>
      </c>
      <c r="L24" s="12">
        <v>317</v>
      </c>
      <c r="M24" s="12">
        <v>465</v>
      </c>
      <c r="N24" s="12">
        <v>381</v>
      </c>
      <c r="O24" s="12">
        <v>321</v>
      </c>
      <c r="P24" s="12">
        <v>253</v>
      </c>
      <c r="Q24" s="12">
        <v>248</v>
      </c>
      <c r="R24" s="12">
        <v>198</v>
      </c>
      <c r="S24" s="12">
        <v>328</v>
      </c>
      <c r="T24" s="12">
        <v>341</v>
      </c>
      <c r="U24" s="12">
        <v>233</v>
      </c>
      <c r="V24" s="12">
        <v>186</v>
      </c>
      <c r="W24" s="12">
        <v>160</v>
      </c>
      <c r="X24" s="12">
        <v>315</v>
      </c>
      <c r="Y24" s="12">
        <v>302</v>
      </c>
      <c r="Z24" s="12">
        <v>250</v>
      </c>
      <c r="AA24" s="12">
        <v>195</v>
      </c>
      <c r="AB24" s="12">
        <v>195</v>
      </c>
      <c r="AC24" s="12">
        <v>421</v>
      </c>
      <c r="AD24" s="12">
        <v>356</v>
      </c>
      <c r="AE24" s="12">
        <v>245</v>
      </c>
      <c r="AF24" s="12">
        <v>399</v>
      </c>
    </row>
    <row r="25" spans="1:32">
      <c r="A25" s="19"/>
      <c r="B25" s="13" t="s">
        <v>895</v>
      </c>
      <c r="C25" s="14">
        <v>0.28999999999999998</v>
      </c>
      <c r="D25" s="14">
        <v>0.45</v>
      </c>
      <c r="E25" s="14">
        <v>0.26</v>
      </c>
      <c r="F25" s="14">
        <v>0.27</v>
      </c>
      <c r="G25" s="14">
        <v>0.31</v>
      </c>
      <c r="H25" s="14">
        <v>0.26</v>
      </c>
      <c r="I25" s="14">
        <v>0.27</v>
      </c>
      <c r="J25" s="14">
        <v>0.28999999999999998</v>
      </c>
      <c r="K25" s="14">
        <v>0.34</v>
      </c>
      <c r="L25" s="14">
        <v>0.31</v>
      </c>
      <c r="M25" s="14">
        <v>0.46</v>
      </c>
      <c r="N25" s="14">
        <v>0.38</v>
      </c>
      <c r="O25" s="14">
        <v>0.32</v>
      </c>
      <c r="P25" s="14">
        <v>0.25</v>
      </c>
      <c r="Q25" s="14">
        <v>0.24</v>
      </c>
      <c r="R25" s="14">
        <v>0.4</v>
      </c>
      <c r="S25" s="14">
        <v>0.33</v>
      </c>
      <c r="T25" s="14">
        <v>0.33</v>
      </c>
      <c r="U25" s="14">
        <v>0.46</v>
      </c>
      <c r="V25" s="14">
        <v>0.18</v>
      </c>
      <c r="W25" s="14">
        <v>0.32</v>
      </c>
      <c r="X25" s="14">
        <v>0.31</v>
      </c>
      <c r="Y25" s="14">
        <v>0.3</v>
      </c>
      <c r="Z25" s="14">
        <v>0.25</v>
      </c>
      <c r="AA25" s="14">
        <v>0.19</v>
      </c>
      <c r="AB25" s="14">
        <v>0.19</v>
      </c>
      <c r="AC25" s="14">
        <v>0.42</v>
      </c>
      <c r="AD25" s="14">
        <v>0.35</v>
      </c>
      <c r="AE25" s="14">
        <v>0.24</v>
      </c>
      <c r="AF25" s="14">
        <v>0.39</v>
      </c>
    </row>
    <row r="26" spans="1:32">
      <c r="A26" s="19"/>
      <c r="B26" s="11" t="s">
        <v>896</v>
      </c>
      <c r="C26" s="12">
        <v>876</v>
      </c>
      <c r="D26" s="12">
        <v>50</v>
      </c>
      <c r="E26" s="12">
        <v>23</v>
      </c>
      <c r="F26" s="12">
        <v>48</v>
      </c>
      <c r="G26" s="12">
        <v>78</v>
      </c>
      <c r="H26" s="12">
        <v>63</v>
      </c>
      <c r="I26" s="12">
        <v>74</v>
      </c>
      <c r="J26" s="12">
        <v>11</v>
      </c>
      <c r="K26" s="12">
        <v>115</v>
      </c>
      <c r="L26" s="12">
        <v>13</v>
      </c>
      <c r="M26" s="12">
        <v>8</v>
      </c>
      <c r="N26" s="12">
        <v>27</v>
      </c>
      <c r="O26" s="12">
        <v>26</v>
      </c>
      <c r="P26" s="12">
        <v>31</v>
      </c>
      <c r="Q26" s="12">
        <v>11</v>
      </c>
      <c r="R26" s="12">
        <v>7</v>
      </c>
      <c r="S26" s="12">
        <v>41</v>
      </c>
      <c r="T26" s="12">
        <v>64</v>
      </c>
      <c r="U26" s="12">
        <v>25</v>
      </c>
      <c r="V26" s="12">
        <v>19</v>
      </c>
      <c r="W26" s="12">
        <v>17</v>
      </c>
      <c r="X26" s="12">
        <v>67</v>
      </c>
      <c r="Y26" s="12">
        <v>48</v>
      </c>
      <c r="Z26" s="12">
        <v>2</v>
      </c>
      <c r="AA26" s="12">
        <v>29</v>
      </c>
      <c r="AB26" s="12">
        <v>36</v>
      </c>
      <c r="AC26" s="12">
        <v>24</v>
      </c>
      <c r="AD26" s="12">
        <v>50</v>
      </c>
      <c r="AE26" s="12">
        <v>49</v>
      </c>
      <c r="AF26" s="12">
        <v>125</v>
      </c>
    </row>
    <row r="27" spans="1:32">
      <c r="A27" s="19"/>
      <c r="B27" s="13" t="s">
        <v>897</v>
      </c>
      <c r="C27" s="14">
        <v>0.03</v>
      </c>
      <c r="D27" s="14">
        <v>0.05</v>
      </c>
      <c r="E27" s="14">
        <v>0.02</v>
      </c>
      <c r="F27" s="14">
        <v>0.05</v>
      </c>
      <c r="G27" s="14">
        <v>0.08</v>
      </c>
      <c r="H27" s="14">
        <v>0.05</v>
      </c>
      <c r="I27" s="14">
        <v>0.05</v>
      </c>
      <c r="J27" s="14">
        <v>0.04</v>
      </c>
      <c r="K27" s="14">
        <v>0.11</v>
      </c>
      <c r="L27" s="14">
        <v>0.01</v>
      </c>
      <c r="M27" s="14">
        <v>0.01</v>
      </c>
      <c r="N27" s="14">
        <v>0.03</v>
      </c>
      <c r="O27" s="14">
        <v>0.03</v>
      </c>
      <c r="P27" s="14">
        <v>0.03</v>
      </c>
      <c r="Q27" s="14">
        <v>0.01</v>
      </c>
      <c r="R27" s="14">
        <v>0.01</v>
      </c>
      <c r="S27" s="14">
        <v>0.04</v>
      </c>
      <c r="T27" s="14">
        <v>0.06</v>
      </c>
      <c r="U27" s="14">
        <v>0.05</v>
      </c>
      <c r="V27" s="14">
        <v>0.02</v>
      </c>
      <c r="W27" s="14">
        <v>0.03</v>
      </c>
      <c r="X27" s="14">
        <v>7.0000000000000007E-2</v>
      </c>
      <c r="Y27" s="14">
        <v>0.05</v>
      </c>
      <c r="Z27" s="15" t="s">
        <v>375</v>
      </c>
      <c r="AA27" s="14">
        <v>0.03</v>
      </c>
      <c r="AB27" s="14">
        <v>0.03</v>
      </c>
      <c r="AC27" s="14">
        <v>0.02</v>
      </c>
      <c r="AD27" s="14">
        <v>0.05</v>
      </c>
      <c r="AE27" s="14">
        <v>0.05</v>
      </c>
      <c r="AF27" s="14">
        <v>0.12</v>
      </c>
    </row>
    <row r="28" spans="1:32">
      <c r="A28" s="19"/>
      <c r="B28" s="11" t="s">
        <v>898</v>
      </c>
      <c r="C28" s="12">
        <v>6950</v>
      </c>
      <c r="D28" s="12">
        <v>153</v>
      </c>
      <c r="E28" s="12">
        <v>258</v>
      </c>
      <c r="F28" s="12">
        <v>253</v>
      </c>
      <c r="G28" s="12">
        <v>182</v>
      </c>
      <c r="H28" s="12">
        <v>281</v>
      </c>
      <c r="I28" s="12">
        <v>335</v>
      </c>
      <c r="J28" s="12">
        <v>54</v>
      </c>
      <c r="K28" s="12">
        <v>191</v>
      </c>
      <c r="L28" s="12">
        <v>301</v>
      </c>
      <c r="M28" s="12">
        <v>226</v>
      </c>
      <c r="N28" s="12">
        <v>241</v>
      </c>
      <c r="O28" s="12">
        <v>267</v>
      </c>
      <c r="P28" s="12">
        <v>340</v>
      </c>
      <c r="Q28" s="12">
        <v>385</v>
      </c>
      <c r="R28" s="12">
        <v>120</v>
      </c>
      <c r="S28" s="12">
        <v>168</v>
      </c>
      <c r="T28" s="12">
        <v>275</v>
      </c>
      <c r="U28" s="12">
        <v>78</v>
      </c>
      <c r="V28" s="12">
        <v>358</v>
      </c>
      <c r="W28" s="12">
        <v>140</v>
      </c>
      <c r="X28" s="12">
        <v>150</v>
      </c>
      <c r="Y28" s="12">
        <v>233</v>
      </c>
      <c r="Z28" s="12">
        <v>286</v>
      </c>
      <c r="AA28" s="12">
        <v>396</v>
      </c>
      <c r="AB28" s="12">
        <v>459</v>
      </c>
      <c r="AC28" s="12">
        <v>207</v>
      </c>
      <c r="AD28" s="12">
        <v>182</v>
      </c>
      <c r="AE28" s="12">
        <v>104</v>
      </c>
      <c r="AF28" s="12">
        <v>67</v>
      </c>
    </row>
    <row r="29" spans="1:32">
      <c r="A29" s="19"/>
      <c r="B29" s="13" t="s">
        <v>899</v>
      </c>
      <c r="C29" s="14">
        <v>0.26</v>
      </c>
      <c r="D29" s="14">
        <v>0.15</v>
      </c>
      <c r="E29" s="14">
        <v>0.25</v>
      </c>
      <c r="F29" s="14">
        <v>0.24</v>
      </c>
      <c r="G29" s="14">
        <v>0.18</v>
      </c>
      <c r="H29" s="14">
        <v>0.23</v>
      </c>
      <c r="I29" s="14">
        <v>0.22</v>
      </c>
      <c r="J29" s="14">
        <v>0.18</v>
      </c>
      <c r="K29" s="14">
        <v>0.19</v>
      </c>
      <c r="L29" s="14">
        <v>0.3</v>
      </c>
      <c r="M29" s="14">
        <v>0.22</v>
      </c>
      <c r="N29" s="14">
        <v>0.24</v>
      </c>
      <c r="O29" s="14">
        <v>0.27</v>
      </c>
      <c r="P29" s="14">
        <v>0.34</v>
      </c>
      <c r="Q29" s="14">
        <v>0.37</v>
      </c>
      <c r="R29" s="14">
        <v>0.24</v>
      </c>
      <c r="S29" s="14">
        <v>0.17</v>
      </c>
      <c r="T29" s="14">
        <v>0.27</v>
      </c>
      <c r="U29" s="14">
        <v>0.15</v>
      </c>
      <c r="V29" s="14">
        <v>0.35</v>
      </c>
      <c r="W29" s="14">
        <v>0.28000000000000003</v>
      </c>
      <c r="X29" s="14">
        <v>0.15</v>
      </c>
      <c r="Y29" s="14">
        <v>0.23</v>
      </c>
      <c r="Z29" s="14">
        <v>0.28000000000000003</v>
      </c>
      <c r="AA29" s="14">
        <v>0.38</v>
      </c>
      <c r="AB29" s="14">
        <v>0.44</v>
      </c>
      <c r="AC29" s="14">
        <v>0.21</v>
      </c>
      <c r="AD29" s="14">
        <v>0.18</v>
      </c>
      <c r="AE29" s="14">
        <v>0.1</v>
      </c>
      <c r="AF29" s="14">
        <v>0.06</v>
      </c>
    </row>
    <row r="30" spans="1:32">
      <c r="A30" s="19"/>
      <c r="B30" s="11" t="s">
        <v>900</v>
      </c>
      <c r="C30" s="12">
        <v>1916</v>
      </c>
      <c r="D30" s="12">
        <v>26</v>
      </c>
      <c r="E30" s="12">
        <v>144</v>
      </c>
      <c r="F30" s="12">
        <v>91</v>
      </c>
      <c r="G30" s="12">
        <v>6</v>
      </c>
      <c r="H30" s="12">
        <v>107</v>
      </c>
      <c r="I30" s="12">
        <v>124</v>
      </c>
      <c r="J30" s="12">
        <v>17</v>
      </c>
      <c r="K30" s="12">
        <v>78</v>
      </c>
      <c r="L30" s="12">
        <v>37</v>
      </c>
      <c r="M30" s="12">
        <v>149</v>
      </c>
      <c r="N30" s="12">
        <v>45</v>
      </c>
      <c r="O30" s="12">
        <v>57</v>
      </c>
      <c r="P30" s="12">
        <v>110</v>
      </c>
      <c r="Q30" s="12">
        <v>61</v>
      </c>
      <c r="R30" s="12">
        <v>43</v>
      </c>
      <c r="S30" s="12">
        <v>79</v>
      </c>
      <c r="T30" s="12">
        <v>123</v>
      </c>
      <c r="U30" s="12">
        <v>12</v>
      </c>
      <c r="V30" s="12">
        <v>115</v>
      </c>
      <c r="W30" s="12">
        <v>43</v>
      </c>
      <c r="X30" s="12">
        <v>2</v>
      </c>
      <c r="Y30" s="12">
        <v>75</v>
      </c>
      <c r="Z30" s="12">
        <v>130</v>
      </c>
      <c r="AA30" s="12">
        <v>162</v>
      </c>
      <c r="AB30" s="12">
        <v>125</v>
      </c>
      <c r="AC30" s="12">
        <v>95</v>
      </c>
      <c r="AD30" s="12">
        <v>69</v>
      </c>
      <c r="AE30" s="12">
        <v>13</v>
      </c>
      <c r="AF30" s="12">
        <v>6</v>
      </c>
    </row>
    <row r="31" spans="1:32">
      <c r="A31" s="19"/>
      <c r="B31" s="13" t="s">
        <v>901</v>
      </c>
      <c r="C31" s="14">
        <v>7.0000000000000007E-2</v>
      </c>
      <c r="D31" s="14">
        <v>0.03</v>
      </c>
      <c r="E31" s="14">
        <v>0.14000000000000001</v>
      </c>
      <c r="F31" s="14">
        <v>0.09</v>
      </c>
      <c r="G31" s="14">
        <v>0.01</v>
      </c>
      <c r="H31" s="14">
        <v>0.09</v>
      </c>
      <c r="I31" s="14">
        <v>0.08</v>
      </c>
      <c r="J31" s="14">
        <v>0.06</v>
      </c>
      <c r="K31" s="14">
        <v>0.08</v>
      </c>
      <c r="L31" s="14">
        <v>0.04</v>
      </c>
      <c r="M31" s="14">
        <v>0.15</v>
      </c>
      <c r="N31" s="14">
        <v>0.04</v>
      </c>
      <c r="O31" s="14">
        <v>0.06</v>
      </c>
      <c r="P31" s="14">
        <v>0.11</v>
      </c>
      <c r="Q31" s="14">
        <v>0.06</v>
      </c>
      <c r="R31" s="14">
        <v>0.09</v>
      </c>
      <c r="S31" s="14">
        <v>0.08</v>
      </c>
      <c r="T31" s="14">
        <v>0.12</v>
      </c>
      <c r="U31" s="14">
        <v>0.02</v>
      </c>
      <c r="V31" s="14">
        <v>0.11</v>
      </c>
      <c r="W31" s="14">
        <v>0.09</v>
      </c>
      <c r="X31" s="15" t="s">
        <v>375</v>
      </c>
      <c r="Y31" s="14">
        <v>7.0000000000000007E-2</v>
      </c>
      <c r="Z31" s="14">
        <v>0.13</v>
      </c>
      <c r="AA31" s="14">
        <v>0.16</v>
      </c>
      <c r="AB31" s="14">
        <v>0.12</v>
      </c>
      <c r="AC31" s="14">
        <v>0.09</v>
      </c>
      <c r="AD31" s="14">
        <v>7.0000000000000007E-2</v>
      </c>
      <c r="AE31" s="14">
        <v>0.01</v>
      </c>
      <c r="AF31" s="14">
        <v>0.01</v>
      </c>
    </row>
    <row r="32" spans="1:32">
      <c r="A32" s="19"/>
      <c r="B32" s="11" t="s">
        <v>386</v>
      </c>
      <c r="C32" s="12">
        <v>55</v>
      </c>
      <c r="D32" s="12">
        <v>0</v>
      </c>
      <c r="E32" s="12">
        <v>10</v>
      </c>
      <c r="F32" s="12">
        <v>2</v>
      </c>
      <c r="G32" s="12">
        <v>4</v>
      </c>
      <c r="H32" s="12">
        <v>5</v>
      </c>
      <c r="I32" s="12">
        <v>5</v>
      </c>
      <c r="J32" s="12">
        <v>1</v>
      </c>
      <c r="K32" s="12">
        <v>3</v>
      </c>
      <c r="L32" s="12">
        <v>7</v>
      </c>
      <c r="M32" s="12">
        <v>0</v>
      </c>
      <c r="N32" s="12">
        <v>0</v>
      </c>
      <c r="O32" s="12">
        <v>0</v>
      </c>
      <c r="P32" s="12">
        <v>8</v>
      </c>
      <c r="Q32" s="12">
        <v>1</v>
      </c>
      <c r="R32" s="12">
        <v>5</v>
      </c>
      <c r="S32" s="12">
        <v>2</v>
      </c>
      <c r="T32" s="12">
        <v>8</v>
      </c>
      <c r="U32" s="12">
        <v>0</v>
      </c>
      <c r="V32" s="12">
        <v>1</v>
      </c>
      <c r="W32" s="12">
        <v>1</v>
      </c>
      <c r="X32" s="12">
        <v>0</v>
      </c>
      <c r="Y32" s="12">
        <v>0</v>
      </c>
      <c r="Z32" s="12">
        <v>3</v>
      </c>
      <c r="AA32" s="12">
        <v>18</v>
      </c>
      <c r="AB32" s="12">
        <v>1</v>
      </c>
      <c r="AC32" s="12">
        <v>1</v>
      </c>
      <c r="AD32" s="12">
        <v>0</v>
      </c>
      <c r="AE32" s="12">
        <v>4</v>
      </c>
      <c r="AF32" s="12">
        <v>0</v>
      </c>
    </row>
    <row r="33" spans="1:32">
      <c r="A33" s="19"/>
      <c r="B33" s="13" t="s">
        <v>399</v>
      </c>
      <c r="C33" s="15" t="s">
        <v>375</v>
      </c>
      <c r="D33" s="15" t="s">
        <v>375</v>
      </c>
      <c r="E33" s="14">
        <v>0.01</v>
      </c>
      <c r="F33" s="15" t="s">
        <v>375</v>
      </c>
      <c r="G33" s="15" t="s">
        <v>375</v>
      </c>
      <c r="H33" s="15" t="s">
        <v>375</v>
      </c>
      <c r="I33" s="15" t="s">
        <v>375</v>
      </c>
      <c r="J33" s="15" t="s">
        <v>375</v>
      </c>
      <c r="K33" s="15" t="s">
        <v>375</v>
      </c>
      <c r="L33" s="14">
        <v>0.01</v>
      </c>
      <c r="M33" s="15" t="s">
        <v>375</v>
      </c>
      <c r="N33" s="15" t="s">
        <v>375</v>
      </c>
      <c r="O33" s="15" t="s">
        <v>375</v>
      </c>
      <c r="P33" s="14">
        <v>0.01</v>
      </c>
      <c r="Q33" s="15" t="s">
        <v>375</v>
      </c>
      <c r="R33" s="14">
        <v>0.01</v>
      </c>
      <c r="S33" s="15" t="s">
        <v>375</v>
      </c>
      <c r="T33" s="14">
        <v>0.01</v>
      </c>
      <c r="U33" s="15" t="s">
        <v>375</v>
      </c>
      <c r="V33" s="15" t="s">
        <v>375</v>
      </c>
      <c r="W33" s="15" t="s">
        <v>375</v>
      </c>
      <c r="X33" s="15" t="s">
        <v>375</v>
      </c>
      <c r="Y33" s="15" t="s">
        <v>375</v>
      </c>
      <c r="Z33" s="15" t="s">
        <v>375</v>
      </c>
      <c r="AA33" s="14">
        <v>0.02</v>
      </c>
      <c r="AB33" s="15" t="s">
        <v>375</v>
      </c>
      <c r="AC33" s="15" t="s">
        <v>375</v>
      </c>
      <c r="AD33" s="15" t="s">
        <v>375</v>
      </c>
      <c r="AE33" s="15" t="s">
        <v>375</v>
      </c>
      <c r="AF33" s="15" t="s">
        <v>375</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3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96" customHeight="1">
      <c r="B3" s="17" t="s">
        <v>902</v>
      </c>
      <c r="C3" s="17"/>
      <c r="D3" s="17"/>
      <c r="E3" s="17"/>
      <c r="F3" s="17"/>
      <c r="H3" s="17" t="s">
        <v>903</v>
      </c>
      <c r="I3" s="17"/>
      <c r="J3" s="17"/>
      <c r="K3" s="17"/>
      <c r="L3" s="17"/>
    </row>
    <row r="4" spans="1:32" ht="27" customHeight="1">
      <c r="B4" s="17" t="s">
        <v>904</v>
      </c>
      <c r="C4" s="17"/>
      <c r="D4" s="17"/>
      <c r="E4" s="17"/>
      <c r="F4" s="17"/>
      <c r="H4" s="17" t="s">
        <v>905</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906</v>
      </c>
      <c r="C12" s="12">
        <v>2742</v>
      </c>
      <c r="D12" s="12">
        <v>61</v>
      </c>
      <c r="E12" s="12">
        <v>146</v>
      </c>
      <c r="F12" s="12">
        <v>192</v>
      </c>
      <c r="G12" s="12">
        <v>202</v>
      </c>
      <c r="H12" s="12">
        <v>148</v>
      </c>
      <c r="I12" s="12">
        <v>178</v>
      </c>
      <c r="J12" s="12">
        <v>30</v>
      </c>
      <c r="K12" s="12">
        <v>172</v>
      </c>
      <c r="L12" s="12">
        <v>96</v>
      </c>
      <c r="M12" s="12">
        <v>82</v>
      </c>
      <c r="N12" s="12">
        <v>80</v>
      </c>
      <c r="O12" s="12">
        <v>110</v>
      </c>
      <c r="P12" s="12">
        <v>154</v>
      </c>
      <c r="Q12" s="12">
        <v>106</v>
      </c>
      <c r="R12" s="12">
        <v>62</v>
      </c>
      <c r="S12" s="12">
        <v>154</v>
      </c>
      <c r="T12" s="12">
        <v>214</v>
      </c>
      <c r="U12" s="12">
        <v>70</v>
      </c>
      <c r="V12" s="12">
        <v>107</v>
      </c>
      <c r="W12" s="12">
        <v>54</v>
      </c>
      <c r="X12" s="12">
        <v>74</v>
      </c>
      <c r="Y12" s="12">
        <v>160</v>
      </c>
      <c r="Z12" s="12">
        <v>36</v>
      </c>
      <c r="AA12" s="12">
        <v>45</v>
      </c>
      <c r="AB12" s="12">
        <v>112</v>
      </c>
      <c r="AC12" s="12">
        <v>322</v>
      </c>
      <c r="AD12" s="12">
        <v>151</v>
      </c>
      <c r="AE12" s="12">
        <v>135</v>
      </c>
      <c r="AF12" s="12">
        <v>153</v>
      </c>
    </row>
    <row r="13" spans="1:32">
      <c r="A13" s="19"/>
      <c r="B13" s="13" t="s">
        <v>907</v>
      </c>
      <c r="C13" s="14">
        <v>0.1</v>
      </c>
      <c r="D13" s="14">
        <v>0.06</v>
      </c>
      <c r="E13" s="14">
        <v>0.14000000000000001</v>
      </c>
      <c r="F13" s="14">
        <v>0.18</v>
      </c>
      <c r="G13" s="14">
        <v>0.2</v>
      </c>
      <c r="H13" s="14">
        <v>0.12</v>
      </c>
      <c r="I13" s="14">
        <v>0.12</v>
      </c>
      <c r="J13" s="14">
        <v>0.1</v>
      </c>
      <c r="K13" s="14">
        <v>0.17</v>
      </c>
      <c r="L13" s="14">
        <v>0.1</v>
      </c>
      <c r="M13" s="14">
        <v>0.08</v>
      </c>
      <c r="N13" s="14">
        <v>0.08</v>
      </c>
      <c r="O13" s="14">
        <v>0.11</v>
      </c>
      <c r="P13" s="14">
        <v>0.15</v>
      </c>
      <c r="Q13" s="14">
        <v>0.1</v>
      </c>
      <c r="R13" s="14">
        <v>0.12</v>
      </c>
      <c r="S13" s="14">
        <v>0.15</v>
      </c>
      <c r="T13" s="14">
        <v>0.21</v>
      </c>
      <c r="U13" s="14">
        <v>0.14000000000000001</v>
      </c>
      <c r="V13" s="14">
        <v>0.1</v>
      </c>
      <c r="W13" s="14">
        <v>0.11</v>
      </c>
      <c r="X13" s="14">
        <v>7.0000000000000007E-2</v>
      </c>
      <c r="Y13" s="14">
        <v>0.16</v>
      </c>
      <c r="Z13" s="14">
        <v>0.04</v>
      </c>
      <c r="AA13" s="14">
        <v>0.04</v>
      </c>
      <c r="AB13" s="14">
        <v>0.11</v>
      </c>
      <c r="AC13" s="14">
        <v>0.32</v>
      </c>
      <c r="AD13" s="14">
        <v>0.15</v>
      </c>
      <c r="AE13" s="14">
        <v>0.13</v>
      </c>
      <c r="AF13" s="14">
        <v>0.15</v>
      </c>
    </row>
    <row r="14" spans="1:32">
      <c r="A14" s="19"/>
      <c r="B14" s="11" t="s">
        <v>578</v>
      </c>
      <c r="C14" s="12">
        <v>1956</v>
      </c>
      <c r="D14" s="12">
        <v>70</v>
      </c>
      <c r="E14" s="12">
        <v>67</v>
      </c>
      <c r="F14" s="12">
        <v>103</v>
      </c>
      <c r="G14" s="12">
        <v>123</v>
      </c>
      <c r="H14" s="12">
        <v>146</v>
      </c>
      <c r="I14" s="12">
        <v>180</v>
      </c>
      <c r="J14" s="12">
        <v>34</v>
      </c>
      <c r="K14" s="12">
        <v>143</v>
      </c>
      <c r="L14" s="12">
        <v>72</v>
      </c>
      <c r="M14" s="12">
        <v>74</v>
      </c>
      <c r="N14" s="12">
        <v>43</v>
      </c>
      <c r="O14" s="12">
        <v>63</v>
      </c>
      <c r="P14" s="12">
        <v>75</v>
      </c>
      <c r="Q14" s="12">
        <v>43</v>
      </c>
      <c r="R14" s="12">
        <v>28</v>
      </c>
      <c r="S14" s="12">
        <v>52</v>
      </c>
      <c r="T14" s="12">
        <v>105</v>
      </c>
      <c r="U14" s="12">
        <v>24</v>
      </c>
      <c r="V14" s="12">
        <v>87</v>
      </c>
      <c r="W14" s="12">
        <v>46</v>
      </c>
      <c r="X14" s="12">
        <v>122</v>
      </c>
      <c r="Y14" s="12">
        <v>105</v>
      </c>
      <c r="Z14" s="12">
        <v>28</v>
      </c>
      <c r="AA14" s="12">
        <v>33</v>
      </c>
      <c r="AB14" s="12">
        <v>48</v>
      </c>
      <c r="AC14" s="12">
        <v>109</v>
      </c>
      <c r="AD14" s="12">
        <v>147</v>
      </c>
      <c r="AE14" s="12">
        <v>149</v>
      </c>
      <c r="AF14" s="12">
        <v>143</v>
      </c>
    </row>
    <row r="15" spans="1:32">
      <c r="A15" s="19"/>
      <c r="B15" s="13" t="s">
        <v>578</v>
      </c>
      <c r="C15" s="14">
        <v>7.0000000000000007E-2</v>
      </c>
      <c r="D15" s="14">
        <v>7.0000000000000007E-2</v>
      </c>
      <c r="E15" s="14">
        <v>7.0000000000000007E-2</v>
      </c>
      <c r="F15" s="14">
        <v>0.1</v>
      </c>
      <c r="G15" s="14">
        <v>0.12</v>
      </c>
      <c r="H15" s="14">
        <v>0.12</v>
      </c>
      <c r="I15" s="14">
        <v>0.12</v>
      </c>
      <c r="J15" s="14">
        <v>0.11</v>
      </c>
      <c r="K15" s="14">
        <v>0.14000000000000001</v>
      </c>
      <c r="L15" s="14">
        <v>7.0000000000000007E-2</v>
      </c>
      <c r="M15" s="14">
        <v>7.0000000000000007E-2</v>
      </c>
      <c r="N15" s="14">
        <v>0.04</v>
      </c>
      <c r="O15" s="14">
        <v>0.06</v>
      </c>
      <c r="P15" s="14">
        <v>0.08</v>
      </c>
      <c r="Q15" s="14">
        <v>0.04</v>
      </c>
      <c r="R15" s="14">
        <v>0.06</v>
      </c>
      <c r="S15" s="14">
        <v>0.05</v>
      </c>
      <c r="T15" s="14">
        <v>0.1</v>
      </c>
      <c r="U15" s="14">
        <v>0.05</v>
      </c>
      <c r="V15" s="14">
        <v>0.08</v>
      </c>
      <c r="W15" s="14">
        <v>0.09</v>
      </c>
      <c r="X15" s="14">
        <v>0.12</v>
      </c>
      <c r="Y15" s="14">
        <v>0.11</v>
      </c>
      <c r="Z15" s="14">
        <v>0.03</v>
      </c>
      <c r="AA15" s="14">
        <v>0.03</v>
      </c>
      <c r="AB15" s="14">
        <v>0.05</v>
      </c>
      <c r="AC15" s="14">
        <v>0.11</v>
      </c>
      <c r="AD15" s="14">
        <v>0.15</v>
      </c>
      <c r="AE15" s="14">
        <v>0.15</v>
      </c>
      <c r="AF15" s="14">
        <v>0.14000000000000001</v>
      </c>
    </row>
    <row r="16" spans="1:32">
      <c r="A16" s="19"/>
      <c r="B16" s="11" t="s">
        <v>579</v>
      </c>
      <c r="C16" s="12">
        <v>3093</v>
      </c>
      <c r="D16" s="12">
        <v>117</v>
      </c>
      <c r="E16" s="12">
        <v>140</v>
      </c>
      <c r="F16" s="12">
        <v>157</v>
      </c>
      <c r="G16" s="12">
        <v>167</v>
      </c>
      <c r="H16" s="12">
        <v>183</v>
      </c>
      <c r="I16" s="12">
        <v>233</v>
      </c>
      <c r="J16" s="12">
        <v>50</v>
      </c>
      <c r="K16" s="12">
        <v>147</v>
      </c>
      <c r="L16" s="12">
        <v>87</v>
      </c>
      <c r="M16" s="12">
        <v>124</v>
      </c>
      <c r="N16" s="12">
        <v>39</v>
      </c>
      <c r="O16" s="12">
        <v>112</v>
      </c>
      <c r="P16" s="12">
        <v>122</v>
      </c>
      <c r="Q16" s="12">
        <v>124</v>
      </c>
      <c r="R16" s="12">
        <v>51</v>
      </c>
      <c r="S16" s="12">
        <v>85</v>
      </c>
      <c r="T16" s="12">
        <v>137</v>
      </c>
      <c r="U16" s="12">
        <v>31</v>
      </c>
      <c r="V16" s="12">
        <v>164</v>
      </c>
      <c r="W16" s="12">
        <v>69</v>
      </c>
      <c r="X16" s="12">
        <v>184</v>
      </c>
      <c r="Y16" s="12">
        <v>138</v>
      </c>
      <c r="Z16" s="12">
        <v>84</v>
      </c>
      <c r="AA16" s="12">
        <v>83</v>
      </c>
      <c r="AB16" s="12">
        <v>89</v>
      </c>
      <c r="AC16" s="12">
        <v>122</v>
      </c>
      <c r="AD16" s="12">
        <v>140</v>
      </c>
      <c r="AE16" s="12">
        <v>149</v>
      </c>
      <c r="AF16" s="12">
        <v>175</v>
      </c>
    </row>
    <row r="17" spans="1:32">
      <c r="A17" s="19"/>
      <c r="B17" s="13" t="s">
        <v>579</v>
      </c>
      <c r="C17" s="14">
        <v>0.12</v>
      </c>
      <c r="D17" s="14">
        <v>0.11</v>
      </c>
      <c r="E17" s="14">
        <v>0.13</v>
      </c>
      <c r="F17" s="14">
        <v>0.15</v>
      </c>
      <c r="G17" s="14">
        <v>0.16</v>
      </c>
      <c r="H17" s="14">
        <v>0.15</v>
      </c>
      <c r="I17" s="14">
        <v>0.15</v>
      </c>
      <c r="J17" s="14">
        <v>0.17</v>
      </c>
      <c r="K17" s="14">
        <v>0.15</v>
      </c>
      <c r="L17" s="14">
        <v>0.09</v>
      </c>
      <c r="M17" s="14">
        <v>0.12</v>
      </c>
      <c r="N17" s="14">
        <v>0.04</v>
      </c>
      <c r="O17" s="14">
        <v>0.11</v>
      </c>
      <c r="P17" s="14">
        <v>0.12</v>
      </c>
      <c r="Q17" s="14">
        <v>0.12</v>
      </c>
      <c r="R17" s="14">
        <v>0.1</v>
      </c>
      <c r="S17" s="14">
        <v>0.09</v>
      </c>
      <c r="T17" s="14">
        <v>0.13</v>
      </c>
      <c r="U17" s="14">
        <v>0.06</v>
      </c>
      <c r="V17" s="14">
        <v>0.16</v>
      </c>
      <c r="W17" s="14">
        <v>0.14000000000000001</v>
      </c>
      <c r="X17" s="14">
        <v>0.18</v>
      </c>
      <c r="Y17" s="14">
        <v>0.14000000000000001</v>
      </c>
      <c r="Z17" s="14">
        <v>0.08</v>
      </c>
      <c r="AA17" s="14">
        <v>0.08</v>
      </c>
      <c r="AB17" s="14">
        <v>0.08</v>
      </c>
      <c r="AC17" s="14">
        <v>0.12</v>
      </c>
      <c r="AD17" s="14">
        <v>0.14000000000000001</v>
      </c>
      <c r="AE17" s="14">
        <v>0.15</v>
      </c>
      <c r="AF17" s="14">
        <v>0.17</v>
      </c>
    </row>
    <row r="18" spans="1:32">
      <c r="A18" s="19"/>
      <c r="B18" s="11" t="s">
        <v>580</v>
      </c>
      <c r="C18" s="12">
        <v>4878</v>
      </c>
      <c r="D18" s="12">
        <v>242</v>
      </c>
      <c r="E18" s="12">
        <v>224</v>
      </c>
      <c r="F18" s="12">
        <v>201</v>
      </c>
      <c r="G18" s="12">
        <v>167</v>
      </c>
      <c r="H18" s="12">
        <v>293</v>
      </c>
      <c r="I18" s="12">
        <v>362</v>
      </c>
      <c r="J18" s="12">
        <v>69</v>
      </c>
      <c r="K18" s="12">
        <v>139</v>
      </c>
      <c r="L18" s="12">
        <v>195</v>
      </c>
      <c r="M18" s="12">
        <v>151</v>
      </c>
      <c r="N18" s="12">
        <v>137</v>
      </c>
      <c r="O18" s="12">
        <v>143</v>
      </c>
      <c r="P18" s="12">
        <v>170</v>
      </c>
      <c r="Q18" s="12">
        <v>168</v>
      </c>
      <c r="R18" s="12">
        <v>84</v>
      </c>
      <c r="S18" s="12">
        <v>154</v>
      </c>
      <c r="T18" s="12">
        <v>175</v>
      </c>
      <c r="U18" s="12">
        <v>45</v>
      </c>
      <c r="V18" s="12">
        <v>274</v>
      </c>
      <c r="W18" s="12">
        <v>94</v>
      </c>
      <c r="X18" s="12">
        <v>205</v>
      </c>
      <c r="Y18" s="12">
        <v>197</v>
      </c>
      <c r="Z18" s="12">
        <v>224</v>
      </c>
      <c r="AA18" s="12">
        <v>200</v>
      </c>
      <c r="AB18" s="12">
        <v>171</v>
      </c>
      <c r="AC18" s="12">
        <v>121</v>
      </c>
      <c r="AD18" s="12">
        <v>177</v>
      </c>
      <c r="AE18" s="12">
        <v>131</v>
      </c>
      <c r="AF18" s="12">
        <v>201</v>
      </c>
    </row>
    <row r="19" spans="1:32">
      <c r="A19" s="19"/>
      <c r="B19" s="13" t="s">
        <v>580</v>
      </c>
      <c r="C19" s="14">
        <v>0.19</v>
      </c>
      <c r="D19" s="14">
        <v>0.24</v>
      </c>
      <c r="E19" s="14">
        <v>0.21</v>
      </c>
      <c r="F19" s="14">
        <v>0.19</v>
      </c>
      <c r="G19" s="14">
        <v>0.16</v>
      </c>
      <c r="H19" s="14">
        <v>0.24</v>
      </c>
      <c r="I19" s="14">
        <v>0.24</v>
      </c>
      <c r="J19" s="14">
        <v>0.23</v>
      </c>
      <c r="K19" s="14">
        <v>0.14000000000000001</v>
      </c>
      <c r="L19" s="14">
        <v>0.19</v>
      </c>
      <c r="M19" s="14">
        <v>0.15</v>
      </c>
      <c r="N19" s="14">
        <v>0.14000000000000001</v>
      </c>
      <c r="O19" s="14">
        <v>0.14000000000000001</v>
      </c>
      <c r="P19" s="14">
        <v>0.17</v>
      </c>
      <c r="Q19" s="14">
        <v>0.16</v>
      </c>
      <c r="R19" s="14">
        <v>0.17</v>
      </c>
      <c r="S19" s="14">
        <v>0.15</v>
      </c>
      <c r="T19" s="14">
        <v>0.17</v>
      </c>
      <c r="U19" s="14">
        <v>0.09</v>
      </c>
      <c r="V19" s="14">
        <v>0.27</v>
      </c>
      <c r="W19" s="14">
        <v>0.19</v>
      </c>
      <c r="X19" s="14">
        <v>0.2</v>
      </c>
      <c r="Y19" s="14">
        <v>0.2</v>
      </c>
      <c r="Z19" s="14">
        <v>0.22</v>
      </c>
      <c r="AA19" s="14">
        <v>0.19</v>
      </c>
      <c r="AB19" s="14">
        <v>0.16</v>
      </c>
      <c r="AC19" s="14">
        <v>0.12</v>
      </c>
      <c r="AD19" s="14">
        <v>0.18</v>
      </c>
      <c r="AE19" s="14">
        <v>0.13</v>
      </c>
      <c r="AF19" s="14">
        <v>0.2</v>
      </c>
    </row>
    <row r="20" spans="1:32">
      <c r="A20" s="19"/>
      <c r="B20" s="11" t="s">
        <v>581</v>
      </c>
      <c r="C20" s="12">
        <v>5358</v>
      </c>
      <c r="D20" s="12">
        <v>241</v>
      </c>
      <c r="E20" s="12">
        <v>182</v>
      </c>
      <c r="F20" s="12">
        <v>158</v>
      </c>
      <c r="G20" s="12">
        <v>159</v>
      </c>
      <c r="H20" s="12">
        <v>172</v>
      </c>
      <c r="I20" s="12">
        <v>227</v>
      </c>
      <c r="J20" s="12">
        <v>54</v>
      </c>
      <c r="K20" s="12">
        <v>134</v>
      </c>
      <c r="L20" s="12">
        <v>220</v>
      </c>
      <c r="M20" s="12">
        <v>187</v>
      </c>
      <c r="N20" s="12">
        <v>194</v>
      </c>
      <c r="O20" s="12">
        <v>204</v>
      </c>
      <c r="P20" s="12">
        <v>223</v>
      </c>
      <c r="Q20" s="12">
        <v>252</v>
      </c>
      <c r="R20" s="12">
        <v>110</v>
      </c>
      <c r="S20" s="12">
        <v>145</v>
      </c>
      <c r="T20" s="12">
        <v>137</v>
      </c>
      <c r="U20" s="12">
        <v>99</v>
      </c>
      <c r="V20" s="12">
        <v>204</v>
      </c>
      <c r="W20" s="12">
        <v>71</v>
      </c>
      <c r="X20" s="12">
        <v>205</v>
      </c>
      <c r="Y20" s="12">
        <v>164</v>
      </c>
      <c r="Z20" s="12">
        <v>306</v>
      </c>
      <c r="AA20" s="12">
        <v>250</v>
      </c>
      <c r="AB20" s="12">
        <v>293</v>
      </c>
      <c r="AC20" s="12">
        <v>91</v>
      </c>
      <c r="AD20" s="12">
        <v>145</v>
      </c>
      <c r="AE20" s="12">
        <v>148</v>
      </c>
      <c r="AF20" s="12">
        <v>145</v>
      </c>
    </row>
    <row r="21" spans="1:32">
      <c r="A21" s="19"/>
      <c r="B21" s="13" t="s">
        <v>581</v>
      </c>
      <c r="C21" s="14">
        <v>0.2</v>
      </c>
      <c r="D21" s="14">
        <v>0.24</v>
      </c>
      <c r="E21" s="14">
        <v>0.18</v>
      </c>
      <c r="F21" s="14">
        <v>0.15</v>
      </c>
      <c r="G21" s="14">
        <v>0.16</v>
      </c>
      <c r="H21" s="14">
        <v>0.14000000000000001</v>
      </c>
      <c r="I21" s="14">
        <v>0.15</v>
      </c>
      <c r="J21" s="14">
        <v>0.18</v>
      </c>
      <c r="K21" s="14">
        <v>0.13</v>
      </c>
      <c r="L21" s="14">
        <v>0.22</v>
      </c>
      <c r="M21" s="14">
        <v>0.19</v>
      </c>
      <c r="N21" s="14">
        <v>0.19</v>
      </c>
      <c r="O21" s="14">
        <v>0.2</v>
      </c>
      <c r="P21" s="14">
        <v>0.22</v>
      </c>
      <c r="Q21" s="14">
        <v>0.25</v>
      </c>
      <c r="R21" s="14">
        <v>0.22</v>
      </c>
      <c r="S21" s="14">
        <v>0.15</v>
      </c>
      <c r="T21" s="14">
        <v>0.13</v>
      </c>
      <c r="U21" s="14">
        <v>0.19</v>
      </c>
      <c r="V21" s="14">
        <v>0.2</v>
      </c>
      <c r="W21" s="14">
        <v>0.14000000000000001</v>
      </c>
      <c r="X21" s="14">
        <v>0.2</v>
      </c>
      <c r="Y21" s="14">
        <v>0.16</v>
      </c>
      <c r="Z21" s="14">
        <v>0.3</v>
      </c>
      <c r="AA21" s="14">
        <v>0.24</v>
      </c>
      <c r="AB21" s="14">
        <v>0.28000000000000003</v>
      </c>
      <c r="AC21" s="14">
        <v>0.09</v>
      </c>
      <c r="AD21" s="14">
        <v>0.14000000000000001</v>
      </c>
      <c r="AE21" s="14">
        <v>0.15</v>
      </c>
      <c r="AF21" s="14">
        <v>0.14000000000000001</v>
      </c>
    </row>
    <row r="22" spans="1:32">
      <c r="A22" s="19"/>
      <c r="B22" s="11" t="s">
        <v>582</v>
      </c>
      <c r="C22" s="12">
        <v>3501</v>
      </c>
      <c r="D22" s="12">
        <v>161</v>
      </c>
      <c r="E22" s="12">
        <v>104</v>
      </c>
      <c r="F22" s="12">
        <v>108</v>
      </c>
      <c r="G22" s="12">
        <v>69</v>
      </c>
      <c r="H22" s="12">
        <v>101</v>
      </c>
      <c r="I22" s="12">
        <v>128</v>
      </c>
      <c r="J22" s="12">
        <v>27</v>
      </c>
      <c r="K22" s="12">
        <v>74</v>
      </c>
      <c r="L22" s="12">
        <v>127</v>
      </c>
      <c r="M22" s="12">
        <v>183</v>
      </c>
      <c r="N22" s="12">
        <v>176</v>
      </c>
      <c r="O22" s="12">
        <v>128</v>
      </c>
      <c r="P22" s="12">
        <v>64</v>
      </c>
      <c r="Q22" s="12">
        <v>191</v>
      </c>
      <c r="R22" s="12">
        <v>56</v>
      </c>
      <c r="S22" s="12">
        <v>109</v>
      </c>
      <c r="T22" s="12">
        <v>37</v>
      </c>
      <c r="U22" s="12">
        <v>67</v>
      </c>
      <c r="V22" s="12">
        <v>113</v>
      </c>
      <c r="W22" s="12">
        <v>76</v>
      </c>
      <c r="X22" s="12">
        <v>130</v>
      </c>
      <c r="Y22" s="12">
        <v>99</v>
      </c>
      <c r="Z22" s="12">
        <v>160</v>
      </c>
      <c r="AA22" s="12">
        <v>146</v>
      </c>
      <c r="AB22" s="12">
        <v>175</v>
      </c>
      <c r="AC22" s="12">
        <v>56</v>
      </c>
      <c r="AD22" s="12">
        <v>79</v>
      </c>
      <c r="AE22" s="12">
        <v>102</v>
      </c>
      <c r="AF22" s="12">
        <v>87</v>
      </c>
    </row>
    <row r="23" spans="1:32">
      <c r="A23" s="19"/>
      <c r="B23" s="13" t="s">
        <v>582</v>
      </c>
      <c r="C23" s="14">
        <v>0.13</v>
      </c>
      <c r="D23" s="14">
        <v>0.16</v>
      </c>
      <c r="E23" s="14">
        <v>0.1</v>
      </c>
      <c r="F23" s="14">
        <v>0.1</v>
      </c>
      <c r="G23" s="14">
        <v>7.0000000000000007E-2</v>
      </c>
      <c r="H23" s="14">
        <v>0.08</v>
      </c>
      <c r="I23" s="14">
        <v>0.08</v>
      </c>
      <c r="J23" s="14">
        <v>0.09</v>
      </c>
      <c r="K23" s="14">
        <v>7.0000000000000007E-2</v>
      </c>
      <c r="L23" s="14">
        <v>0.13</v>
      </c>
      <c r="M23" s="14">
        <v>0.18</v>
      </c>
      <c r="N23" s="14">
        <v>0.17</v>
      </c>
      <c r="O23" s="14">
        <v>0.13</v>
      </c>
      <c r="P23" s="14">
        <v>0.06</v>
      </c>
      <c r="Q23" s="14">
        <v>0.19</v>
      </c>
      <c r="R23" s="14">
        <v>0.11</v>
      </c>
      <c r="S23" s="14">
        <v>0.11</v>
      </c>
      <c r="T23" s="14">
        <v>0.04</v>
      </c>
      <c r="U23" s="14">
        <v>0.13</v>
      </c>
      <c r="V23" s="14">
        <v>0.11</v>
      </c>
      <c r="W23" s="14">
        <v>0.15</v>
      </c>
      <c r="X23" s="14">
        <v>0.13</v>
      </c>
      <c r="Y23" s="14">
        <v>0.1</v>
      </c>
      <c r="Z23" s="14">
        <v>0.16</v>
      </c>
      <c r="AA23" s="14">
        <v>0.14000000000000001</v>
      </c>
      <c r="AB23" s="14">
        <v>0.17</v>
      </c>
      <c r="AC23" s="14">
        <v>0.06</v>
      </c>
      <c r="AD23" s="14">
        <v>0.08</v>
      </c>
      <c r="AE23" s="14">
        <v>0.1</v>
      </c>
      <c r="AF23" s="14">
        <v>0.08</v>
      </c>
    </row>
    <row r="24" spans="1:32">
      <c r="A24" s="19"/>
      <c r="B24" s="11" t="s">
        <v>908</v>
      </c>
      <c r="C24" s="12">
        <v>3696</v>
      </c>
      <c r="D24" s="12">
        <v>116</v>
      </c>
      <c r="E24" s="12">
        <v>66</v>
      </c>
      <c r="F24" s="12">
        <v>98</v>
      </c>
      <c r="G24" s="12">
        <v>78</v>
      </c>
      <c r="H24" s="12">
        <v>124</v>
      </c>
      <c r="I24" s="12">
        <v>147</v>
      </c>
      <c r="J24" s="12">
        <v>23</v>
      </c>
      <c r="K24" s="12">
        <v>102</v>
      </c>
      <c r="L24" s="12">
        <v>178</v>
      </c>
      <c r="M24" s="12">
        <v>110</v>
      </c>
      <c r="N24" s="12">
        <v>309</v>
      </c>
      <c r="O24" s="12">
        <v>171</v>
      </c>
      <c r="P24" s="12">
        <v>141</v>
      </c>
      <c r="Q24" s="12">
        <v>125</v>
      </c>
      <c r="R24" s="12">
        <v>83</v>
      </c>
      <c r="S24" s="12">
        <v>229</v>
      </c>
      <c r="T24" s="12">
        <v>77</v>
      </c>
      <c r="U24" s="12">
        <v>160</v>
      </c>
      <c r="V24" s="12">
        <v>45</v>
      </c>
      <c r="W24" s="12">
        <v>77</v>
      </c>
      <c r="X24" s="12">
        <v>81</v>
      </c>
      <c r="Y24" s="12">
        <v>82</v>
      </c>
      <c r="Z24" s="12">
        <v>147</v>
      </c>
      <c r="AA24" s="12">
        <v>193</v>
      </c>
      <c r="AB24" s="12">
        <v>81</v>
      </c>
      <c r="AC24" s="12">
        <v>120</v>
      </c>
      <c r="AD24" s="12">
        <v>88</v>
      </c>
      <c r="AE24" s="12">
        <v>152</v>
      </c>
      <c r="AF24" s="12">
        <v>98</v>
      </c>
    </row>
    <row r="25" spans="1:32">
      <c r="A25" s="19"/>
      <c r="B25" s="13" t="s">
        <v>909</v>
      </c>
      <c r="C25" s="14">
        <v>0.14000000000000001</v>
      </c>
      <c r="D25" s="14">
        <v>0.11</v>
      </c>
      <c r="E25" s="14">
        <v>0.06</v>
      </c>
      <c r="F25" s="14">
        <v>0.09</v>
      </c>
      <c r="G25" s="14">
        <v>0.08</v>
      </c>
      <c r="H25" s="14">
        <v>0.1</v>
      </c>
      <c r="I25" s="14">
        <v>0.1</v>
      </c>
      <c r="J25" s="14">
        <v>0.08</v>
      </c>
      <c r="K25" s="14">
        <v>0.1</v>
      </c>
      <c r="L25" s="14">
        <v>0.18</v>
      </c>
      <c r="M25" s="14">
        <v>0.11</v>
      </c>
      <c r="N25" s="14">
        <v>0.31</v>
      </c>
      <c r="O25" s="14">
        <v>0.17</v>
      </c>
      <c r="P25" s="14">
        <v>0.14000000000000001</v>
      </c>
      <c r="Q25" s="14">
        <v>0.12</v>
      </c>
      <c r="R25" s="14">
        <v>0.17</v>
      </c>
      <c r="S25" s="14">
        <v>0.23</v>
      </c>
      <c r="T25" s="14">
        <v>0.08</v>
      </c>
      <c r="U25" s="14">
        <v>0.32</v>
      </c>
      <c r="V25" s="14">
        <v>0.04</v>
      </c>
      <c r="W25" s="14">
        <v>0.15</v>
      </c>
      <c r="X25" s="14">
        <v>0.08</v>
      </c>
      <c r="Y25" s="14">
        <v>0.08</v>
      </c>
      <c r="Z25" s="14">
        <v>0.14000000000000001</v>
      </c>
      <c r="AA25" s="14">
        <v>0.19</v>
      </c>
      <c r="AB25" s="14">
        <v>0.08</v>
      </c>
      <c r="AC25" s="14">
        <v>0.12</v>
      </c>
      <c r="AD25" s="14">
        <v>0.09</v>
      </c>
      <c r="AE25" s="14">
        <v>0.15</v>
      </c>
      <c r="AF25" s="14">
        <v>0.09</v>
      </c>
    </row>
    <row r="26" spans="1:32">
      <c r="A26" s="19"/>
      <c r="B26" s="11" t="s">
        <v>910</v>
      </c>
      <c r="C26" s="12">
        <v>1009</v>
      </c>
      <c r="D26" s="12">
        <v>11</v>
      </c>
      <c r="E26" s="12">
        <v>92</v>
      </c>
      <c r="F26" s="12">
        <v>45</v>
      </c>
      <c r="G26" s="12">
        <v>26</v>
      </c>
      <c r="H26" s="12">
        <v>56</v>
      </c>
      <c r="I26" s="12">
        <v>64</v>
      </c>
      <c r="J26" s="12">
        <v>8</v>
      </c>
      <c r="K26" s="12">
        <v>77</v>
      </c>
      <c r="L26" s="12">
        <v>25</v>
      </c>
      <c r="M26" s="12">
        <v>91</v>
      </c>
      <c r="N26" s="12">
        <v>30</v>
      </c>
      <c r="O26" s="12">
        <v>54</v>
      </c>
      <c r="P26" s="12">
        <v>41</v>
      </c>
      <c r="Q26" s="12">
        <v>14</v>
      </c>
      <c r="R26" s="12">
        <v>14</v>
      </c>
      <c r="S26" s="12">
        <v>64</v>
      </c>
      <c r="T26" s="12">
        <v>122</v>
      </c>
      <c r="U26" s="12">
        <v>6</v>
      </c>
      <c r="V26" s="12">
        <v>28</v>
      </c>
      <c r="W26" s="12">
        <v>13</v>
      </c>
      <c r="X26" s="12">
        <v>5</v>
      </c>
      <c r="Y26" s="12">
        <v>54</v>
      </c>
      <c r="Z26" s="12">
        <v>26</v>
      </c>
      <c r="AA26" s="12">
        <v>71</v>
      </c>
      <c r="AB26" s="12">
        <v>63</v>
      </c>
      <c r="AC26" s="12">
        <v>61</v>
      </c>
      <c r="AD26" s="12">
        <v>73</v>
      </c>
      <c r="AE26" s="12">
        <v>28</v>
      </c>
      <c r="AF26" s="12">
        <v>27</v>
      </c>
    </row>
    <row r="27" spans="1:32">
      <c r="A27" s="19"/>
      <c r="B27" s="13" t="s">
        <v>911</v>
      </c>
      <c r="C27" s="14">
        <v>0.04</v>
      </c>
      <c r="D27" s="14">
        <v>0.01</v>
      </c>
      <c r="E27" s="14">
        <v>0.09</v>
      </c>
      <c r="F27" s="14">
        <v>0.04</v>
      </c>
      <c r="G27" s="14">
        <v>0.02</v>
      </c>
      <c r="H27" s="14">
        <v>0.05</v>
      </c>
      <c r="I27" s="14">
        <v>0.04</v>
      </c>
      <c r="J27" s="14">
        <v>0.03</v>
      </c>
      <c r="K27" s="14">
        <v>0.08</v>
      </c>
      <c r="L27" s="14">
        <v>0.02</v>
      </c>
      <c r="M27" s="14">
        <v>0.09</v>
      </c>
      <c r="N27" s="14">
        <v>0.03</v>
      </c>
      <c r="O27" s="14">
        <v>0.06</v>
      </c>
      <c r="P27" s="14">
        <v>0.04</v>
      </c>
      <c r="Q27" s="14">
        <v>0.01</v>
      </c>
      <c r="R27" s="14">
        <v>0.03</v>
      </c>
      <c r="S27" s="14">
        <v>0.06</v>
      </c>
      <c r="T27" s="14">
        <v>0.12</v>
      </c>
      <c r="U27" s="14">
        <v>0.01</v>
      </c>
      <c r="V27" s="14">
        <v>0.03</v>
      </c>
      <c r="W27" s="14">
        <v>0.03</v>
      </c>
      <c r="X27" s="14">
        <v>0.01</v>
      </c>
      <c r="Y27" s="14">
        <v>0.05</v>
      </c>
      <c r="Z27" s="14">
        <v>0.03</v>
      </c>
      <c r="AA27" s="14">
        <v>7.0000000000000007E-2</v>
      </c>
      <c r="AB27" s="14">
        <v>0.06</v>
      </c>
      <c r="AC27" s="14">
        <v>0.06</v>
      </c>
      <c r="AD27" s="14">
        <v>7.0000000000000007E-2</v>
      </c>
      <c r="AE27" s="14">
        <v>0.03</v>
      </c>
      <c r="AF27" s="14">
        <v>0.03</v>
      </c>
    </row>
    <row r="28" spans="1:32">
      <c r="A28" s="19"/>
      <c r="B28" s="11" t="s">
        <v>386</v>
      </c>
      <c r="C28" s="12">
        <v>220</v>
      </c>
      <c r="D28" s="12">
        <v>2</v>
      </c>
      <c r="E28" s="12">
        <v>25</v>
      </c>
      <c r="F28" s="12">
        <v>3</v>
      </c>
      <c r="G28" s="12">
        <v>26</v>
      </c>
      <c r="H28" s="12">
        <v>6</v>
      </c>
      <c r="I28" s="12">
        <v>7</v>
      </c>
      <c r="J28" s="12">
        <v>1</v>
      </c>
      <c r="K28" s="12">
        <v>18</v>
      </c>
      <c r="L28" s="12">
        <v>6</v>
      </c>
      <c r="M28" s="12">
        <v>6</v>
      </c>
      <c r="N28" s="12">
        <v>3</v>
      </c>
      <c r="O28" s="12">
        <v>19</v>
      </c>
      <c r="P28" s="12">
        <v>14</v>
      </c>
      <c r="Q28" s="12">
        <v>8</v>
      </c>
      <c r="R28" s="12">
        <v>12</v>
      </c>
      <c r="S28" s="12">
        <v>13</v>
      </c>
      <c r="T28" s="12">
        <v>20</v>
      </c>
      <c r="U28" s="12">
        <v>5</v>
      </c>
      <c r="V28" s="12">
        <v>5</v>
      </c>
      <c r="W28" s="12">
        <v>3</v>
      </c>
      <c r="X28" s="12">
        <v>4</v>
      </c>
      <c r="Y28" s="12">
        <v>4</v>
      </c>
      <c r="Z28" s="12">
        <v>5</v>
      </c>
      <c r="AA28" s="12">
        <v>17</v>
      </c>
      <c r="AB28" s="12">
        <v>9</v>
      </c>
      <c r="AC28" s="12">
        <v>3</v>
      </c>
      <c r="AD28" s="12">
        <v>4</v>
      </c>
      <c r="AE28" s="12">
        <v>7</v>
      </c>
      <c r="AF28" s="12">
        <v>3</v>
      </c>
    </row>
    <row r="29" spans="1:32">
      <c r="A29" s="19"/>
      <c r="B29" s="13" t="s">
        <v>399</v>
      </c>
      <c r="C29" s="14">
        <v>0.01</v>
      </c>
      <c r="D29" s="15" t="s">
        <v>375</v>
      </c>
      <c r="E29" s="14">
        <v>0.02</v>
      </c>
      <c r="F29" s="15" t="s">
        <v>375</v>
      </c>
      <c r="G29" s="14">
        <v>0.03</v>
      </c>
      <c r="H29" s="15" t="s">
        <v>375</v>
      </c>
      <c r="I29" s="15" t="s">
        <v>375</v>
      </c>
      <c r="J29" s="14">
        <v>0.01</v>
      </c>
      <c r="K29" s="14">
        <v>0.02</v>
      </c>
      <c r="L29" s="15" t="s">
        <v>375</v>
      </c>
      <c r="M29" s="14">
        <v>0.01</v>
      </c>
      <c r="N29" s="15" t="s">
        <v>375</v>
      </c>
      <c r="O29" s="14">
        <v>0.02</v>
      </c>
      <c r="P29" s="14">
        <v>0.02</v>
      </c>
      <c r="Q29" s="14">
        <v>0.01</v>
      </c>
      <c r="R29" s="14">
        <v>0.02</v>
      </c>
      <c r="S29" s="14">
        <v>0.01</v>
      </c>
      <c r="T29" s="14">
        <v>0.02</v>
      </c>
      <c r="U29" s="14">
        <v>0.01</v>
      </c>
      <c r="V29" s="14">
        <v>0.01</v>
      </c>
      <c r="W29" s="15" t="s">
        <v>375</v>
      </c>
      <c r="X29" s="14">
        <v>0.01</v>
      </c>
      <c r="Y29" s="15" t="s">
        <v>375</v>
      </c>
      <c r="Z29" s="15" t="s">
        <v>375</v>
      </c>
      <c r="AA29" s="14">
        <v>0.02</v>
      </c>
      <c r="AB29" s="14">
        <v>0.01</v>
      </c>
      <c r="AC29" s="15" t="s">
        <v>375</v>
      </c>
      <c r="AD29" s="15" t="s">
        <v>375</v>
      </c>
      <c r="AE29" s="14">
        <v>0.01</v>
      </c>
      <c r="AF29" s="15" t="s">
        <v>375</v>
      </c>
    </row>
    <row r="30" spans="1:32">
      <c r="A30" s="19"/>
      <c r="B30" s="11" t="s">
        <v>912</v>
      </c>
      <c r="C30" s="12">
        <v>7791</v>
      </c>
      <c r="D30" s="12">
        <v>248</v>
      </c>
      <c r="E30" s="12">
        <v>353</v>
      </c>
      <c r="F30" s="12">
        <v>452</v>
      </c>
      <c r="G30" s="12">
        <v>492</v>
      </c>
      <c r="H30" s="12">
        <v>477</v>
      </c>
      <c r="I30" s="12">
        <v>591</v>
      </c>
      <c r="J30" s="12">
        <v>114</v>
      </c>
      <c r="K30" s="12">
        <v>462</v>
      </c>
      <c r="L30" s="12">
        <v>255</v>
      </c>
      <c r="M30" s="12">
        <v>280</v>
      </c>
      <c r="N30" s="12">
        <v>162</v>
      </c>
      <c r="O30" s="12">
        <v>285</v>
      </c>
      <c r="P30" s="12">
        <v>351</v>
      </c>
      <c r="Q30" s="12">
        <v>273</v>
      </c>
      <c r="R30" s="12">
        <v>141</v>
      </c>
      <c r="S30" s="12">
        <v>291</v>
      </c>
      <c r="T30" s="12">
        <v>456</v>
      </c>
      <c r="U30" s="12">
        <v>125</v>
      </c>
      <c r="V30" s="12">
        <v>358</v>
      </c>
      <c r="W30" s="12">
        <v>169</v>
      </c>
      <c r="X30" s="12">
        <v>380</v>
      </c>
      <c r="Y30" s="12">
        <v>403</v>
      </c>
      <c r="Z30" s="12">
        <v>148</v>
      </c>
      <c r="AA30" s="12">
        <v>161</v>
      </c>
      <c r="AB30" s="12">
        <v>249</v>
      </c>
      <c r="AC30" s="12">
        <v>553</v>
      </c>
      <c r="AD30" s="12">
        <v>438</v>
      </c>
      <c r="AE30" s="12">
        <v>433</v>
      </c>
      <c r="AF30" s="12">
        <v>471</v>
      </c>
    </row>
    <row r="31" spans="1:32">
      <c r="A31" s="19"/>
      <c r="B31" s="13" t="s">
        <v>913</v>
      </c>
      <c r="C31" s="14">
        <v>0.28999999999999998</v>
      </c>
      <c r="D31" s="14">
        <v>0.24</v>
      </c>
      <c r="E31" s="14">
        <v>0.34</v>
      </c>
      <c r="F31" s="14">
        <v>0.43</v>
      </c>
      <c r="G31" s="14">
        <v>0.48</v>
      </c>
      <c r="H31" s="14">
        <v>0.39</v>
      </c>
      <c r="I31" s="14">
        <v>0.39</v>
      </c>
      <c r="J31" s="14">
        <v>0.38</v>
      </c>
      <c r="K31" s="14">
        <v>0.46</v>
      </c>
      <c r="L31" s="14">
        <v>0.26</v>
      </c>
      <c r="M31" s="14">
        <v>0.27</v>
      </c>
      <c r="N31" s="14">
        <v>0.16</v>
      </c>
      <c r="O31" s="14">
        <v>0.28000000000000003</v>
      </c>
      <c r="P31" s="14">
        <v>0.35</v>
      </c>
      <c r="Q31" s="14">
        <v>0.26</v>
      </c>
      <c r="R31" s="14">
        <v>0.28000000000000003</v>
      </c>
      <c r="S31" s="14">
        <v>0.28999999999999998</v>
      </c>
      <c r="T31" s="14">
        <v>0.44</v>
      </c>
      <c r="U31" s="14">
        <v>0.25</v>
      </c>
      <c r="V31" s="14">
        <v>0.34</v>
      </c>
      <c r="W31" s="14">
        <v>0.34</v>
      </c>
      <c r="X31" s="14">
        <v>0.37</v>
      </c>
      <c r="Y31" s="14">
        <v>0.41</v>
      </c>
      <c r="Z31" s="14">
        <v>0.15</v>
      </c>
      <c r="AA31" s="14">
        <v>0.15</v>
      </c>
      <c r="AB31" s="14">
        <v>0.24</v>
      </c>
      <c r="AC31" s="14">
        <v>0.55000000000000004</v>
      </c>
      <c r="AD31" s="14">
        <v>0.44</v>
      </c>
      <c r="AE31" s="14">
        <v>0.43</v>
      </c>
      <c r="AF31" s="14">
        <v>0.46</v>
      </c>
    </row>
    <row r="32" spans="1:32">
      <c r="A32" s="19"/>
      <c r="B32" s="11" t="s">
        <v>914</v>
      </c>
      <c r="C32" s="12">
        <v>4878</v>
      </c>
      <c r="D32" s="12">
        <v>242</v>
      </c>
      <c r="E32" s="12">
        <v>224</v>
      </c>
      <c r="F32" s="12">
        <v>201</v>
      </c>
      <c r="G32" s="12">
        <v>167</v>
      </c>
      <c r="H32" s="12">
        <v>293</v>
      </c>
      <c r="I32" s="12">
        <v>362</v>
      </c>
      <c r="J32" s="12">
        <v>69</v>
      </c>
      <c r="K32" s="12">
        <v>139</v>
      </c>
      <c r="L32" s="12">
        <v>195</v>
      </c>
      <c r="M32" s="12">
        <v>151</v>
      </c>
      <c r="N32" s="12">
        <v>137</v>
      </c>
      <c r="O32" s="12">
        <v>143</v>
      </c>
      <c r="P32" s="12">
        <v>170</v>
      </c>
      <c r="Q32" s="12">
        <v>168</v>
      </c>
      <c r="R32" s="12">
        <v>84</v>
      </c>
      <c r="S32" s="12">
        <v>154</v>
      </c>
      <c r="T32" s="12">
        <v>175</v>
      </c>
      <c r="U32" s="12">
        <v>45</v>
      </c>
      <c r="V32" s="12">
        <v>274</v>
      </c>
      <c r="W32" s="12">
        <v>94</v>
      </c>
      <c r="X32" s="12">
        <v>205</v>
      </c>
      <c r="Y32" s="12">
        <v>197</v>
      </c>
      <c r="Z32" s="12">
        <v>224</v>
      </c>
      <c r="AA32" s="12">
        <v>200</v>
      </c>
      <c r="AB32" s="12">
        <v>171</v>
      </c>
      <c r="AC32" s="12">
        <v>121</v>
      </c>
      <c r="AD32" s="12">
        <v>177</v>
      </c>
      <c r="AE32" s="12">
        <v>131</v>
      </c>
      <c r="AF32" s="12">
        <v>201</v>
      </c>
    </row>
    <row r="33" spans="1:32">
      <c r="A33" s="19"/>
      <c r="B33" s="13" t="s">
        <v>915</v>
      </c>
      <c r="C33" s="14">
        <v>0.19</v>
      </c>
      <c r="D33" s="14">
        <v>0.24</v>
      </c>
      <c r="E33" s="14">
        <v>0.21</v>
      </c>
      <c r="F33" s="14">
        <v>0.19</v>
      </c>
      <c r="G33" s="14">
        <v>0.16</v>
      </c>
      <c r="H33" s="14">
        <v>0.24</v>
      </c>
      <c r="I33" s="14">
        <v>0.24</v>
      </c>
      <c r="J33" s="14">
        <v>0.23</v>
      </c>
      <c r="K33" s="14">
        <v>0.14000000000000001</v>
      </c>
      <c r="L33" s="14">
        <v>0.19</v>
      </c>
      <c r="M33" s="14">
        <v>0.15</v>
      </c>
      <c r="N33" s="14">
        <v>0.14000000000000001</v>
      </c>
      <c r="O33" s="14">
        <v>0.14000000000000001</v>
      </c>
      <c r="P33" s="14">
        <v>0.17</v>
      </c>
      <c r="Q33" s="14">
        <v>0.16</v>
      </c>
      <c r="R33" s="14">
        <v>0.17</v>
      </c>
      <c r="S33" s="14">
        <v>0.15</v>
      </c>
      <c r="T33" s="14">
        <v>0.17</v>
      </c>
      <c r="U33" s="14">
        <v>0.09</v>
      </c>
      <c r="V33" s="14">
        <v>0.27</v>
      </c>
      <c r="W33" s="14">
        <v>0.19</v>
      </c>
      <c r="X33" s="14">
        <v>0.2</v>
      </c>
      <c r="Y33" s="14">
        <v>0.2</v>
      </c>
      <c r="Z33" s="14">
        <v>0.22</v>
      </c>
      <c r="AA33" s="14">
        <v>0.19</v>
      </c>
      <c r="AB33" s="14">
        <v>0.16</v>
      </c>
      <c r="AC33" s="14">
        <v>0.12</v>
      </c>
      <c r="AD33" s="14">
        <v>0.18</v>
      </c>
      <c r="AE33" s="14">
        <v>0.13</v>
      </c>
      <c r="AF33" s="14">
        <v>0.2</v>
      </c>
    </row>
    <row r="34" spans="1:32">
      <c r="A34" s="19"/>
      <c r="B34" s="11" t="s">
        <v>916</v>
      </c>
      <c r="C34" s="12">
        <v>12555</v>
      </c>
      <c r="D34" s="12">
        <v>518</v>
      </c>
      <c r="E34" s="12">
        <v>352</v>
      </c>
      <c r="F34" s="12">
        <v>364</v>
      </c>
      <c r="G34" s="12">
        <v>306</v>
      </c>
      <c r="H34" s="12">
        <v>397</v>
      </c>
      <c r="I34" s="12">
        <v>502</v>
      </c>
      <c r="J34" s="12">
        <v>104</v>
      </c>
      <c r="K34" s="12">
        <v>310</v>
      </c>
      <c r="L34" s="12">
        <v>525</v>
      </c>
      <c r="M34" s="12">
        <v>480</v>
      </c>
      <c r="N34" s="12">
        <v>679</v>
      </c>
      <c r="O34" s="12">
        <v>503</v>
      </c>
      <c r="P34" s="12">
        <v>428</v>
      </c>
      <c r="Q34" s="12">
        <v>568</v>
      </c>
      <c r="R34" s="12">
        <v>249</v>
      </c>
      <c r="S34" s="12">
        <v>483</v>
      </c>
      <c r="T34" s="12">
        <v>251</v>
      </c>
      <c r="U34" s="12">
        <v>326</v>
      </c>
      <c r="V34" s="12">
        <v>362</v>
      </c>
      <c r="W34" s="12">
        <v>224</v>
      </c>
      <c r="X34" s="12">
        <v>416</v>
      </c>
      <c r="Y34" s="12">
        <v>345</v>
      </c>
      <c r="Z34" s="12">
        <v>613</v>
      </c>
      <c r="AA34" s="12">
        <v>589</v>
      </c>
      <c r="AB34" s="12">
        <v>549</v>
      </c>
      <c r="AC34" s="12">
        <v>267</v>
      </c>
      <c r="AD34" s="12">
        <v>312</v>
      </c>
      <c r="AE34" s="12">
        <v>402</v>
      </c>
      <c r="AF34" s="12">
        <v>330</v>
      </c>
    </row>
    <row r="35" spans="1:32">
      <c r="A35" s="19"/>
      <c r="B35" s="13" t="s">
        <v>917</v>
      </c>
      <c r="C35" s="14">
        <v>0.47</v>
      </c>
      <c r="D35" s="14">
        <v>0.51</v>
      </c>
      <c r="E35" s="14">
        <v>0.34</v>
      </c>
      <c r="F35" s="14">
        <v>0.34</v>
      </c>
      <c r="G35" s="14">
        <v>0.31</v>
      </c>
      <c r="H35" s="14">
        <v>0.32</v>
      </c>
      <c r="I35" s="14">
        <v>0.33</v>
      </c>
      <c r="J35" s="14">
        <v>0.35</v>
      </c>
      <c r="K35" s="14">
        <v>0.3</v>
      </c>
      <c r="L35" s="14">
        <v>0.53</v>
      </c>
      <c r="M35" s="14">
        <v>0.48</v>
      </c>
      <c r="N35" s="14">
        <v>0.67</v>
      </c>
      <c r="O35" s="14">
        <v>0.5</v>
      </c>
      <c r="P35" s="14">
        <v>0.42</v>
      </c>
      <c r="Q35" s="14">
        <v>0.56000000000000005</v>
      </c>
      <c r="R35" s="14">
        <v>0.5</v>
      </c>
      <c r="S35" s="14">
        <v>0.49</v>
      </c>
      <c r="T35" s="14">
        <v>0.25</v>
      </c>
      <c r="U35" s="14">
        <v>0.64</v>
      </c>
      <c r="V35" s="14">
        <v>0.35</v>
      </c>
      <c r="W35" s="14">
        <v>0.44</v>
      </c>
      <c r="X35" s="14">
        <v>0.41</v>
      </c>
      <c r="Y35" s="14">
        <v>0.34</v>
      </c>
      <c r="Z35" s="14">
        <v>0.6</v>
      </c>
      <c r="AA35" s="14">
        <v>0.57000000000000006</v>
      </c>
      <c r="AB35" s="14">
        <v>0.53</v>
      </c>
      <c r="AC35" s="14">
        <v>0.27</v>
      </c>
      <c r="AD35" s="14">
        <v>0.31</v>
      </c>
      <c r="AE35" s="14">
        <v>0.4</v>
      </c>
      <c r="AF35" s="14">
        <v>0.31</v>
      </c>
    </row>
  </sheetData>
  <mergeCells count="10">
    <mergeCell ref="A30:A35"/>
    <mergeCell ref="H4:L4"/>
    <mergeCell ref="B4:F4"/>
    <mergeCell ref="H3:L3"/>
    <mergeCell ref="C8:AF8"/>
    <mergeCell ref="A10:A29"/>
    <mergeCell ref="B5:F5"/>
    <mergeCell ref="B3:F3"/>
    <mergeCell ref="H5:L5"/>
    <mergeCell ref="B10:B11"/>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3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96" customHeight="1">
      <c r="B3" s="17" t="s">
        <v>918</v>
      </c>
      <c r="C3" s="17"/>
      <c r="D3" s="17"/>
      <c r="E3" s="17"/>
      <c r="F3" s="17"/>
      <c r="H3" s="17" t="s">
        <v>919</v>
      </c>
      <c r="I3" s="17"/>
      <c r="J3" s="17"/>
      <c r="K3" s="17"/>
      <c r="L3" s="17"/>
    </row>
    <row r="4" spans="1:32" ht="27" customHeight="1">
      <c r="B4" s="17" t="s">
        <v>920</v>
      </c>
      <c r="C4" s="17"/>
      <c r="D4" s="17"/>
      <c r="E4" s="17"/>
      <c r="F4" s="17"/>
      <c r="H4" s="17" t="s">
        <v>921</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906</v>
      </c>
      <c r="C12" s="12">
        <v>4162</v>
      </c>
      <c r="D12" s="12">
        <v>114</v>
      </c>
      <c r="E12" s="12">
        <v>173</v>
      </c>
      <c r="F12" s="12">
        <v>189</v>
      </c>
      <c r="G12" s="12">
        <v>387</v>
      </c>
      <c r="H12" s="12">
        <v>291</v>
      </c>
      <c r="I12" s="12">
        <v>343</v>
      </c>
      <c r="J12" s="12">
        <v>52</v>
      </c>
      <c r="K12" s="12">
        <v>238</v>
      </c>
      <c r="L12" s="12">
        <v>146</v>
      </c>
      <c r="M12" s="12">
        <v>100</v>
      </c>
      <c r="N12" s="12">
        <v>121</v>
      </c>
      <c r="O12" s="12">
        <v>156</v>
      </c>
      <c r="P12" s="12">
        <v>174</v>
      </c>
      <c r="Q12" s="12">
        <v>116</v>
      </c>
      <c r="R12" s="12">
        <v>69</v>
      </c>
      <c r="S12" s="12">
        <v>190</v>
      </c>
      <c r="T12" s="12">
        <v>247</v>
      </c>
      <c r="U12" s="12">
        <v>119</v>
      </c>
      <c r="V12" s="12">
        <v>94</v>
      </c>
      <c r="W12" s="12">
        <v>58</v>
      </c>
      <c r="X12" s="12">
        <v>151</v>
      </c>
      <c r="Y12" s="12">
        <v>260</v>
      </c>
      <c r="Z12" s="12">
        <v>33</v>
      </c>
      <c r="AA12" s="12">
        <v>60</v>
      </c>
      <c r="AB12" s="12">
        <v>110</v>
      </c>
      <c r="AC12" s="12">
        <v>377</v>
      </c>
      <c r="AD12" s="12">
        <v>126</v>
      </c>
      <c r="AE12" s="12">
        <v>356</v>
      </c>
      <c r="AF12" s="12">
        <v>486</v>
      </c>
    </row>
    <row r="13" spans="1:32">
      <c r="A13" s="19"/>
      <c r="B13" s="13" t="s">
        <v>907</v>
      </c>
      <c r="C13" s="14">
        <v>0.16</v>
      </c>
      <c r="D13" s="14">
        <v>0.11</v>
      </c>
      <c r="E13" s="14">
        <v>0.17</v>
      </c>
      <c r="F13" s="14">
        <v>0.18</v>
      </c>
      <c r="G13" s="14">
        <v>0.38</v>
      </c>
      <c r="H13" s="14">
        <v>0.24</v>
      </c>
      <c r="I13" s="14">
        <v>0.23</v>
      </c>
      <c r="J13" s="14">
        <v>0.18</v>
      </c>
      <c r="K13" s="14">
        <v>0.24</v>
      </c>
      <c r="L13" s="14">
        <v>0.15</v>
      </c>
      <c r="M13" s="14">
        <v>0.1</v>
      </c>
      <c r="N13" s="14">
        <v>0.12</v>
      </c>
      <c r="O13" s="14">
        <v>0.15</v>
      </c>
      <c r="P13" s="14">
        <v>0.17</v>
      </c>
      <c r="Q13" s="14">
        <v>0.11</v>
      </c>
      <c r="R13" s="14">
        <v>0.14000000000000001</v>
      </c>
      <c r="S13" s="14">
        <v>0.19</v>
      </c>
      <c r="T13" s="14">
        <v>0.24</v>
      </c>
      <c r="U13" s="14">
        <v>0.24</v>
      </c>
      <c r="V13" s="14">
        <v>0.09</v>
      </c>
      <c r="W13" s="14">
        <v>0.11</v>
      </c>
      <c r="X13" s="14">
        <v>0.15</v>
      </c>
      <c r="Y13" s="14">
        <v>0.26</v>
      </c>
      <c r="Z13" s="14">
        <v>0.03</v>
      </c>
      <c r="AA13" s="14">
        <v>0.06</v>
      </c>
      <c r="AB13" s="14">
        <v>0.1</v>
      </c>
      <c r="AC13" s="14">
        <v>0.38</v>
      </c>
      <c r="AD13" s="14">
        <v>0.13</v>
      </c>
      <c r="AE13" s="14">
        <v>0.35</v>
      </c>
      <c r="AF13" s="14">
        <v>0.47</v>
      </c>
    </row>
    <row r="14" spans="1:32">
      <c r="A14" s="19"/>
      <c r="B14" s="11" t="s">
        <v>578</v>
      </c>
      <c r="C14" s="12">
        <v>2529</v>
      </c>
      <c r="D14" s="12">
        <v>94</v>
      </c>
      <c r="E14" s="12">
        <v>75</v>
      </c>
      <c r="F14" s="12">
        <v>102</v>
      </c>
      <c r="G14" s="12">
        <v>172</v>
      </c>
      <c r="H14" s="12">
        <v>201</v>
      </c>
      <c r="I14" s="12">
        <v>239</v>
      </c>
      <c r="J14" s="12">
        <v>37</v>
      </c>
      <c r="K14" s="12">
        <v>163</v>
      </c>
      <c r="L14" s="12">
        <v>96</v>
      </c>
      <c r="M14" s="12">
        <v>70</v>
      </c>
      <c r="N14" s="12">
        <v>63</v>
      </c>
      <c r="O14" s="12">
        <v>82</v>
      </c>
      <c r="P14" s="12">
        <v>86</v>
      </c>
      <c r="Q14" s="12">
        <v>49</v>
      </c>
      <c r="R14" s="12">
        <v>45</v>
      </c>
      <c r="S14" s="12">
        <v>72</v>
      </c>
      <c r="T14" s="12">
        <v>115</v>
      </c>
      <c r="U14" s="12">
        <v>44</v>
      </c>
      <c r="V14" s="12">
        <v>64</v>
      </c>
      <c r="W14" s="12">
        <v>54</v>
      </c>
      <c r="X14" s="12">
        <v>219</v>
      </c>
      <c r="Y14" s="12">
        <v>107</v>
      </c>
      <c r="Z14" s="12">
        <v>26</v>
      </c>
      <c r="AA14" s="12">
        <v>52</v>
      </c>
      <c r="AB14" s="12">
        <v>72</v>
      </c>
      <c r="AC14" s="12">
        <v>97</v>
      </c>
      <c r="AD14" s="12">
        <v>146</v>
      </c>
      <c r="AE14" s="12">
        <v>190</v>
      </c>
      <c r="AF14" s="12">
        <v>214</v>
      </c>
    </row>
    <row r="15" spans="1:32">
      <c r="A15" s="19"/>
      <c r="B15" s="13" t="s">
        <v>578</v>
      </c>
      <c r="C15" s="14">
        <v>0.09</v>
      </c>
      <c r="D15" s="14">
        <v>0.09</v>
      </c>
      <c r="E15" s="14">
        <v>7.0000000000000007E-2</v>
      </c>
      <c r="F15" s="14">
        <v>0.1</v>
      </c>
      <c r="G15" s="14">
        <v>0.17</v>
      </c>
      <c r="H15" s="14">
        <v>0.16</v>
      </c>
      <c r="I15" s="14">
        <v>0.16</v>
      </c>
      <c r="J15" s="14">
        <v>0.12</v>
      </c>
      <c r="K15" s="14">
        <v>0.16</v>
      </c>
      <c r="L15" s="14">
        <v>0.1</v>
      </c>
      <c r="M15" s="14">
        <v>7.0000000000000007E-2</v>
      </c>
      <c r="N15" s="14">
        <v>0.06</v>
      </c>
      <c r="O15" s="14">
        <v>0.08</v>
      </c>
      <c r="P15" s="14">
        <v>0.09</v>
      </c>
      <c r="Q15" s="14">
        <v>0.05</v>
      </c>
      <c r="R15" s="14">
        <v>0.09</v>
      </c>
      <c r="S15" s="14">
        <v>7.0000000000000007E-2</v>
      </c>
      <c r="T15" s="14">
        <v>0.11</v>
      </c>
      <c r="U15" s="14">
        <v>0.09</v>
      </c>
      <c r="V15" s="14">
        <v>0.06</v>
      </c>
      <c r="W15" s="14">
        <v>0.11</v>
      </c>
      <c r="X15" s="14">
        <v>0.22</v>
      </c>
      <c r="Y15" s="14">
        <v>0.11</v>
      </c>
      <c r="Z15" s="14">
        <v>0.03</v>
      </c>
      <c r="AA15" s="14">
        <v>0.05</v>
      </c>
      <c r="AB15" s="14">
        <v>7.0000000000000007E-2</v>
      </c>
      <c r="AC15" s="14">
        <v>0.1</v>
      </c>
      <c r="AD15" s="14">
        <v>0.15</v>
      </c>
      <c r="AE15" s="14">
        <v>0.19</v>
      </c>
      <c r="AF15" s="14">
        <v>0.21</v>
      </c>
    </row>
    <row r="16" spans="1:32">
      <c r="A16" s="19"/>
      <c r="B16" s="11" t="s">
        <v>579</v>
      </c>
      <c r="C16" s="12">
        <v>3108</v>
      </c>
      <c r="D16" s="12">
        <v>142</v>
      </c>
      <c r="E16" s="12">
        <v>151</v>
      </c>
      <c r="F16" s="12">
        <v>139</v>
      </c>
      <c r="G16" s="12">
        <v>144</v>
      </c>
      <c r="H16" s="12">
        <v>194</v>
      </c>
      <c r="I16" s="12">
        <v>234</v>
      </c>
      <c r="J16" s="12">
        <v>40</v>
      </c>
      <c r="K16" s="12">
        <v>113</v>
      </c>
      <c r="L16" s="12">
        <v>138</v>
      </c>
      <c r="M16" s="12">
        <v>136</v>
      </c>
      <c r="N16" s="12">
        <v>66</v>
      </c>
      <c r="O16" s="12">
        <v>108</v>
      </c>
      <c r="P16" s="12">
        <v>117</v>
      </c>
      <c r="Q16" s="12">
        <v>114</v>
      </c>
      <c r="R16" s="12">
        <v>60</v>
      </c>
      <c r="S16" s="12">
        <v>101</v>
      </c>
      <c r="T16" s="12">
        <v>146</v>
      </c>
      <c r="U16" s="12">
        <v>58</v>
      </c>
      <c r="V16" s="12">
        <v>159</v>
      </c>
      <c r="W16" s="12">
        <v>51</v>
      </c>
      <c r="X16" s="12">
        <v>178</v>
      </c>
      <c r="Y16" s="12">
        <v>116</v>
      </c>
      <c r="Z16" s="12">
        <v>78</v>
      </c>
      <c r="AA16" s="12">
        <v>119</v>
      </c>
      <c r="AB16" s="12">
        <v>115</v>
      </c>
      <c r="AC16" s="12">
        <v>113</v>
      </c>
      <c r="AD16" s="12">
        <v>112</v>
      </c>
      <c r="AE16" s="12">
        <v>112</v>
      </c>
      <c r="AF16" s="12">
        <v>122</v>
      </c>
    </row>
    <row r="17" spans="1:32">
      <c r="A17" s="19"/>
      <c r="B17" s="13" t="s">
        <v>579</v>
      </c>
      <c r="C17" s="14">
        <v>0.12</v>
      </c>
      <c r="D17" s="14">
        <v>0.14000000000000001</v>
      </c>
      <c r="E17" s="14">
        <v>0.14000000000000001</v>
      </c>
      <c r="F17" s="14">
        <v>0.13</v>
      </c>
      <c r="G17" s="14">
        <v>0.14000000000000001</v>
      </c>
      <c r="H17" s="14">
        <v>0.16</v>
      </c>
      <c r="I17" s="14">
        <v>0.15</v>
      </c>
      <c r="J17" s="14">
        <v>0.14000000000000001</v>
      </c>
      <c r="K17" s="14">
        <v>0.11</v>
      </c>
      <c r="L17" s="14">
        <v>0.14000000000000001</v>
      </c>
      <c r="M17" s="14">
        <v>0.14000000000000001</v>
      </c>
      <c r="N17" s="14">
        <v>7.0000000000000007E-2</v>
      </c>
      <c r="O17" s="14">
        <v>0.11</v>
      </c>
      <c r="P17" s="14">
        <v>0.12</v>
      </c>
      <c r="Q17" s="14">
        <v>0.11</v>
      </c>
      <c r="R17" s="14">
        <v>0.12</v>
      </c>
      <c r="S17" s="14">
        <v>0.1</v>
      </c>
      <c r="T17" s="14">
        <v>0.14000000000000001</v>
      </c>
      <c r="U17" s="14">
        <v>0.11</v>
      </c>
      <c r="V17" s="14">
        <v>0.16</v>
      </c>
      <c r="W17" s="14">
        <v>0.1</v>
      </c>
      <c r="X17" s="14">
        <v>0.18</v>
      </c>
      <c r="Y17" s="14">
        <v>0.11</v>
      </c>
      <c r="Z17" s="14">
        <v>0.08</v>
      </c>
      <c r="AA17" s="14">
        <v>0.11</v>
      </c>
      <c r="AB17" s="14">
        <v>0.11</v>
      </c>
      <c r="AC17" s="14">
        <v>0.11</v>
      </c>
      <c r="AD17" s="14">
        <v>0.11</v>
      </c>
      <c r="AE17" s="14">
        <v>0.11</v>
      </c>
      <c r="AF17" s="14">
        <v>0.12</v>
      </c>
    </row>
    <row r="18" spans="1:32">
      <c r="A18" s="19"/>
      <c r="B18" s="11" t="s">
        <v>580</v>
      </c>
      <c r="C18" s="12">
        <v>4215</v>
      </c>
      <c r="D18" s="12">
        <v>184</v>
      </c>
      <c r="E18" s="12">
        <v>205</v>
      </c>
      <c r="F18" s="12">
        <v>213</v>
      </c>
      <c r="G18" s="12">
        <v>108</v>
      </c>
      <c r="H18" s="12">
        <v>161</v>
      </c>
      <c r="I18" s="12">
        <v>228</v>
      </c>
      <c r="J18" s="12">
        <v>67</v>
      </c>
      <c r="K18" s="12">
        <v>118</v>
      </c>
      <c r="L18" s="12">
        <v>142</v>
      </c>
      <c r="M18" s="12">
        <v>156</v>
      </c>
      <c r="N18" s="12">
        <v>124</v>
      </c>
      <c r="O18" s="12">
        <v>159</v>
      </c>
      <c r="P18" s="12">
        <v>184</v>
      </c>
      <c r="Q18" s="12">
        <v>166</v>
      </c>
      <c r="R18" s="12">
        <v>92</v>
      </c>
      <c r="S18" s="12">
        <v>144</v>
      </c>
      <c r="T18" s="12">
        <v>179</v>
      </c>
      <c r="U18" s="12">
        <v>80</v>
      </c>
      <c r="V18" s="12">
        <v>259</v>
      </c>
      <c r="W18" s="12">
        <v>80</v>
      </c>
      <c r="X18" s="12">
        <v>174</v>
      </c>
      <c r="Y18" s="12">
        <v>128</v>
      </c>
      <c r="Z18" s="12">
        <v>213</v>
      </c>
      <c r="AA18" s="12">
        <v>212</v>
      </c>
      <c r="AB18" s="12">
        <v>184</v>
      </c>
      <c r="AC18" s="12">
        <v>105</v>
      </c>
      <c r="AD18" s="12">
        <v>168</v>
      </c>
      <c r="AE18" s="12">
        <v>76</v>
      </c>
      <c r="AF18" s="12">
        <v>76</v>
      </c>
    </row>
    <row r="19" spans="1:32">
      <c r="A19" s="19"/>
      <c r="B19" s="13" t="s">
        <v>580</v>
      </c>
      <c r="C19" s="14">
        <v>0.16</v>
      </c>
      <c r="D19" s="14">
        <v>0.18</v>
      </c>
      <c r="E19" s="14">
        <v>0.2</v>
      </c>
      <c r="F19" s="14">
        <v>0.2</v>
      </c>
      <c r="G19" s="14">
        <v>0.11</v>
      </c>
      <c r="H19" s="14">
        <v>0.13</v>
      </c>
      <c r="I19" s="14">
        <v>0.15</v>
      </c>
      <c r="J19" s="14">
        <v>0.22</v>
      </c>
      <c r="K19" s="14">
        <v>0.12</v>
      </c>
      <c r="L19" s="14">
        <v>0.14000000000000001</v>
      </c>
      <c r="M19" s="14">
        <v>0.15</v>
      </c>
      <c r="N19" s="14">
        <v>0.12</v>
      </c>
      <c r="O19" s="14">
        <v>0.16</v>
      </c>
      <c r="P19" s="14">
        <v>0.18</v>
      </c>
      <c r="Q19" s="14">
        <v>0.16</v>
      </c>
      <c r="R19" s="14">
        <v>0.18</v>
      </c>
      <c r="S19" s="14">
        <v>0.14000000000000001</v>
      </c>
      <c r="T19" s="14">
        <v>0.18</v>
      </c>
      <c r="U19" s="14">
        <v>0.16</v>
      </c>
      <c r="V19" s="14">
        <v>0.25</v>
      </c>
      <c r="W19" s="14">
        <v>0.16</v>
      </c>
      <c r="X19" s="14">
        <v>0.17</v>
      </c>
      <c r="Y19" s="14">
        <v>0.13</v>
      </c>
      <c r="Z19" s="14">
        <v>0.21</v>
      </c>
      <c r="AA19" s="14">
        <v>0.2</v>
      </c>
      <c r="AB19" s="14">
        <v>0.18</v>
      </c>
      <c r="AC19" s="14">
        <v>0.1</v>
      </c>
      <c r="AD19" s="14">
        <v>0.17</v>
      </c>
      <c r="AE19" s="14">
        <v>0.08</v>
      </c>
      <c r="AF19" s="14">
        <v>7.0000000000000007E-2</v>
      </c>
    </row>
    <row r="20" spans="1:32">
      <c r="A20" s="19"/>
      <c r="B20" s="11" t="s">
        <v>581</v>
      </c>
      <c r="C20" s="12">
        <v>4693</v>
      </c>
      <c r="D20" s="12">
        <v>234</v>
      </c>
      <c r="E20" s="12">
        <v>171</v>
      </c>
      <c r="F20" s="12">
        <v>160</v>
      </c>
      <c r="G20" s="12">
        <v>68</v>
      </c>
      <c r="H20" s="12">
        <v>125</v>
      </c>
      <c r="I20" s="12">
        <v>160</v>
      </c>
      <c r="J20" s="12">
        <v>35</v>
      </c>
      <c r="K20" s="12">
        <v>92</v>
      </c>
      <c r="L20" s="12">
        <v>193</v>
      </c>
      <c r="M20" s="12">
        <v>201</v>
      </c>
      <c r="N20" s="12">
        <v>214</v>
      </c>
      <c r="O20" s="12">
        <v>166</v>
      </c>
      <c r="P20" s="12">
        <v>175</v>
      </c>
      <c r="Q20" s="12">
        <v>242</v>
      </c>
      <c r="R20" s="12">
        <v>83</v>
      </c>
      <c r="S20" s="12">
        <v>133</v>
      </c>
      <c r="T20" s="12">
        <v>96</v>
      </c>
      <c r="U20" s="12">
        <v>56</v>
      </c>
      <c r="V20" s="12">
        <v>217</v>
      </c>
      <c r="W20" s="12">
        <v>75</v>
      </c>
      <c r="X20" s="12">
        <v>136</v>
      </c>
      <c r="Y20" s="12">
        <v>129</v>
      </c>
      <c r="Z20" s="12">
        <v>297</v>
      </c>
      <c r="AA20" s="12">
        <v>196</v>
      </c>
      <c r="AB20" s="12">
        <v>249</v>
      </c>
      <c r="AC20" s="12">
        <v>76</v>
      </c>
      <c r="AD20" s="12">
        <v>166</v>
      </c>
      <c r="AE20" s="12">
        <v>81</v>
      </c>
      <c r="AF20" s="12">
        <v>49</v>
      </c>
    </row>
    <row r="21" spans="1:32">
      <c r="A21" s="19"/>
      <c r="B21" s="13" t="s">
        <v>581</v>
      </c>
      <c r="C21" s="14">
        <v>0.18</v>
      </c>
      <c r="D21" s="14">
        <v>0.23</v>
      </c>
      <c r="E21" s="14">
        <v>0.16</v>
      </c>
      <c r="F21" s="14">
        <v>0.15</v>
      </c>
      <c r="G21" s="14">
        <v>7.0000000000000007E-2</v>
      </c>
      <c r="H21" s="14">
        <v>0.1</v>
      </c>
      <c r="I21" s="14">
        <v>0.1</v>
      </c>
      <c r="J21" s="14">
        <v>0.12</v>
      </c>
      <c r="K21" s="14">
        <v>0.09</v>
      </c>
      <c r="L21" s="14">
        <v>0.19</v>
      </c>
      <c r="M21" s="14">
        <v>0.2</v>
      </c>
      <c r="N21" s="14">
        <v>0.21</v>
      </c>
      <c r="O21" s="14">
        <v>0.16</v>
      </c>
      <c r="P21" s="14">
        <v>0.17</v>
      </c>
      <c r="Q21" s="14">
        <v>0.24</v>
      </c>
      <c r="R21" s="14">
        <v>0.16</v>
      </c>
      <c r="S21" s="14">
        <v>0.13</v>
      </c>
      <c r="T21" s="14">
        <v>0.09</v>
      </c>
      <c r="U21" s="14">
        <v>0.11</v>
      </c>
      <c r="V21" s="14">
        <v>0.21</v>
      </c>
      <c r="W21" s="14">
        <v>0.15</v>
      </c>
      <c r="X21" s="14">
        <v>0.14000000000000001</v>
      </c>
      <c r="Y21" s="14">
        <v>0.13</v>
      </c>
      <c r="Z21" s="14">
        <v>0.28999999999999998</v>
      </c>
      <c r="AA21" s="14">
        <v>0.19</v>
      </c>
      <c r="AB21" s="14">
        <v>0.24</v>
      </c>
      <c r="AC21" s="14">
        <v>0.08</v>
      </c>
      <c r="AD21" s="14">
        <v>0.16</v>
      </c>
      <c r="AE21" s="14">
        <v>0.08</v>
      </c>
      <c r="AF21" s="14">
        <v>0.05</v>
      </c>
    </row>
    <row r="22" spans="1:32">
      <c r="A22" s="19"/>
      <c r="B22" s="11" t="s">
        <v>582</v>
      </c>
      <c r="C22" s="12">
        <v>3082</v>
      </c>
      <c r="D22" s="12">
        <v>143</v>
      </c>
      <c r="E22" s="12">
        <v>85</v>
      </c>
      <c r="F22" s="12">
        <v>114</v>
      </c>
      <c r="G22" s="12">
        <v>35</v>
      </c>
      <c r="H22" s="12">
        <v>85</v>
      </c>
      <c r="I22" s="12">
        <v>103</v>
      </c>
      <c r="J22" s="12">
        <v>18</v>
      </c>
      <c r="K22" s="12">
        <v>93</v>
      </c>
      <c r="L22" s="12">
        <v>105</v>
      </c>
      <c r="M22" s="12">
        <v>163</v>
      </c>
      <c r="N22" s="12">
        <v>145</v>
      </c>
      <c r="O22" s="12">
        <v>96</v>
      </c>
      <c r="P22" s="12">
        <v>76</v>
      </c>
      <c r="Q22" s="12">
        <v>187</v>
      </c>
      <c r="R22" s="12">
        <v>44</v>
      </c>
      <c r="S22" s="12">
        <v>94</v>
      </c>
      <c r="T22" s="12">
        <v>34</v>
      </c>
      <c r="U22" s="12">
        <v>47</v>
      </c>
      <c r="V22" s="12">
        <v>116</v>
      </c>
      <c r="W22" s="12">
        <v>81</v>
      </c>
      <c r="X22" s="12">
        <v>73</v>
      </c>
      <c r="Y22" s="12">
        <v>91</v>
      </c>
      <c r="Z22" s="12">
        <v>191</v>
      </c>
      <c r="AA22" s="12">
        <v>148</v>
      </c>
      <c r="AB22" s="12">
        <v>154</v>
      </c>
      <c r="AC22" s="12">
        <v>52</v>
      </c>
      <c r="AD22" s="12">
        <v>83</v>
      </c>
      <c r="AE22" s="12">
        <v>51</v>
      </c>
      <c r="AF22" s="12">
        <v>26</v>
      </c>
    </row>
    <row r="23" spans="1:32">
      <c r="A23" s="19"/>
      <c r="B23" s="13" t="s">
        <v>582</v>
      </c>
      <c r="C23" s="14">
        <v>0.11</v>
      </c>
      <c r="D23" s="14">
        <v>0.14000000000000001</v>
      </c>
      <c r="E23" s="14">
        <v>0.08</v>
      </c>
      <c r="F23" s="14">
        <v>0.11</v>
      </c>
      <c r="G23" s="14">
        <v>0.03</v>
      </c>
      <c r="H23" s="14">
        <v>7.0000000000000007E-2</v>
      </c>
      <c r="I23" s="14">
        <v>7.0000000000000007E-2</v>
      </c>
      <c r="J23" s="14">
        <v>0.06</v>
      </c>
      <c r="K23" s="14">
        <v>0.09</v>
      </c>
      <c r="L23" s="14">
        <v>0.1</v>
      </c>
      <c r="M23" s="14">
        <v>0.16</v>
      </c>
      <c r="N23" s="14">
        <v>0.14000000000000001</v>
      </c>
      <c r="O23" s="14">
        <v>0.1</v>
      </c>
      <c r="P23" s="14">
        <v>0.08</v>
      </c>
      <c r="Q23" s="14">
        <v>0.18</v>
      </c>
      <c r="R23" s="14">
        <v>0.09</v>
      </c>
      <c r="S23" s="14">
        <v>0.09</v>
      </c>
      <c r="T23" s="14">
        <v>0.03</v>
      </c>
      <c r="U23" s="14">
        <v>0.09</v>
      </c>
      <c r="V23" s="14">
        <v>0.11</v>
      </c>
      <c r="W23" s="14">
        <v>0.16</v>
      </c>
      <c r="X23" s="14">
        <v>7.0000000000000007E-2</v>
      </c>
      <c r="Y23" s="14">
        <v>0.09</v>
      </c>
      <c r="Z23" s="14">
        <v>0.19</v>
      </c>
      <c r="AA23" s="14">
        <v>0.14000000000000001</v>
      </c>
      <c r="AB23" s="14">
        <v>0.15</v>
      </c>
      <c r="AC23" s="14">
        <v>0.05</v>
      </c>
      <c r="AD23" s="14">
        <v>0.08</v>
      </c>
      <c r="AE23" s="14">
        <v>0.05</v>
      </c>
      <c r="AF23" s="14">
        <v>0.02</v>
      </c>
    </row>
    <row r="24" spans="1:32">
      <c r="A24" s="19"/>
      <c r="B24" s="11" t="s">
        <v>908</v>
      </c>
      <c r="C24" s="12">
        <v>3379</v>
      </c>
      <c r="D24" s="12">
        <v>95</v>
      </c>
      <c r="E24" s="12">
        <v>67</v>
      </c>
      <c r="F24" s="12">
        <v>99</v>
      </c>
      <c r="G24" s="12">
        <v>50</v>
      </c>
      <c r="H24" s="12">
        <v>109</v>
      </c>
      <c r="I24" s="12">
        <v>147</v>
      </c>
      <c r="J24" s="12">
        <v>38</v>
      </c>
      <c r="K24" s="12">
        <v>88</v>
      </c>
      <c r="L24" s="12">
        <v>150</v>
      </c>
      <c r="M24" s="12">
        <v>86</v>
      </c>
      <c r="N24" s="12">
        <v>241</v>
      </c>
      <c r="O24" s="12">
        <v>152</v>
      </c>
      <c r="P24" s="12">
        <v>141</v>
      </c>
      <c r="Q24" s="12">
        <v>138</v>
      </c>
      <c r="R24" s="12">
        <v>84</v>
      </c>
      <c r="S24" s="12">
        <v>188</v>
      </c>
      <c r="T24" s="12">
        <v>70</v>
      </c>
      <c r="U24" s="12">
        <v>93</v>
      </c>
      <c r="V24" s="12">
        <v>86</v>
      </c>
      <c r="W24" s="12">
        <v>85</v>
      </c>
      <c r="X24" s="12">
        <v>72</v>
      </c>
      <c r="Y24" s="12">
        <v>111</v>
      </c>
      <c r="Z24" s="12">
        <v>146</v>
      </c>
      <c r="AA24" s="12">
        <v>161</v>
      </c>
      <c r="AB24" s="12">
        <v>80</v>
      </c>
      <c r="AC24" s="12">
        <v>121</v>
      </c>
      <c r="AD24" s="12">
        <v>127</v>
      </c>
      <c r="AE24" s="12">
        <v>99</v>
      </c>
      <c r="AF24" s="12">
        <v>30</v>
      </c>
    </row>
    <row r="25" spans="1:32">
      <c r="A25" s="19"/>
      <c r="B25" s="13" t="s">
        <v>909</v>
      </c>
      <c r="C25" s="14">
        <v>0.13</v>
      </c>
      <c r="D25" s="14">
        <v>0.1</v>
      </c>
      <c r="E25" s="14">
        <v>0.06</v>
      </c>
      <c r="F25" s="14">
        <v>0.09</v>
      </c>
      <c r="G25" s="14">
        <v>0.05</v>
      </c>
      <c r="H25" s="14">
        <v>0.09</v>
      </c>
      <c r="I25" s="14">
        <v>0.1</v>
      </c>
      <c r="J25" s="14">
        <v>0.13</v>
      </c>
      <c r="K25" s="14">
        <v>0.09</v>
      </c>
      <c r="L25" s="14">
        <v>0.15</v>
      </c>
      <c r="M25" s="14">
        <v>0.08</v>
      </c>
      <c r="N25" s="14">
        <v>0.24</v>
      </c>
      <c r="O25" s="14">
        <v>0.15</v>
      </c>
      <c r="P25" s="14">
        <v>0.14000000000000001</v>
      </c>
      <c r="Q25" s="14">
        <v>0.13</v>
      </c>
      <c r="R25" s="14">
        <v>0.17</v>
      </c>
      <c r="S25" s="14">
        <v>0.19</v>
      </c>
      <c r="T25" s="14">
        <v>7.0000000000000007E-2</v>
      </c>
      <c r="U25" s="14">
        <v>0.18</v>
      </c>
      <c r="V25" s="14">
        <v>0.09</v>
      </c>
      <c r="W25" s="14">
        <v>0.17</v>
      </c>
      <c r="X25" s="14">
        <v>7.0000000000000007E-2</v>
      </c>
      <c r="Y25" s="14">
        <v>0.11</v>
      </c>
      <c r="Z25" s="14">
        <v>0.14000000000000001</v>
      </c>
      <c r="AA25" s="14">
        <v>0.16</v>
      </c>
      <c r="AB25" s="14">
        <v>0.08</v>
      </c>
      <c r="AC25" s="14">
        <v>0.12</v>
      </c>
      <c r="AD25" s="14">
        <v>0.13</v>
      </c>
      <c r="AE25" s="14">
        <v>0.1</v>
      </c>
      <c r="AF25" s="14">
        <v>0.03</v>
      </c>
    </row>
    <row r="26" spans="1:32">
      <c r="A26" s="19"/>
      <c r="B26" s="11" t="s">
        <v>910</v>
      </c>
      <c r="C26" s="12">
        <v>1040</v>
      </c>
      <c r="D26" s="12">
        <v>13</v>
      </c>
      <c r="E26" s="12">
        <v>90</v>
      </c>
      <c r="F26" s="12">
        <v>46</v>
      </c>
      <c r="G26" s="12">
        <v>27</v>
      </c>
      <c r="H26" s="12">
        <v>59</v>
      </c>
      <c r="I26" s="12">
        <v>67</v>
      </c>
      <c r="J26" s="12">
        <v>9</v>
      </c>
      <c r="K26" s="12">
        <v>78</v>
      </c>
      <c r="L26" s="12">
        <v>24</v>
      </c>
      <c r="M26" s="12">
        <v>90</v>
      </c>
      <c r="N26" s="12">
        <v>32</v>
      </c>
      <c r="O26" s="12">
        <v>58</v>
      </c>
      <c r="P26" s="12">
        <v>37</v>
      </c>
      <c r="Q26" s="12">
        <v>14</v>
      </c>
      <c r="R26" s="12">
        <v>14</v>
      </c>
      <c r="S26" s="12">
        <v>65</v>
      </c>
      <c r="T26" s="12">
        <v>120</v>
      </c>
      <c r="U26" s="12">
        <v>6</v>
      </c>
      <c r="V26" s="12">
        <v>29</v>
      </c>
      <c r="W26" s="12">
        <v>13</v>
      </c>
      <c r="X26" s="12">
        <v>3</v>
      </c>
      <c r="Y26" s="12">
        <v>52</v>
      </c>
      <c r="Z26" s="12">
        <v>27</v>
      </c>
      <c r="AA26" s="12">
        <v>72</v>
      </c>
      <c r="AB26" s="12">
        <v>62</v>
      </c>
      <c r="AC26" s="12">
        <v>60</v>
      </c>
      <c r="AD26" s="12">
        <v>73</v>
      </c>
      <c r="AE26" s="12">
        <v>26</v>
      </c>
      <c r="AF26" s="12">
        <v>27</v>
      </c>
    </row>
    <row r="27" spans="1:32">
      <c r="A27" s="19"/>
      <c r="B27" s="13" t="s">
        <v>911</v>
      </c>
      <c r="C27" s="14">
        <v>0.04</v>
      </c>
      <c r="D27" s="14">
        <v>0.01</v>
      </c>
      <c r="E27" s="14">
        <v>0.09</v>
      </c>
      <c r="F27" s="14">
        <v>0.04</v>
      </c>
      <c r="G27" s="14">
        <v>0.03</v>
      </c>
      <c r="H27" s="14">
        <v>0.05</v>
      </c>
      <c r="I27" s="14">
        <v>0.04</v>
      </c>
      <c r="J27" s="14">
        <v>0.03</v>
      </c>
      <c r="K27" s="14">
        <v>0.08</v>
      </c>
      <c r="L27" s="14">
        <v>0.02</v>
      </c>
      <c r="M27" s="14">
        <v>0.09</v>
      </c>
      <c r="N27" s="14">
        <v>0.03</v>
      </c>
      <c r="O27" s="14">
        <v>0.06</v>
      </c>
      <c r="P27" s="14">
        <v>0.04</v>
      </c>
      <c r="Q27" s="14">
        <v>0.01</v>
      </c>
      <c r="R27" s="14">
        <v>0.03</v>
      </c>
      <c r="S27" s="14">
        <v>7.0000000000000007E-2</v>
      </c>
      <c r="T27" s="14">
        <v>0.12</v>
      </c>
      <c r="U27" s="14">
        <v>0.01</v>
      </c>
      <c r="V27" s="14">
        <v>0.03</v>
      </c>
      <c r="W27" s="14">
        <v>0.03</v>
      </c>
      <c r="X27" s="15" t="s">
        <v>375</v>
      </c>
      <c r="Y27" s="14">
        <v>0.05</v>
      </c>
      <c r="Z27" s="14">
        <v>0.03</v>
      </c>
      <c r="AA27" s="14">
        <v>7.0000000000000007E-2</v>
      </c>
      <c r="AB27" s="14">
        <v>0.06</v>
      </c>
      <c r="AC27" s="14">
        <v>0.06</v>
      </c>
      <c r="AD27" s="14">
        <v>7.0000000000000007E-2</v>
      </c>
      <c r="AE27" s="14">
        <v>0.03</v>
      </c>
      <c r="AF27" s="14">
        <v>0.03</v>
      </c>
    </row>
    <row r="28" spans="1:32">
      <c r="A28" s="19"/>
      <c r="B28" s="11" t="s">
        <v>386</v>
      </c>
      <c r="C28" s="12">
        <v>245</v>
      </c>
      <c r="D28" s="12">
        <v>2</v>
      </c>
      <c r="E28" s="12">
        <v>28</v>
      </c>
      <c r="F28" s="12">
        <v>3</v>
      </c>
      <c r="G28" s="12">
        <v>25</v>
      </c>
      <c r="H28" s="12">
        <v>6</v>
      </c>
      <c r="I28" s="12">
        <v>6</v>
      </c>
      <c r="J28" s="12">
        <v>1</v>
      </c>
      <c r="K28" s="12">
        <v>23</v>
      </c>
      <c r="L28" s="12">
        <v>12</v>
      </c>
      <c r="M28" s="12">
        <v>6</v>
      </c>
      <c r="N28" s="12">
        <v>5</v>
      </c>
      <c r="O28" s="12">
        <v>26</v>
      </c>
      <c r="P28" s="12">
        <v>12</v>
      </c>
      <c r="Q28" s="12">
        <v>5</v>
      </c>
      <c r="R28" s="12">
        <v>11</v>
      </c>
      <c r="S28" s="12">
        <v>18</v>
      </c>
      <c r="T28" s="12">
        <v>16</v>
      </c>
      <c r="U28" s="12">
        <v>5</v>
      </c>
      <c r="V28" s="12">
        <v>2</v>
      </c>
      <c r="W28" s="12">
        <v>3</v>
      </c>
      <c r="X28" s="12">
        <v>4</v>
      </c>
      <c r="Y28" s="12">
        <v>8</v>
      </c>
      <c r="Z28" s="12">
        <v>4</v>
      </c>
      <c r="AA28" s="12">
        <v>16</v>
      </c>
      <c r="AB28" s="12">
        <v>15</v>
      </c>
      <c r="AC28" s="12">
        <v>4</v>
      </c>
      <c r="AD28" s="12">
        <v>3</v>
      </c>
      <c r="AE28" s="12">
        <v>12</v>
      </c>
      <c r="AF28" s="12">
        <v>0</v>
      </c>
    </row>
    <row r="29" spans="1:32">
      <c r="A29" s="19"/>
      <c r="B29" s="13" t="s">
        <v>399</v>
      </c>
      <c r="C29" s="14">
        <v>0.01</v>
      </c>
      <c r="D29" s="15" t="s">
        <v>375</v>
      </c>
      <c r="E29" s="14">
        <v>0.03</v>
      </c>
      <c r="F29" s="15" t="s">
        <v>375</v>
      </c>
      <c r="G29" s="14">
        <v>0.02</v>
      </c>
      <c r="H29" s="15" t="s">
        <v>375</v>
      </c>
      <c r="I29" s="15" t="s">
        <v>375</v>
      </c>
      <c r="J29" s="15" t="s">
        <v>375</v>
      </c>
      <c r="K29" s="14">
        <v>0.02</v>
      </c>
      <c r="L29" s="14">
        <v>0.01</v>
      </c>
      <c r="M29" s="14">
        <v>0.01</v>
      </c>
      <c r="N29" s="14">
        <v>0.01</v>
      </c>
      <c r="O29" s="14">
        <v>0.03</v>
      </c>
      <c r="P29" s="14">
        <v>0.01</v>
      </c>
      <c r="Q29" s="14">
        <v>0.01</v>
      </c>
      <c r="R29" s="14">
        <v>0.02</v>
      </c>
      <c r="S29" s="14">
        <v>0.02</v>
      </c>
      <c r="T29" s="14">
        <v>0.02</v>
      </c>
      <c r="U29" s="14">
        <v>0.01</v>
      </c>
      <c r="V29" s="15" t="s">
        <v>375</v>
      </c>
      <c r="W29" s="14">
        <v>0.01</v>
      </c>
      <c r="X29" s="15" t="s">
        <v>375</v>
      </c>
      <c r="Y29" s="14">
        <v>0.01</v>
      </c>
      <c r="Z29" s="15" t="s">
        <v>375</v>
      </c>
      <c r="AA29" s="14">
        <v>0.02</v>
      </c>
      <c r="AB29" s="14">
        <v>0.01</v>
      </c>
      <c r="AC29" s="15" t="s">
        <v>375</v>
      </c>
      <c r="AD29" s="15" t="s">
        <v>375</v>
      </c>
      <c r="AE29" s="14">
        <v>0.01</v>
      </c>
      <c r="AF29" s="15" t="s">
        <v>375</v>
      </c>
    </row>
    <row r="30" spans="1:32">
      <c r="A30" s="19"/>
      <c r="B30" s="11" t="s">
        <v>912</v>
      </c>
      <c r="C30" s="12">
        <v>9799</v>
      </c>
      <c r="D30" s="12">
        <v>350</v>
      </c>
      <c r="E30" s="12">
        <v>399</v>
      </c>
      <c r="F30" s="12">
        <v>430</v>
      </c>
      <c r="G30" s="12">
        <v>703</v>
      </c>
      <c r="H30" s="12">
        <v>686</v>
      </c>
      <c r="I30" s="12">
        <v>816</v>
      </c>
      <c r="J30" s="12">
        <v>129</v>
      </c>
      <c r="K30" s="12">
        <v>514</v>
      </c>
      <c r="L30" s="12">
        <v>380</v>
      </c>
      <c r="M30" s="12">
        <v>306</v>
      </c>
      <c r="N30" s="12">
        <v>250</v>
      </c>
      <c r="O30" s="12">
        <v>346</v>
      </c>
      <c r="P30" s="12">
        <v>377</v>
      </c>
      <c r="Q30" s="12">
        <v>279</v>
      </c>
      <c r="R30" s="12">
        <v>174</v>
      </c>
      <c r="S30" s="12">
        <v>363</v>
      </c>
      <c r="T30" s="12">
        <v>508</v>
      </c>
      <c r="U30" s="12">
        <v>221</v>
      </c>
      <c r="V30" s="12">
        <v>317</v>
      </c>
      <c r="W30" s="12">
        <v>163</v>
      </c>
      <c r="X30" s="12">
        <v>548</v>
      </c>
      <c r="Y30" s="12">
        <v>483</v>
      </c>
      <c r="Z30" s="12">
        <v>137</v>
      </c>
      <c r="AA30" s="12">
        <v>231</v>
      </c>
      <c r="AB30" s="12">
        <v>297</v>
      </c>
      <c r="AC30" s="12">
        <v>587</v>
      </c>
      <c r="AD30" s="12">
        <v>384</v>
      </c>
      <c r="AE30" s="12">
        <v>658</v>
      </c>
      <c r="AF30" s="12">
        <v>822</v>
      </c>
    </row>
    <row r="31" spans="1:32">
      <c r="A31" s="19"/>
      <c r="B31" s="13" t="s">
        <v>913</v>
      </c>
      <c r="C31" s="14">
        <v>0.37</v>
      </c>
      <c r="D31" s="14">
        <v>0.34</v>
      </c>
      <c r="E31" s="14">
        <v>0.38</v>
      </c>
      <c r="F31" s="14">
        <v>0.41</v>
      </c>
      <c r="G31" s="14">
        <v>0.69000000000000006</v>
      </c>
      <c r="H31" s="14">
        <v>0.56000000000000005</v>
      </c>
      <c r="I31" s="14">
        <v>0.54</v>
      </c>
      <c r="J31" s="14">
        <v>0.44</v>
      </c>
      <c r="K31" s="14">
        <v>0.51</v>
      </c>
      <c r="L31" s="14">
        <v>0.39</v>
      </c>
      <c r="M31" s="14">
        <v>0.31</v>
      </c>
      <c r="N31" s="14">
        <v>0.25</v>
      </c>
      <c r="O31" s="14">
        <v>0.34</v>
      </c>
      <c r="P31" s="14">
        <v>0.38</v>
      </c>
      <c r="Q31" s="14">
        <v>0.27</v>
      </c>
      <c r="R31" s="14">
        <v>0.35</v>
      </c>
      <c r="S31" s="14">
        <v>0.36</v>
      </c>
      <c r="T31" s="14">
        <v>0.49</v>
      </c>
      <c r="U31" s="14">
        <v>0.44</v>
      </c>
      <c r="V31" s="14">
        <v>0.31</v>
      </c>
      <c r="W31" s="14">
        <v>0.32</v>
      </c>
      <c r="X31" s="14">
        <v>0.55000000000000004</v>
      </c>
      <c r="Y31" s="14">
        <v>0.48</v>
      </c>
      <c r="Z31" s="14">
        <v>0.14000000000000001</v>
      </c>
      <c r="AA31" s="14">
        <v>0.22</v>
      </c>
      <c r="AB31" s="14">
        <v>0.28000000000000003</v>
      </c>
      <c r="AC31" s="14">
        <v>0.59</v>
      </c>
      <c r="AD31" s="14">
        <v>0.39</v>
      </c>
      <c r="AE31" s="14">
        <v>0.65</v>
      </c>
      <c r="AF31" s="14">
        <v>0.8</v>
      </c>
    </row>
    <row r="32" spans="1:32">
      <c r="A32" s="19"/>
      <c r="B32" s="11" t="s">
        <v>914</v>
      </c>
      <c r="C32" s="12">
        <v>4215</v>
      </c>
      <c r="D32" s="12">
        <v>184</v>
      </c>
      <c r="E32" s="12">
        <v>205</v>
      </c>
      <c r="F32" s="12">
        <v>213</v>
      </c>
      <c r="G32" s="12">
        <v>108</v>
      </c>
      <c r="H32" s="12">
        <v>161</v>
      </c>
      <c r="I32" s="12">
        <v>228</v>
      </c>
      <c r="J32" s="12">
        <v>67</v>
      </c>
      <c r="K32" s="12">
        <v>118</v>
      </c>
      <c r="L32" s="12">
        <v>142</v>
      </c>
      <c r="M32" s="12">
        <v>156</v>
      </c>
      <c r="N32" s="12">
        <v>124</v>
      </c>
      <c r="O32" s="12">
        <v>159</v>
      </c>
      <c r="P32" s="12">
        <v>184</v>
      </c>
      <c r="Q32" s="12">
        <v>166</v>
      </c>
      <c r="R32" s="12">
        <v>92</v>
      </c>
      <c r="S32" s="12">
        <v>144</v>
      </c>
      <c r="T32" s="12">
        <v>179</v>
      </c>
      <c r="U32" s="12">
        <v>80</v>
      </c>
      <c r="V32" s="12">
        <v>259</v>
      </c>
      <c r="W32" s="12">
        <v>80</v>
      </c>
      <c r="X32" s="12">
        <v>174</v>
      </c>
      <c r="Y32" s="12">
        <v>128</v>
      </c>
      <c r="Z32" s="12">
        <v>213</v>
      </c>
      <c r="AA32" s="12">
        <v>212</v>
      </c>
      <c r="AB32" s="12">
        <v>184</v>
      </c>
      <c r="AC32" s="12">
        <v>105</v>
      </c>
      <c r="AD32" s="12">
        <v>168</v>
      </c>
      <c r="AE32" s="12">
        <v>76</v>
      </c>
      <c r="AF32" s="12">
        <v>76</v>
      </c>
    </row>
    <row r="33" spans="1:32">
      <c r="A33" s="19"/>
      <c r="B33" s="13" t="s">
        <v>915</v>
      </c>
      <c r="C33" s="14">
        <v>0.16</v>
      </c>
      <c r="D33" s="14">
        <v>0.18</v>
      </c>
      <c r="E33" s="14">
        <v>0.2</v>
      </c>
      <c r="F33" s="14">
        <v>0.2</v>
      </c>
      <c r="G33" s="14">
        <v>0.11</v>
      </c>
      <c r="H33" s="14">
        <v>0.13</v>
      </c>
      <c r="I33" s="14">
        <v>0.15</v>
      </c>
      <c r="J33" s="14">
        <v>0.22</v>
      </c>
      <c r="K33" s="14">
        <v>0.12</v>
      </c>
      <c r="L33" s="14">
        <v>0.14000000000000001</v>
      </c>
      <c r="M33" s="14">
        <v>0.15</v>
      </c>
      <c r="N33" s="14">
        <v>0.12</v>
      </c>
      <c r="O33" s="14">
        <v>0.16</v>
      </c>
      <c r="P33" s="14">
        <v>0.18</v>
      </c>
      <c r="Q33" s="14">
        <v>0.16</v>
      </c>
      <c r="R33" s="14">
        <v>0.18</v>
      </c>
      <c r="S33" s="14">
        <v>0.14000000000000001</v>
      </c>
      <c r="T33" s="14">
        <v>0.18</v>
      </c>
      <c r="U33" s="14">
        <v>0.16</v>
      </c>
      <c r="V33" s="14">
        <v>0.25</v>
      </c>
      <c r="W33" s="14">
        <v>0.16</v>
      </c>
      <c r="X33" s="14">
        <v>0.17</v>
      </c>
      <c r="Y33" s="14">
        <v>0.13</v>
      </c>
      <c r="Z33" s="14">
        <v>0.21</v>
      </c>
      <c r="AA33" s="14">
        <v>0.2</v>
      </c>
      <c r="AB33" s="14">
        <v>0.18</v>
      </c>
      <c r="AC33" s="14">
        <v>0.1</v>
      </c>
      <c r="AD33" s="14">
        <v>0.17</v>
      </c>
      <c r="AE33" s="14">
        <v>0.08</v>
      </c>
      <c r="AF33" s="14">
        <v>7.0000000000000007E-2</v>
      </c>
    </row>
    <row r="34" spans="1:32">
      <c r="A34" s="19"/>
      <c r="B34" s="11" t="s">
        <v>916</v>
      </c>
      <c r="C34" s="12">
        <v>11154</v>
      </c>
      <c r="D34" s="12">
        <v>472</v>
      </c>
      <c r="E34" s="12">
        <v>323</v>
      </c>
      <c r="F34" s="12">
        <v>373</v>
      </c>
      <c r="G34" s="12">
        <v>153</v>
      </c>
      <c r="H34" s="12">
        <v>319</v>
      </c>
      <c r="I34" s="12">
        <v>410</v>
      </c>
      <c r="J34" s="12">
        <v>91</v>
      </c>
      <c r="K34" s="12">
        <v>273</v>
      </c>
      <c r="L34" s="12">
        <v>448</v>
      </c>
      <c r="M34" s="12">
        <v>450</v>
      </c>
      <c r="N34" s="12">
        <v>600</v>
      </c>
      <c r="O34" s="12">
        <v>414</v>
      </c>
      <c r="P34" s="12">
        <v>392</v>
      </c>
      <c r="Q34" s="12">
        <v>567</v>
      </c>
      <c r="R34" s="12">
        <v>211</v>
      </c>
      <c r="S34" s="12">
        <v>415</v>
      </c>
      <c r="T34" s="12">
        <v>200</v>
      </c>
      <c r="U34" s="12">
        <v>196</v>
      </c>
      <c r="V34" s="12">
        <v>419</v>
      </c>
      <c r="W34" s="12">
        <v>241</v>
      </c>
      <c r="X34" s="12">
        <v>281</v>
      </c>
      <c r="Y34" s="12">
        <v>331</v>
      </c>
      <c r="Z34" s="12">
        <v>634</v>
      </c>
      <c r="AA34" s="12">
        <v>505</v>
      </c>
      <c r="AB34" s="12">
        <v>483</v>
      </c>
      <c r="AC34" s="12">
        <v>249</v>
      </c>
      <c r="AD34" s="12">
        <v>376</v>
      </c>
      <c r="AE34" s="12">
        <v>231</v>
      </c>
      <c r="AF34" s="12">
        <v>105</v>
      </c>
    </row>
    <row r="35" spans="1:32">
      <c r="A35" s="19"/>
      <c r="B35" s="13" t="s">
        <v>917</v>
      </c>
      <c r="C35" s="14">
        <v>0.42</v>
      </c>
      <c r="D35" s="14">
        <v>0.47</v>
      </c>
      <c r="E35" s="14">
        <v>0.3</v>
      </c>
      <c r="F35" s="14">
        <v>0.35</v>
      </c>
      <c r="G35" s="14">
        <v>0.15</v>
      </c>
      <c r="H35" s="14">
        <v>0.26</v>
      </c>
      <c r="I35" s="14">
        <v>0.27</v>
      </c>
      <c r="J35" s="14">
        <v>0.31</v>
      </c>
      <c r="K35" s="14">
        <v>0.27</v>
      </c>
      <c r="L35" s="14">
        <v>0.44</v>
      </c>
      <c r="M35" s="14">
        <v>0.44</v>
      </c>
      <c r="N35" s="14">
        <v>0.59</v>
      </c>
      <c r="O35" s="14">
        <v>0.41</v>
      </c>
      <c r="P35" s="14">
        <v>0.39</v>
      </c>
      <c r="Q35" s="14">
        <v>0.55000000000000004</v>
      </c>
      <c r="R35" s="14">
        <v>0.42</v>
      </c>
      <c r="S35" s="14">
        <v>0.41</v>
      </c>
      <c r="T35" s="14">
        <v>0.19</v>
      </c>
      <c r="U35" s="14">
        <v>0.38</v>
      </c>
      <c r="V35" s="14">
        <v>0.41</v>
      </c>
      <c r="W35" s="14">
        <v>0.48</v>
      </c>
      <c r="X35" s="14">
        <v>0.28000000000000003</v>
      </c>
      <c r="Y35" s="14">
        <v>0.33</v>
      </c>
      <c r="Z35" s="14">
        <v>0.62</v>
      </c>
      <c r="AA35" s="14">
        <v>0.49</v>
      </c>
      <c r="AB35" s="14">
        <v>0.47</v>
      </c>
      <c r="AC35" s="14">
        <v>0.25</v>
      </c>
      <c r="AD35" s="14">
        <v>0.37</v>
      </c>
      <c r="AE35" s="14">
        <v>0.23</v>
      </c>
      <c r="AF35" s="14">
        <v>0.1</v>
      </c>
    </row>
  </sheetData>
  <mergeCells count="10">
    <mergeCell ref="A30:A35"/>
    <mergeCell ref="H4:L4"/>
    <mergeCell ref="B4:F4"/>
    <mergeCell ref="H3:L3"/>
    <mergeCell ref="C8:AF8"/>
    <mergeCell ref="A10:A29"/>
    <mergeCell ref="B5:F5"/>
    <mergeCell ref="B3:F3"/>
    <mergeCell ref="H5:L5"/>
    <mergeCell ref="B10:B11"/>
  </mergeCells>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3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96" customHeight="1">
      <c r="B3" s="17" t="s">
        <v>922</v>
      </c>
      <c r="C3" s="17"/>
      <c r="D3" s="17"/>
      <c r="E3" s="17"/>
      <c r="F3" s="17"/>
      <c r="H3" s="17" t="s">
        <v>923</v>
      </c>
      <c r="I3" s="17"/>
      <c r="J3" s="17"/>
      <c r="K3" s="17"/>
      <c r="L3" s="17"/>
    </row>
    <row r="4" spans="1:32" ht="27" customHeight="1">
      <c r="B4" s="17" t="s">
        <v>924</v>
      </c>
      <c r="C4" s="17"/>
      <c r="D4" s="17"/>
      <c r="E4" s="17"/>
      <c r="F4" s="17"/>
      <c r="H4" s="17" t="s">
        <v>925</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906</v>
      </c>
      <c r="C12" s="12">
        <v>4880</v>
      </c>
      <c r="D12" s="12">
        <v>166</v>
      </c>
      <c r="E12" s="12">
        <v>160</v>
      </c>
      <c r="F12" s="12">
        <v>187</v>
      </c>
      <c r="G12" s="12">
        <v>435</v>
      </c>
      <c r="H12" s="12">
        <v>314</v>
      </c>
      <c r="I12" s="12">
        <v>356</v>
      </c>
      <c r="J12" s="12">
        <v>42</v>
      </c>
      <c r="K12" s="12">
        <v>278</v>
      </c>
      <c r="L12" s="12">
        <v>171</v>
      </c>
      <c r="M12" s="12">
        <v>124</v>
      </c>
      <c r="N12" s="12">
        <v>189</v>
      </c>
      <c r="O12" s="12">
        <v>196</v>
      </c>
      <c r="P12" s="12">
        <v>165</v>
      </c>
      <c r="Q12" s="12">
        <v>133</v>
      </c>
      <c r="R12" s="12">
        <v>78</v>
      </c>
      <c r="S12" s="12">
        <v>230</v>
      </c>
      <c r="T12" s="12">
        <v>291</v>
      </c>
      <c r="U12" s="12">
        <v>150</v>
      </c>
      <c r="V12" s="12">
        <v>132</v>
      </c>
      <c r="W12" s="12">
        <v>63</v>
      </c>
      <c r="X12" s="12">
        <v>200</v>
      </c>
      <c r="Y12" s="12">
        <v>266</v>
      </c>
      <c r="Z12" s="12">
        <v>41</v>
      </c>
      <c r="AA12" s="12">
        <v>67</v>
      </c>
      <c r="AB12" s="12">
        <v>135</v>
      </c>
      <c r="AC12" s="12">
        <v>376</v>
      </c>
      <c r="AD12" s="12">
        <v>127</v>
      </c>
      <c r="AE12" s="12">
        <v>434</v>
      </c>
      <c r="AF12" s="12">
        <v>547</v>
      </c>
    </row>
    <row r="13" spans="1:32">
      <c r="A13" s="19"/>
      <c r="B13" s="13" t="s">
        <v>907</v>
      </c>
      <c r="C13" s="14">
        <v>0.18</v>
      </c>
      <c r="D13" s="14">
        <v>0.16</v>
      </c>
      <c r="E13" s="14">
        <v>0.15</v>
      </c>
      <c r="F13" s="14">
        <v>0.18</v>
      </c>
      <c r="G13" s="14">
        <v>0.43</v>
      </c>
      <c r="H13" s="14">
        <v>0.25</v>
      </c>
      <c r="I13" s="14">
        <v>0.23</v>
      </c>
      <c r="J13" s="14">
        <v>0.14000000000000001</v>
      </c>
      <c r="K13" s="14">
        <v>0.28000000000000003</v>
      </c>
      <c r="L13" s="14">
        <v>0.17</v>
      </c>
      <c r="M13" s="14">
        <v>0.12</v>
      </c>
      <c r="N13" s="14">
        <v>0.19</v>
      </c>
      <c r="O13" s="14">
        <v>0.19</v>
      </c>
      <c r="P13" s="14">
        <v>0.16</v>
      </c>
      <c r="Q13" s="14">
        <v>0.13</v>
      </c>
      <c r="R13" s="14">
        <v>0.15</v>
      </c>
      <c r="S13" s="14">
        <v>0.23</v>
      </c>
      <c r="T13" s="14">
        <v>0.28999999999999998</v>
      </c>
      <c r="U13" s="14">
        <v>0.28999999999999998</v>
      </c>
      <c r="V13" s="14">
        <v>0.13</v>
      </c>
      <c r="W13" s="14">
        <v>0.12</v>
      </c>
      <c r="X13" s="14">
        <v>0.2</v>
      </c>
      <c r="Y13" s="14">
        <v>0.26</v>
      </c>
      <c r="Z13" s="14">
        <v>0.04</v>
      </c>
      <c r="AA13" s="14">
        <v>7.0000000000000007E-2</v>
      </c>
      <c r="AB13" s="14">
        <v>0.13</v>
      </c>
      <c r="AC13" s="14">
        <v>0.37</v>
      </c>
      <c r="AD13" s="14">
        <v>0.13</v>
      </c>
      <c r="AE13" s="14">
        <v>0.43</v>
      </c>
      <c r="AF13" s="14">
        <v>0.53</v>
      </c>
    </row>
    <row r="14" spans="1:32">
      <c r="A14" s="19"/>
      <c r="B14" s="11" t="s">
        <v>578</v>
      </c>
      <c r="C14" s="12">
        <v>2960</v>
      </c>
      <c r="D14" s="12">
        <v>121</v>
      </c>
      <c r="E14" s="12">
        <v>58</v>
      </c>
      <c r="F14" s="12">
        <v>80</v>
      </c>
      <c r="G14" s="12">
        <v>174</v>
      </c>
      <c r="H14" s="12">
        <v>205</v>
      </c>
      <c r="I14" s="12">
        <v>250</v>
      </c>
      <c r="J14" s="12">
        <v>45</v>
      </c>
      <c r="K14" s="12">
        <v>154</v>
      </c>
      <c r="L14" s="12">
        <v>90</v>
      </c>
      <c r="M14" s="12">
        <v>73</v>
      </c>
      <c r="N14" s="12">
        <v>114</v>
      </c>
      <c r="O14" s="12">
        <v>117</v>
      </c>
      <c r="P14" s="12">
        <v>84</v>
      </c>
      <c r="Q14" s="12">
        <v>76</v>
      </c>
      <c r="R14" s="12">
        <v>45</v>
      </c>
      <c r="S14" s="12">
        <v>68</v>
      </c>
      <c r="T14" s="12">
        <v>145</v>
      </c>
      <c r="U14" s="12">
        <v>55</v>
      </c>
      <c r="V14" s="12">
        <v>83</v>
      </c>
      <c r="W14" s="12">
        <v>51</v>
      </c>
      <c r="X14" s="12">
        <v>202</v>
      </c>
      <c r="Y14" s="12">
        <v>120</v>
      </c>
      <c r="Z14" s="12">
        <v>32</v>
      </c>
      <c r="AA14" s="12">
        <v>80</v>
      </c>
      <c r="AB14" s="12">
        <v>71</v>
      </c>
      <c r="AC14" s="12">
        <v>110</v>
      </c>
      <c r="AD14" s="12">
        <v>123</v>
      </c>
      <c r="AE14" s="12">
        <v>199</v>
      </c>
      <c r="AF14" s="12">
        <v>195</v>
      </c>
    </row>
    <row r="15" spans="1:32">
      <c r="A15" s="19"/>
      <c r="B15" s="13" t="s">
        <v>578</v>
      </c>
      <c r="C15" s="14">
        <v>0.11</v>
      </c>
      <c r="D15" s="14">
        <v>0.12</v>
      </c>
      <c r="E15" s="14">
        <v>0.06</v>
      </c>
      <c r="F15" s="14">
        <v>7.0000000000000007E-2</v>
      </c>
      <c r="G15" s="14">
        <v>0.17</v>
      </c>
      <c r="H15" s="14">
        <v>0.17</v>
      </c>
      <c r="I15" s="14">
        <v>0.16</v>
      </c>
      <c r="J15" s="14">
        <v>0.15</v>
      </c>
      <c r="K15" s="14">
        <v>0.15</v>
      </c>
      <c r="L15" s="14">
        <v>0.09</v>
      </c>
      <c r="M15" s="14">
        <v>7.0000000000000007E-2</v>
      </c>
      <c r="N15" s="14">
        <v>0.11</v>
      </c>
      <c r="O15" s="14">
        <v>0.12</v>
      </c>
      <c r="P15" s="14">
        <v>0.08</v>
      </c>
      <c r="Q15" s="14">
        <v>7.0000000000000007E-2</v>
      </c>
      <c r="R15" s="14">
        <v>0.09</v>
      </c>
      <c r="S15" s="14">
        <v>7.0000000000000007E-2</v>
      </c>
      <c r="T15" s="14">
        <v>0.14000000000000001</v>
      </c>
      <c r="U15" s="14">
        <v>0.11</v>
      </c>
      <c r="V15" s="14">
        <v>0.08</v>
      </c>
      <c r="W15" s="14">
        <v>0.1</v>
      </c>
      <c r="X15" s="14">
        <v>0.2</v>
      </c>
      <c r="Y15" s="14">
        <v>0.12</v>
      </c>
      <c r="Z15" s="14">
        <v>0.03</v>
      </c>
      <c r="AA15" s="14">
        <v>0.08</v>
      </c>
      <c r="AB15" s="14">
        <v>7.0000000000000007E-2</v>
      </c>
      <c r="AC15" s="14">
        <v>0.11</v>
      </c>
      <c r="AD15" s="14">
        <v>0.12</v>
      </c>
      <c r="AE15" s="14">
        <v>0.2</v>
      </c>
      <c r="AF15" s="14">
        <v>0.19</v>
      </c>
    </row>
    <row r="16" spans="1:32">
      <c r="A16" s="19"/>
      <c r="B16" s="11" t="s">
        <v>579</v>
      </c>
      <c r="C16" s="12">
        <v>3310</v>
      </c>
      <c r="D16" s="12">
        <v>138</v>
      </c>
      <c r="E16" s="12">
        <v>131</v>
      </c>
      <c r="F16" s="12">
        <v>143</v>
      </c>
      <c r="G16" s="12">
        <v>142</v>
      </c>
      <c r="H16" s="12">
        <v>161</v>
      </c>
      <c r="I16" s="12">
        <v>213</v>
      </c>
      <c r="J16" s="12">
        <v>52</v>
      </c>
      <c r="K16" s="12">
        <v>125</v>
      </c>
      <c r="L16" s="12">
        <v>126</v>
      </c>
      <c r="M16" s="12">
        <v>143</v>
      </c>
      <c r="N16" s="12">
        <v>94</v>
      </c>
      <c r="O16" s="12">
        <v>109</v>
      </c>
      <c r="P16" s="12">
        <v>133</v>
      </c>
      <c r="Q16" s="12">
        <v>149</v>
      </c>
      <c r="R16" s="12">
        <v>54</v>
      </c>
      <c r="S16" s="12">
        <v>125</v>
      </c>
      <c r="T16" s="12">
        <v>165</v>
      </c>
      <c r="U16" s="12">
        <v>56</v>
      </c>
      <c r="V16" s="12">
        <v>173</v>
      </c>
      <c r="W16" s="12">
        <v>56</v>
      </c>
      <c r="X16" s="12">
        <v>193</v>
      </c>
      <c r="Y16" s="12">
        <v>127</v>
      </c>
      <c r="Z16" s="12">
        <v>91</v>
      </c>
      <c r="AA16" s="12">
        <v>178</v>
      </c>
      <c r="AB16" s="12">
        <v>105</v>
      </c>
      <c r="AC16" s="12">
        <v>85</v>
      </c>
      <c r="AD16" s="12">
        <v>125</v>
      </c>
      <c r="AE16" s="12">
        <v>90</v>
      </c>
      <c r="AF16" s="12">
        <v>94</v>
      </c>
    </row>
    <row r="17" spans="1:32">
      <c r="A17" s="19"/>
      <c r="B17" s="13" t="s">
        <v>579</v>
      </c>
      <c r="C17" s="14">
        <v>0.13</v>
      </c>
      <c r="D17" s="14">
        <v>0.14000000000000001</v>
      </c>
      <c r="E17" s="14">
        <v>0.13</v>
      </c>
      <c r="F17" s="14">
        <v>0.13</v>
      </c>
      <c r="G17" s="14">
        <v>0.14000000000000001</v>
      </c>
      <c r="H17" s="14">
        <v>0.13</v>
      </c>
      <c r="I17" s="14">
        <v>0.14000000000000001</v>
      </c>
      <c r="J17" s="14">
        <v>0.18</v>
      </c>
      <c r="K17" s="14">
        <v>0.12</v>
      </c>
      <c r="L17" s="14">
        <v>0.13</v>
      </c>
      <c r="M17" s="14">
        <v>0.14000000000000001</v>
      </c>
      <c r="N17" s="14">
        <v>0.09</v>
      </c>
      <c r="O17" s="14">
        <v>0.11</v>
      </c>
      <c r="P17" s="14">
        <v>0.13</v>
      </c>
      <c r="Q17" s="14">
        <v>0.14000000000000001</v>
      </c>
      <c r="R17" s="14">
        <v>0.11</v>
      </c>
      <c r="S17" s="14">
        <v>0.12</v>
      </c>
      <c r="T17" s="14">
        <v>0.16</v>
      </c>
      <c r="U17" s="14">
        <v>0.11</v>
      </c>
      <c r="V17" s="14">
        <v>0.17</v>
      </c>
      <c r="W17" s="14">
        <v>0.11</v>
      </c>
      <c r="X17" s="14">
        <v>0.19</v>
      </c>
      <c r="Y17" s="14">
        <v>0.13</v>
      </c>
      <c r="Z17" s="14">
        <v>0.09</v>
      </c>
      <c r="AA17" s="14">
        <v>0.17</v>
      </c>
      <c r="AB17" s="14">
        <v>0.1</v>
      </c>
      <c r="AC17" s="14">
        <v>0.09</v>
      </c>
      <c r="AD17" s="14">
        <v>0.12</v>
      </c>
      <c r="AE17" s="14">
        <v>0.09</v>
      </c>
      <c r="AF17" s="14">
        <v>0.09</v>
      </c>
    </row>
    <row r="18" spans="1:32">
      <c r="A18" s="19"/>
      <c r="B18" s="11" t="s">
        <v>580</v>
      </c>
      <c r="C18" s="12">
        <v>4325</v>
      </c>
      <c r="D18" s="12">
        <v>166</v>
      </c>
      <c r="E18" s="12">
        <v>223</v>
      </c>
      <c r="F18" s="12">
        <v>187</v>
      </c>
      <c r="G18" s="12">
        <v>86</v>
      </c>
      <c r="H18" s="12">
        <v>180</v>
      </c>
      <c r="I18" s="12">
        <v>242</v>
      </c>
      <c r="J18" s="12">
        <v>62</v>
      </c>
      <c r="K18" s="12">
        <v>126</v>
      </c>
      <c r="L18" s="12">
        <v>170</v>
      </c>
      <c r="M18" s="12">
        <v>159</v>
      </c>
      <c r="N18" s="12">
        <v>133</v>
      </c>
      <c r="O18" s="12">
        <v>173</v>
      </c>
      <c r="P18" s="12">
        <v>178</v>
      </c>
      <c r="Q18" s="12">
        <v>172</v>
      </c>
      <c r="R18" s="12">
        <v>78</v>
      </c>
      <c r="S18" s="12">
        <v>143</v>
      </c>
      <c r="T18" s="12">
        <v>134</v>
      </c>
      <c r="U18" s="12">
        <v>69</v>
      </c>
      <c r="V18" s="12">
        <v>251</v>
      </c>
      <c r="W18" s="12">
        <v>76</v>
      </c>
      <c r="X18" s="12">
        <v>174</v>
      </c>
      <c r="Y18" s="12">
        <v>147</v>
      </c>
      <c r="Z18" s="12">
        <v>226</v>
      </c>
      <c r="AA18" s="12">
        <v>168</v>
      </c>
      <c r="AB18" s="12">
        <v>185</v>
      </c>
      <c r="AC18" s="12">
        <v>116</v>
      </c>
      <c r="AD18" s="12">
        <v>166</v>
      </c>
      <c r="AE18" s="12">
        <v>63</v>
      </c>
      <c r="AF18" s="12">
        <v>58</v>
      </c>
    </row>
    <row r="19" spans="1:32">
      <c r="A19" s="19"/>
      <c r="B19" s="13" t="s">
        <v>580</v>
      </c>
      <c r="C19" s="14">
        <v>0.16</v>
      </c>
      <c r="D19" s="14">
        <v>0.16</v>
      </c>
      <c r="E19" s="14">
        <v>0.21</v>
      </c>
      <c r="F19" s="14">
        <v>0.18</v>
      </c>
      <c r="G19" s="14">
        <v>0.08</v>
      </c>
      <c r="H19" s="14">
        <v>0.15</v>
      </c>
      <c r="I19" s="14">
        <v>0.16</v>
      </c>
      <c r="J19" s="14">
        <v>0.21</v>
      </c>
      <c r="K19" s="14">
        <v>0.13</v>
      </c>
      <c r="L19" s="14">
        <v>0.17</v>
      </c>
      <c r="M19" s="14">
        <v>0.16</v>
      </c>
      <c r="N19" s="14">
        <v>0.13</v>
      </c>
      <c r="O19" s="14">
        <v>0.17</v>
      </c>
      <c r="P19" s="14">
        <v>0.18</v>
      </c>
      <c r="Q19" s="14">
        <v>0.17</v>
      </c>
      <c r="R19" s="14">
        <v>0.15</v>
      </c>
      <c r="S19" s="14">
        <v>0.14000000000000001</v>
      </c>
      <c r="T19" s="14">
        <v>0.13</v>
      </c>
      <c r="U19" s="14">
        <v>0.14000000000000001</v>
      </c>
      <c r="V19" s="14">
        <v>0.24</v>
      </c>
      <c r="W19" s="14">
        <v>0.15</v>
      </c>
      <c r="X19" s="14">
        <v>0.17</v>
      </c>
      <c r="Y19" s="14">
        <v>0.15</v>
      </c>
      <c r="Z19" s="14">
        <v>0.22</v>
      </c>
      <c r="AA19" s="14">
        <v>0.16</v>
      </c>
      <c r="AB19" s="14">
        <v>0.18</v>
      </c>
      <c r="AC19" s="14">
        <v>0.12</v>
      </c>
      <c r="AD19" s="14">
        <v>0.17</v>
      </c>
      <c r="AE19" s="14">
        <v>0.06</v>
      </c>
      <c r="AF19" s="14">
        <v>0.06</v>
      </c>
    </row>
    <row r="20" spans="1:32">
      <c r="A20" s="19"/>
      <c r="B20" s="11" t="s">
        <v>581</v>
      </c>
      <c r="C20" s="12">
        <v>4412</v>
      </c>
      <c r="D20" s="12">
        <v>220</v>
      </c>
      <c r="E20" s="12">
        <v>176</v>
      </c>
      <c r="F20" s="12">
        <v>193</v>
      </c>
      <c r="G20" s="12">
        <v>46</v>
      </c>
      <c r="H20" s="12">
        <v>131</v>
      </c>
      <c r="I20" s="12">
        <v>171</v>
      </c>
      <c r="J20" s="12">
        <v>41</v>
      </c>
      <c r="K20" s="12">
        <v>76</v>
      </c>
      <c r="L20" s="12">
        <v>168</v>
      </c>
      <c r="M20" s="12">
        <v>204</v>
      </c>
      <c r="N20" s="12">
        <v>184</v>
      </c>
      <c r="O20" s="12">
        <v>129</v>
      </c>
      <c r="P20" s="12">
        <v>186</v>
      </c>
      <c r="Q20" s="12">
        <v>224</v>
      </c>
      <c r="R20" s="12">
        <v>90</v>
      </c>
      <c r="S20" s="12">
        <v>109</v>
      </c>
      <c r="T20" s="12">
        <v>84</v>
      </c>
      <c r="U20" s="12">
        <v>64</v>
      </c>
      <c r="V20" s="12">
        <v>213</v>
      </c>
      <c r="W20" s="12">
        <v>79</v>
      </c>
      <c r="X20" s="12">
        <v>124</v>
      </c>
      <c r="Y20" s="12">
        <v>125</v>
      </c>
      <c r="Z20" s="12">
        <v>299</v>
      </c>
      <c r="AA20" s="12">
        <v>170</v>
      </c>
      <c r="AB20" s="12">
        <v>259</v>
      </c>
      <c r="AC20" s="12">
        <v>70</v>
      </c>
      <c r="AD20" s="12">
        <v>188</v>
      </c>
      <c r="AE20" s="12">
        <v>66</v>
      </c>
      <c r="AF20" s="12">
        <v>42</v>
      </c>
    </row>
    <row r="21" spans="1:32">
      <c r="A21" s="19"/>
      <c r="B21" s="13" t="s">
        <v>581</v>
      </c>
      <c r="C21" s="14">
        <v>0.17</v>
      </c>
      <c r="D21" s="14">
        <v>0.22</v>
      </c>
      <c r="E21" s="14">
        <v>0.17</v>
      </c>
      <c r="F21" s="14">
        <v>0.18</v>
      </c>
      <c r="G21" s="14">
        <v>0.04</v>
      </c>
      <c r="H21" s="14">
        <v>0.11</v>
      </c>
      <c r="I21" s="14">
        <v>0.11</v>
      </c>
      <c r="J21" s="14">
        <v>0.14000000000000001</v>
      </c>
      <c r="K21" s="14">
        <v>0.08</v>
      </c>
      <c r="L21" s="14">
        <v>0.17</v>
      </c>
      <c r="M21" s="14">
        <v>0.2</v>
      </c>
      <c r="N21" s="14">
        <v>0.18</v>
      </c>
      <c r="O21" s="14">
        <v>0.13</v>
      </c>
      <c r="P21" s="14">
        <v>0.19</v>
      </c>
      <c r="Q21" s="14">
        <v>0.22</v>
      </c>
      <c r="R21" s="14">
        <v>0.18</v>
      </c>
      <c r="S21" s="14">
        <v>0.11</v>
      </c>
      <c r="T21" s="14">
        <v>0.08</v>
      </c>
      <c r="U21" s="14">
        <v>0.13</v>
      </c>
      <c r="V21" s="14">
        <v>0.21</v>
      </c>
      <c r="W21" s="14">
        <v>0.16</v>
      </c>
      <c r="X21" s="14">
        <v>0.12</v>
      </c>
      <c r="Y21" s="14">
        <v>0.12</v>
      </c>
      <c r="Z21" s="14">
        <v>0.28999999999999998</v>
      </c>
      <c r="AA21" s="14">
        <v>0.16</v>
      </c>
      <c r="AB21" s="14">
        <v>0.25</v>
      </c>
      <c r="AC21" s="14">
        <v>7.0000000000000007E-2</v>
      </c>
      <c r="AD21" s="14">
        <v>0.19</v>
      </c>
      <c r="AE21" s="14">
        <v>7.0000000000000007E-2</v>
      </c>
      <c r="AF21" s="14">
        <v>0.04</v>
      </c>
    </row>
    <row r="22" spans="1:32">
      <c r="A22" s="19"/>
      <c r="B22" s="11" t="s">
        <v>582</v>
      </c>
      <c r="C22" s="12">
        <v>2595</v>
      </c>
      <c r="D22" s="12">
        <v>111</v>
      </c>
      <c r="E22" s="12">
        <v>109</v>
      </c>
      <c r="F22" s="12">
        <v>117</v>
      </c>
      <c r="G22" s="12">
        <v>32</v>
      </c>
      <c r="H22" s="12">
        <v>85</v>
      </c>
      <c r="I22" s="12">
        <v>106</v>
      </c>
      <c r="J22" s="12">
        <v>21</v>
      </c>
      <c r="K22" s="12">
        <v>75</v>
      </c>
      <c r="L22" s="12">
        <v>111</v>
      </c>
      <c r="M22" s="12">
        <v>130</v>
      </c>
      <c r="N22" s="12">
        <v>115</v>
      </c>
      <c r="O22" s="12">
        <v>80</v>
      </c>
      <c r="P22" s="12">
        <v>58</v>
      </c>
      <c r="Q22" s="12">
        <v>138</v>
      </c>
      <c r="R22" s="12">
        <v>44</v>
      </c>
      <c r="S22" s="12">
        <v>93</v>
      </c>
      <c r="T22" s="12">
        <v>13</v>
      </c>
      <c r="U22" s="12">
        <v>40</v>
      </c>
      <c r="V22" s="12">
        <v>88</v>
      </c>
      <c r="W22" s="12">
        <v>76</v>
      </c>
      <c r="X22" s="12">
        <v>55</v>
      </c>
      <c r="Y22" s="12">
        <v>91</v>
      </c>
      <c r="Z22" s="12">
        <v>145</v>
      </c>
      <c r="AA22" s="12">
        <v>142</v>
      </c>
      <c r="AB22" s="12">
        <v>152</v>
      </c>
      <c r="AC22" s="12">
        <v>51</v>
      </c>
      <c r="AD22" s="12">
        <v>88</v>
      </c>
      <c r="AE22" s="12">
        <v>43</v>
      </c>
      <c r="AF22" s="12">
        <v>33</v>
      </c>
    </row>
    <row r="23" spans="1:32">
      <c r="A23" s="19"/>
      <c r="B23" s="13" t="s">
        <v>582</v>
      </c>
      <c r="C23" s="14">
        <v>0.1</v>
      </c>
      <c r="D23" s="14">
        <v>0.11</v>
      </c>
      <c r="E23" s="14">
        <v>0.1</v>
      </c>
      <c r="F23" s="14">
        <v>0.11</v>
      </c>
      <c r="G23" s="14">
        <v>0.03</v>
      </c>
      <c r="H23" s="14">
        <v>7.0000000000000007E-2</v>
      </c>
      <c r="I23" s="14">
        <v>7.0000000000000007E-2</v>
      </c>
      <c r="J23" s="14">
        <v>7.0000000000000007E-2</v>
      </c>
      <c r="K23" s="14">
        <v>7.0000000000000007E-2</v>
      </c>
      <c r="L23" s="14">
        <v>0.11</v>
      </c>
      <c r="M23" s="14">
        <v>0.13</v>
      </c>
      <c r="N23" s="14">
        <v>0.12</v>
      </c>
      <c r="O23" s="14">
        <v>0.08</v>
      </c>
      <c r="P23" s="14">
        <v>0.06</v>
      </c>
      <c r="Q23" s="14">
        <v>0.13</v>
      </c>
      <c r="R23" s="14">
        <v>0.09</v>
      </c>
      <c r="S23" s="14">
        <v>0.09</v>
      </c>
      <c r="T23" s="14">
        <v>0.01</v>
      </c>
      <c r="U23" s="14">
        <v>0.08</v>
      </c>
      <c r="V23" s="14">
        <v>0.09</v>
      </c>
      <c r="W23" s="14">
        <v>0.15</v>
      </c>
      <c r="X23" s="14">
        <v>0.05</v>
      </c>
      <c r="Y23" s="14">
        <v>0.09</v>
      </c>
      <c r="Z23" s="14">
        <v>0.14000000000000001</v>
      </c>
      <c r="AA23" s="14">
        <v>0.14000000000000001</v>
      </c>
      <c r="AB23" s="14">
        <v>0.14000000000000001</v>
      </c>
      <c r="AC23" s="14">
        <v>0.05</v>
      </c>
      <c r="AD23" s="14">
        <v>0.09</v>
      </c>
      <c r="AE23" s="14">
        <v>0.04</v>
      </c>
      <c r="AF23" s="14">
        <v>0.03</v>
      </c>
    </row>
    <row r="24" spans="1:32">
      <c r="A24" s="19"/>
      <c r="B24" s="11" t="s">
        <v>908</v>
      </c>
      <c r="C24" s="12">
        <v>2723</v>
      </c>
      <c r="D24" s="12">
        <v>83</v>
      </c>
      <c r="E24" s="12">
        <v>73</v>
      </c>
      <c r="F24" s="12">
        <v>102</v>
      </c>
      <c r="G24" s="12">
        <v>48</v>
      </c>
      <c r="H24" s="12">
        <v>90</v>
      </c>
      <c r="I24" s="12">
        <v>115</v>
      </c>
      <c r="J24" s="12">
        <v>25</v>
      </c>
      <c r="K24" s="12">
        <v>86</v>
      </c>
      <c r="L24" s="12">
        <v>139</v>
      </c>
      <c r="M24" s="12">
        <v>83</v>
      </c>
      <c r="N24" s="12">
        <v>152</v>
      </c>
      <c r="O24" s="12">
        <v>123</v>
      </c>
      <c r="P24" s="12">
        <v>145</v>
      </c>
      <c r="Q24" s="12">
        <v>116</v>
      </c>
      <c r="R24" s="12">
        <v>89</v>
      </c>
      <c r="S24" s="12">
        <v>156</v>
      </c>
      <c r="T24" s="12">
        <v>58</v>
      </c>
      <c r="U24" s="12">
        <v>67</v>
      </c>
      <c r="V24" s="12">
        <v>57</v>
      </c>
      <c r="W24" s="12">
        <v>84</v>
      </c>
      <c r="X24" s="12">
        <v>55</v>
      </c>
      <c r="Y24" s="12">
        <v>69</v>
      </c>
      <c r="Z24" s="12">
        <v>149</v>
      </c>
      <c r="AA24" s="12">
        <v>149</v>
      </c>
      <c r="AB24" s="12">
        <v>61</v>
      </c>
      <c r="AC24" s="12">
        <v>132</v>
      </c>
      <c r="AD24" s="12">
        <v>111</v>
      </c>
      <c r="AE24" s="12">
        <v>72</v>
      </c>
      <c r="AF24" s="12">
        <v>35</v>
      </c>
    </row>
    <row r="25" spans="1:32">
      <c r="A25" s="19"/>
      <c r="B25" s="13" t="s">
        <v>909</v>
      </c>
      <c r="C25" s="14">
        <v>0.1</v>
      </c>
      <c r="D25" s="14">
        <v>0.08</v>
      </c>
      <c r="E25" s="14">
        <v>7.0000000000000007E-2</v>
      </c>
      <c r="F25" s="14">
        <v>0.1</v>
      </c>
      <c r="G25" s="14">
        <v>0.05</v>
      </c>
      <c r="H25" s="14">
        <v>7.0000000000000007E-2</v>
      </c>
      <c r="I25" s="14">
        <v>0.08</v>
      </c>
      <c r="J25" s="14">
        <v>0.08</v>
      </c>
      <c r="K25" s="14">
        <v>0.09</v>
      </c>
      <c r="L25" s="14">
        <v>0.14000000000000001</v>
      </c>
      <c r="M25" s="14">
        <v>0.08</v>
      </c>
      <c r="N25" s="14">
        <v>0.15</v>
      </c>
      <c r="O25" s="14">
        <v>0.12</v>
      </c>
      <c r="P25" s="14">
        <v>0.15</v>
      </c>
      <c r="Q25" s="14">
        <v>0.11</v>
      </c>
      <c r="R25" s="14">
        <v>0.18</v>
      </c>
      <c r="S25" s="14">
        <v>0.16</v>
      </c>
      <c r="T25" s="14">
        <v>0.06</v>
      </c>
      <c r="U25" s="14">
        <v>0.13</v>
      </c>
      <c r="V25" s="14">
        <v>0.06</v>
      </c>
      <c r="W25" s="14">
        <v>0.17</v>
      </c>
      <c r="X25" s="14">
        <v>0.06</v>
      </c>
      <c r="Y25" s="14">
        <v>7.0000000000000007E-2</v>
      </c>
      <c r="Z25" s="14">
        <v>0.15</v>
      </c>
      <c r="AA25" s="14">
        <v>0.14000000000000001</v>
      </c>
      <c r="AB25" s="14">
        <v>0.06</v>
      </c>
      <c r="AC25" s="14">
        <v>0.13</v>
      </c>
      <c r="AD25" s="14">
        <v>0.11</v>
      </c>
      <c r="AE25" s="14">
        <v>7.0000000000000007E-2</v>
      </c>
      <c r="AF25" s="14">
        <v>0.03</v>
      </c>
    </row>
    <row r="26" spans="1:32">
      <c r="A26" s="19"/>
      <c r="B26" s="11" t="s">
        <v>910</v>
      </c>
      <c r="C26" s="12">
        <v>1037</v>
      </c>
      <c r="D26" s="12">
        <v>13</v>
      </c>
      <c r="E26" s="12">
        <v>90</v>
      </c>
      <c r="F26" s="12">
        <v>51</v>
      </c>
      <c r="G26" s="12">
        <v>26</v>
      </c>
      <c r="H26" s="12">
        <v>58</v>
      </c>
      <c r="I26" s="12">
        <v>66</v>
      </c>
      <c r="J26" s="12">
        <v>8</v>
      </c>
      <c r="K26" s="12">
        <v>74</v>
      </c>
      <c r="L26" s="12">
        <v>25</v>
      </c>
      <c r="M26" s="12">
        <v>87</v>
      </c>
      <c r="N26" s="12">
        <v>30</v>
      </c>
      <c r="O26" s="12">
        <v>57</v>
      </c>
      <c r="P26" s="12">
        <v>40</v>
      </c>
      <c r="Q26" s="12">
        <v>17</v>
      </c>
      <c r="R26" s="12">
        <v>14</v>
      </c>
      <c r="S26" s="12">
        <v>67</v>
      </c>
      <c r="T26" s="12">
        <v>122</v>
      </c>
      <c r="U26" s="12">
        <v>6</v>
      </c>
      <c r="V26" s="12">
        <v>26</v>
      </c>
      <c r="W26" s="12">
        <v>13</v>
      </c>
      <c r="X26" s="12">
        <v>4</v>
      </c>
      <c r="Y26" s="12">
        <v>51</v>
      </c>
      <c r="Z26" s="12">
        <v>26</v>
      </c>
      <c r="AA26" s="12">
        <v>73</v>
      </c>
      <c r="AB26" s="12">
        <v>62</v>
      </c>
      <c r="AC26" s="12">
        <v>62</v>
      </c>
      <c r="AD26" s="12">
        <v>73</v>
      </c>
      <c r="AE26" s="12">
        <v>27</v>
      </c>
      <c r="AF26" s="12">
        <v>27</v>
      </c>
    </row>
    <row r="27" spans="1:32">
      <c r="A27" s="19"/>
      <c r="B27" s="13" t="s">
        <v>911</v>
      </c>
      <c r="C27" s="14">
        <v>0.04</v>
      </c>
      <c r="D27" s="14">
        <v>0.01</v>
      </c>
      <c r="E27" s="14">
        <v>0.09</v>
      </c>
      <c r="F27" s="14">
        <v>0.05</v>
      </c>
      <c r="G27" s="14">
        <v>0.03</v>
      </c>
      <c r="H27" s="14">
        <v>0.05</v>
      </c>
      <c r="I27" s="14">
        <v>0.04</v>
      </c>
      <c r="J27" s="14">
        <v>0.03</v>
      </c>
      <c r="K27" s="14">
        <v>7.0000000000000007E-2</v>
      </c>
      <c r="L27" s="14">
        <v>0.02</v>
      </c>
      <c r="M27" s="14">
        <v>0.09</v>
      </c>
      <c r="N27" s="14">
        <v>0.03</v>
      </c>
      <c r="O27" s="14">
        <v>0.06</v>
      </c>
      <c r="P27" s="14">
        <v>0.04</v>
      </c>
      <c r="Q27" s="14">
        <v>0.02</v>
      </c>
      <c r="R27" s="14">
        <v>0.03</v>
      </c>
      <c r="S27" s="14">
        <v>7.0000000000000007E-2</v>
      </c>
      <c r="T27" s="14">
        <v>0.12</v>
      </c>
      <c r="U27" s="14">
        <v>0.01</v>
      </c>
      <c r="V27" s="14">
        <v>0.02</v>
      </c>
      <c r="W27" s="14">
        <v>0.03</v>
      </c>
      <c r="X27" s="14">
        <v>0.01</v>
      </c>
      <c r="Y27" s="14">
        <v>0.05</v>
      </c>
      <c r="Z27" s="14">
        <v>0.03</v>
      </c>
      <c r="AA27" s="14">
        <v>7.0000000000000007E-2</v>
      </c>
      <c r="AB27" s="14">
        <v>0.06</v>
      </c>
      <c r="AC27" s="14">
        <v>0.06</v>
      </c>
      <c r="AD27" s="14">
        <v>7.0000000000000007E-2</v>
      </c>
      <c r="AE27" s="14">
        <v>0.03</v>
      </c>
      <c r="AF27" s="14">
        <v>0.03</v>
      </c>
    </row>
    <row r="28" spans="1:32">
      <c r="A28" s="19"/>
      <c r="B28" s="11" t="s">
        <v>386</v>
      </c>
      <c r="C28" s="12">
        <v>211</v>
      </c>
      <c r="D28" s="12">
        <v>3</v>
      </c>
      <c r="E28" s="12">
        <v>25</v>
      </c>
      <c r="F28" s="12">
        <v>4</v>
      </c>
      <c r="G28" s="12">
        <v>28</v>
      </c>
      <c r="H28" s="12">
        <v>7</v>
      </c>
      <c r="I28" s="12">
        <v>8</v>
      </c>
      <c r="J28" s="12">
        <v>1</v>
      </c>
      <c r="K28" s="12">
        <v>12</v>
      </c>
      <c r="L28" s="12">
        <v>6</v>
      </c>
      <c r="M28" s="12">
        <v>3</v>
      </c>
      <c r="N28" s="12">
        <v>0</v>
      </c>
      <c r="O28" s="12">
        <v>21</v>
      </c>
      <c r="P28" s="12">
        <v>14</v>
      </c>
      <c r="Q28" s="12">
        <v>8</v>
      </c>
      <c r="R28" s="12">
        <v>9</v>
      </c>
      <c r="S28" s="12">
        <v>14</v>
      </c>
      <c r="T28" s="12">
        <v>12</v>
      </c>
      <c r="U28" s="12">
        <v>2</v>
      </c>
      <c r="V28" s="12">
        <v>3</v>
      </c>
      <c r="W28" s="12">
        <v>3</v>
      </c>
      <c r="X28" s="12">
        <v>3</v>
      </c>
      <c r="Y28" s="12">
        <v>6</v>
      </c>
      <c r="Z28" s="12">
        <v>6</v>
      </c>
      <c r="AA28" s="12">
        <v>10</v>
      </c>
      <c r="AB28" s="12">
        <v>11</v>
      </c>
      <c r="AC28" s="12">
        <v>4</v>
      </c>
      <c r="AD28" s="12">
        <v>3</v>
      </c>
      <c r="AE28" s="12">
        <v>7</v>
      </c>
      <c r="AF28" s="12">
        <v>0</v>
      </c>
    </row>
    <row r="29" spans="1:32">
      <c r="A29" s="19"/>
      <c r="B29" s="13" t="s">
        <v>399</v>
      </c>
      <c r="C29" s="14">
        <v>0.01</v>
      </c>
      <c r="D29" s="15" t="s">
        <v>375</v>
      </c>
      <c r="E29" s="14">
        <v>0.02</v>
      </c>
      <c r="F29" s="15" t="s">
        <v>375</v>
      </c>
      <c r="G29" s="14">
        <v>0.03</v>
      </c>
      <c r="H29" s="15" t="s">
        <v>375</v>
      </c>
      <c r="I29" s="14">
        <v>0.01</v>
      </c>
      <c r="J29" s="15" t="s">
        <v>375</v>
      </c>
      <c r="K29" s="14">
        <v>0.01</v>
      </c>
      <c r="L29" s="15" t="s">
        <v>375</v>
      </c>
      <c r="M29" s="14">
        <v>0.01</v>
      </c>
      <c r="N29" s="15" t="s">
        <v>375</v>
      </c>
      <c r="O29" s="14">
        <v>0.02</v>
      </c>
      <c r="P29" s="14">
        <v>0.01</v>
      </c>
      <c r="Q29" s="14">
        <v>0.01</v>
      </c>
      <c r="R29" s="14">
        <v>0.02</v>
      </c>
      <c r="S29" s="14">
        <v>0.01</v>
      </c>
      <c r="T29" s="14">
        <v>0.01</v>
      </c>
      <c r="U29" s="15" t="s">
        <v>375</v>
      </c>
      <c r="V29" s="15" t="s">
        <v>375</v>
      </c>
      <c r="W29" s="14">
        <v>0.01</v>
      </c>
      <c r="X29" s="15" t="s">
        <v>375</v>
      </c>
      <c r="Y29" s="14">
        <v>0.01</v>
      </c>
      <c r="Z29" s="14">
        <v>0.01</v>
      </c>
      <c r="AA29" s="14">
        <v>0.01</v>
      </c>
      <c r="AB29" s="14">
        <v>0.01</v>
      </c>
      <c r="AC29" s="15" t="s">
        <v>375</v>
      </c>
      <c r="AD29" s="15" t="s">
        <v>375</v>
      </c>
      <c r="AE29" s="14">
        <v>0.01</v>
      </c>
      <c r="AF29" s="15" t="s">
        <v>375</v>
      </c>
    </row>
    <row r="30" spans="1:32">
      <c r="A30" s="19"/>
      <c r="B30" s="11" t="s">
        <v>912</v>
      </c>
      <c r="C30" s="12">
        <v>11150</v>
      </c>
      <c r="D30" s="12">
        <v>425</v>
      </c>
      <c r="E30" s="12">
        <v>349</v>
      </c>
      <c r="F30" s="12">
        <v>410</v>
      </c>
      <c r="G30" s="12">
        <v>751</v>
      </c>
      <c r="H30" s="12">
        <v>680</v>
      </c>
      <c r="I30" s="12">
        <v>819</v>
      </c>
      <c r="J30" s="12">
        <v>139</v>
      </c>
      <c r="K30" s="12">
        <v>557</v>
      </c>
      <c r="L30" s="12">
        <v>387</v>
      </c>
      <c r="M30" s="12">
        <v>340</v>
      </c>
      <c r="N30" s="12">
        <v>397</v>
      </c>
      <c r="O30" s="12">
        <v>422</v>
      </c>
      <c r="P30" s="12">
        <v>382</v>
      </c>
      <c r="Q30" s="12">
        <v>358</v>
      </c>
      <c r="R30" s="12">
        <v>177</v>
      </c>
      <c r="S30" s="12">
        <v>423</v>
      </c>
      <c r="T30" s="12">
        <v>601</v>
      </c>
      <c r="U30" s="12">
        <v>261</v>
      </c>
      <c r="V30" s="12">
        <v>388</v>
      </c>
      <c r="W30" s="12">
        <v>170</v>
      </c>
      <c r="X30" s="12">
        <v>595</v>
      </c>
      <c r="Y30" s="12">
        <v>513</v>
      </c>
      <c r="Z30" s="12">
        <v>164</v>
      </c>
      <c r="AA30" s="12">
        <v>325</v>
      </c>
      <c r="AB30" s="12">
        <v>311</v>
      </c>
      <c r="AC30" s="12">
        <v>571</v>
      </c>
      <c r="AD30" s="12">
        <v>375</v>
      </c>
      <c r="AE30" s="12">
        <v>723</v>
      </c>
      <c r="AF30" s="12">
        <v>836</v>
      </c>
    </row>
    <row r="31" spans="1:32">
      <c r="A31" s="19"/>
      <c r="B31" s="13" t="s">
        <v>913</v>
      </c>
      <c r="C31" s="14">
        <v>0.42</v>
      </c>
      <c r="D31" s="14">
        <v>0.42</v>
      </c>
      <c r="E31" s="14">
        <v>0.34</v>
      </c>
      <c r="F31" s="14">
        <v>0.38</v>
      </c>
      <c r="G31" s="14">
        <v>0.74</v>
      </c>
      <c r="H31" s="14">
        <v>0.55000000000000004</v>
      </c>
      <c r="I31" s="14">
        <v>0.53</v>
      </c>
      <c r="J31" s="14">
        <v>0.47</v>
      </c>
      <c r="K31" s="14">
        <v>0.55000000000000004</v>
      </c>
      <c r="L31" s="14">
        <v>0.39</v>
      </c>
      <c r="M31" s="14">
        <v>0.33</v>
      </c>
      <c r="N31" s="14">
        <v>0.39</v>
      </c>
      <c r="O31" s="14">
        <v>0.42</v>
      </c>
      <c r="P31" s="14">
        <v>0.37</v>
      </c>
      <c r="Q31" s="14">
        <v>0.34</v>
      </c>
      <c r="R31" s="14">
        <v>0.35</v>
      </c>
      <c r="S31" s="14">
        <v>0.42</v>
      </c>
      <c r="T31" s="14">
        <v>0.59</v>
      </c>
      <c r="U31" s="14">
        <v>0.51</v>
      </c>
      <c r="V31" s="14">
        <v>0.38</v>
      </c>
      <c r="W31" s="14">
        <v>0.33</v>
      </c>
      <c r="X31" s="14">
        <v>0.59</v>
      </c>
      <c r="Y31" s="14">
        <v>0.51</v>
      </c>
      <c r="Z31" s="14">
        <v>0.16</v>
      </c>
      <c r="AA31" s="14">
        <v>0.32</v>
      </c>
      <c r="AB31" s="14">
        <v>0.3</v>
      </c>
      <c r="AC31" s="14">
        <v>0.57000000000000006</v>
      </c>
      <c r="AD31" s="14">
        <v>0.37</v>
      </c>
      <c r="AE31" s="14">
        <v>0.72</v>
      </c>
      <c r="AF31" s="14">
        <v>0.81</v>
      </c>
    </row>
    <row r="32" spans="1:32">
      <c r="A32" s="19"/>
      <c r="B32" s="11" t="s">
        <v>914</v>
      </c>
      <c r="C32" s="12">
        <v>4325</v>
      </c>
      <c r="D32" s="12">
        <v>166</v>
      </c>
      <c r="E32" s="12">
        <v>223</v>
      </c>
      <c r="F32" s="12">
        <v>187</v>
      </c>
      <c r="G32" s="12">
        <v>86</v>
      </c>
      <c r="H32" s="12">
        <v>180</v>
      </c>
      <c r="I32" s="12">
        <v>242</v>
      </c>
      <c r="J32" s="12">
        <v>62</v>
      </c>
      <c r="K32" s="12">
        <v>126</v>
      </c>
      <c r="L32" s="12">
        <v>170</v>
      </c>
      <c r="M32" s="12">
        <v>159</v>
      </c>
      <c r="N32" s="12">
        <v>133</v>
      </c>
      <c r="O32" s="12">
        <v>173</v>
      </c>
      <c r="P32" s="12">
        <v>178</v>
      </c>
      <c r="Q32" s="12">
        <v>172</v>
      </c>
      <c r="R32" s="12">
        <v>78</v>
      </c>
      <c r="S32" s="12">
        <v>143</v>
      </c>
      <c r="T32" s="12">
        <v>134</v>
      </c>
      <c r="U32" s="12">
        <v>69</v>
      </c>
      <c r="V32" s="12">
        <v>251</v>
      </c>
      <c r="W32" s="12">
        <v>76</v>
      </c>
      <c r="X32" s="12">
        <v>174</v>
      </c>
      <c r="Y32" s="12">
        <v>147</v>
      </c>
      <c r="Z32" s="12">
        <v>226</v>
      </c>
      <c r="AA32" s="12">
        <v>168</v>
      </c>
      <c r="AB32" s="12">
        <v>185</v>
      </c>
      <c r="AC32" s="12">
        <v>116</v>
      </c>
      <c r="AD32" s="12">
        <v>166</v>
      </c>
      <c r="AE32" s="12">
        <v>63</v>
      </c>
      <c r="AF32" s="12">
        <v>58</v>
      </c>
    </row>
    <row r="33" spans="1:32">
      <c r="A33" s="19"/>
      <c r="B33" s="13" t="s">
        <v>915</v>
      </c>
      <c r="C33" s="14">
        <v>0.16</v>
      </c>
      <c r="D33" s="14">
        <v>0.16</v>
      </c>
      <c r="E33" s="14">
        <v>0.21</v>
      </c>
      <c r="F33" s="14">
        <v>0.18</v>
      </c>
      <c r="G33" s="14">
        <v>0.08</v>
      </c>
      <c r="H33" s="14">
        <v>0.15</v>
      </c>
      <c r="I33" s="14">
        <v>0.16</v>
      </c>
      <c r="J33" s="14">
        <v>0.21</v>
      </c>
      <c r="K33" s="14">
        <v>0.13</v>
      </c>
      <c r="L33" s="14">
        <v>0.17</v>
      </c>
      <c r="M33" s="14">
        <v>0.16</v>
      </c>
      <c r="N33" s="14">
        <v>0.13</v>
      </c>
      <c r="O33" s="14">
        <v>0.17</v>
      </c>
      <c r="P33" s="14">
        <v>0.18</v>
      </c>
      <c r="Q33" s="14">
        <v>0.17</v>
      </c>
      <c r="R33" s="14">
        <v>0.15</v>
      </c>
      <c r="S33" s="14">
        <v>0.14000000000000001</v>
      </c>
      <c r="T33" s="14">
        <v>0.13</v>
      </c>
      <c r="U33" s="14">
        <v>0.14000000000000001</v>
      </c>
      <c r="V33" s="14">
        <v>0.24</v>
      </c>
      <c r="W33" s="14">
        <v>0.15</v>
      </c>
      <c r="X33" s="14">
        <v>0.17</v>
      </c>
      <c r="Y33" s="14">
        <v>0.15</v>
      </c>
      <c r="Z33" s="14">
        <v>0.22</v>
      </c>
      <c r="AA33" s="14">
        <v>0.16</v>
      </c>
      <c r="AB33" s="14">
        <v>0.18</v>
      </c>
      <c r="AC33" s="14">
        <v>0.12</v>
      </c>
      <c r="AD33" s="14">
        <v>0.17</v>
      </c>
      <c r="AE33" s="14">
        <v>0.06</v>
      </c>
      <c r="AF33" s="14">
        <v>0.06</v>
      </c>
    </row>
    <row r="34" spans="1:32">
      <c r="A34" s="19"/>
      <c r="B34" s="11" t="s">
        <v>916</v>
      </c>
      <c r="C34" s="12">
        <v>9730</v>
      </c>
      <c r="D34" s="12">
        <v>414</v>
      </c>
      <c r="E34" s="12">
        <v>358</v>
      </c>
      <c r="F34" s="12">
        <v>412</v>
      </c>
      <c r="G34" s="12">
        <v>126</v>
      </c>
      <c r="H34" s="12">
        <v>306</v>
      </c>
      <c r="I34" s="12">
        <v>392</v>
      </c>
      <c r="J34" s="12">
        <v>87</v>
      </c>
      <c r="K34" s="12">
        <v>237</v>
      </c>
      <c r="L34" s="12">
        <v>418</v>
      </c>
      <c r="M34" s="12">
        <v>417</v>
      </c>
      <c r="N34" s="12">
        <v>451</v>
      </c>
      <c r="O34" s="12">
        <v>332</v>
      </c>
      <c r="P34" s="12">
        <v>389</v>
      </c>
      <c r="Q34" s="12">
        <v>478</v>
      </c>
      <c r="R34" s="12">
        <v>223</v>
      </c>
      <c r="S34" s="12">
        <v>358</v>
      </c>
      <c r="T34" s="12">
        <v>155</v>
      </c>
      <c r="U34" s="12">
        <v>171</v>
      </c>
      <c r="V34" s="12">
        <v>358</v>
      </c>
      <c r="W34" s="12">
        <v>239</v>
      </c>
      <c r="X34" s="12">
        <v>234</v>
      </c>
      <c r="Y34" s="12">
        <v>285</v>
      </c>
      <c r="Z34" s="12">
        <v>593</v>
      </c>
      <c r="AA34" s="12">
        <v>461</v>
      </c>
      <c r="AB34" s="12">
        <v>472</v>
      </c>
      <c r="AC34" s="12">
        <v>253</v>
      </c>
      <c r="AD34" s="12">
        <v>387</v>
      </c>
      <c r="AE34" s="12">
        <v>181</v>
      </c>
      <c r="AF34" s="12">
        <v>110</v>
      </c>
    </row>
    <row r="35" spans="1:32">
      <c r="A35" s="19"/>
      <c r="B35" s="13" t="s">
        <v>917</v>
      </c>
      <c r="C35" s="14">
        <v>0.37</v>
      </c>
      <c r="D35" s="14">
        <v>0.41</v>
      </c>
      <c r="E35" s="14">
        <v>0.34</v>
      </c>
      <c r="F35" s="14">
        <v>0.39</v>
      </c>
      <c r="G35" s="14">
        <v>0.12</v>
      </c>
      <c r="H35" s="14">
        <v>0.25</v>
      </c>
      <c r="I35" s="14">
        <v>0.26</v>
      </c>
      <c r="J35" s="14">
        <v>0.28999999999999998</v>
      </c>
      <c r="K35" s="14">
        <v>0.24</v>
      </c>
      <c r="L35" s="14">
        <v>0.42</v>
      </c>
      <c r="M35" s="14">
        <v>0.41</v>
      </c>
      <c r="N35" s="14">
        <v>0.45</v>
      </c>
      <c r="O35" s="14">
        <v>0.33</v>
      </c>
      <c r="P35" s="14">
        <v>0.4</v>
      </c>
      <c r="Q35" s="14">
        <v>0.46</v>
      </c>
      <c r="R35" s="14">
        <v>0.45</v>
      </c>
      <c r="S35" s="14">
        <v>0.36</v>
      </c>
      <c r="T35" s="14">
        <v>0.15</v>
      </c>
      <c r="U35" s="14">
        <v>0.34</v>
      </c>
      <c r="V35" s="14">
        <v>0.36</v>
      </c>
      <c r="W35" s="14">
        <v>0.48</v>
      </c>
      <c r="X35" s="14">
        <v>0.23</v>
      </c>
      <c r="Y35" s="14">
        <v>0.28000000000000003</v>
      </c>
      <c r="Z35" s="14">
        <v>0.57999999999999996</v>
      </c>
      <c r="AA35" s="14">
        <v>0.44</v>
      </c>
      <c r="AB35" s="14">
        <v>0.45</v>
      </c>
      <c r="AC35" s="14">
        <v>0.25</v>
      </c>
      <c r="AD35" s="14">
        <v>0.39</v>
      </c>
      <c r="AE35" s="14">
        <v>0.18</v>
      </c>
      <c r="AF35" s="14">
        <v>0.1</v>
      </c>
    </row>
  </sheetData>
  <mergeCells count="10">
    <mergeCell ref="A30:A35"/>
    <mergeCell ref="H4:L4"/>
    <mergeCell ref="B4:F4"/>
    <mergeCell ref="H3:L3"/>
    <mergeCell ref="C8:AF8"/>
    <mergeCell ref="A10:A29"/>
    <mergeCell ref="B5:F5"/>
    <mergeCell ref="B3:F3"/>
    <mergeCell ref="H5:L5"/>
    <mergeCell ref="B10:B1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3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96" customHeight="1">
      <c r="B3" s="17" t="s">
        <v>926</v>
      </c>
      <c r="C3" s="17"/>
      <c r="D3" s="17"/>
      <c r="E3" s="17"/>
      <c r="F3" s="17"/>
      <c r="H3" s="17" t="s">
        <v>927</v>
      </c>
      <c r="I3" s="17"/>
      <c r="J3" s="17"/>
      <c r="K3" s="17"/>
      <c r="L3" s="17"/>
    </row>
    <row r="4" spans="1:32" ht="27" customHeight="1">
      <c r="B4" s="17" t="s">
        <v>928</v>
      </c>
      <c r="C4" s="17"/>
      <c r="D4" s="17"/>
      <c r="E4" s="17"/>
      <c r="F4" s="17"/>
      <c r="H4" s="17" t="s">
        <v>929</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906</v>
      </c>
      <c r="C12" s="12">
        <v>1824</v>
      </c>
      <c r="D12" s="12">
        <v>51</v>
      </c>
      <c r="E12" s="12">
        <v>89</v>
      </c>
      <c r="F12" s="12">
        <v>128</v>
      </c>
      <c r="G12" s="12">
        <v>126</v>
      </c>
      <c r="H12" s="12">
        <v>101</v>
      </c>
      <c r="I12" s="12">
        <v>116</v>
      </c>
      <c r="J12" s="12">
        <v>15</v>
      </c>
      <c r="K12" s="12">
        <v>95</v>
      </c>
      <c r="L12" s="12">
        <v>55</v>
      </c>
      <c r="M12" s="12">
        <v>50</v>
      </c>
      <c r="N12" s="12">
        <v>55</v>
      </c>
      <c r="O12" s="12">
        <v>79</v>
      </c>
      <c r="P12" s="12">
        <v>141</v>
      </c>
      <c r="Q12" s="12">
        <v>70</v>
      </c>
      <c r="R12" s="12">
        <v>42</v>
      </c>
      <c r="S12" s="12">
        <v>58</v>
      </c>
      <c r="T12" s="12">
        <v>79</v>
      </c>
      <c r="U12" s="12">
        <v>42</v>
      </c>
      <c r="V12" s="12">
        <v>66</v>
      </c>
      <c r="W12" s="12">
        <v>47</v>
      </c>
      <c r="X12" s="12">
        <v>59</v>
      </c>
      <c r="Y12" s="12">
        <v>101</v>
      </c>
      <c r="Z12" s="12">
        <v>22</v>
      </c>
      <c r="AA12" s="12">
        <v>41</v>
      </c>
      <c r="AB12" s="12">
        <v>72</v>
      </c>
      <c r="AC12" s="12">
        <v>259</v>
      </c>
      <c r="AD12" s="12">
        <v>68</v>
      </c>
      <c r="AE12" s="12">
        <v>61</v>
      </c>
      <c r="AF12" s="12">
        <v>107</v>
      </c>
    </row>
    <row r="13" spans="1:32">
      <c r="A13" s="19"/>
      <c r="B13" s="13" t="s">
        <v>907</v>
      </c>
      <c r="C13" s="14">
        <v>7.0000000000000007E-2</v>
      </c>
      <c r="D13" s="14">
        <v>0.05</v>
      </c>
      <c r="E13" s="14">
        <v>0.08</v>
      </c>
      <c r="F13" s="14">
        <v>0.12</v>
      </c>
      <c r="G13" s="14">
        <v>0.12</v>
      </c>
      <c r="H13" s="14">
        <v>0.08</v>
      </c>
      <c r="I13" s="14">
        <v>0.08</v>
      </c>
      <c r="J13" s="14">
        <v>0.05</v>
      </c>
      <c r="K13" s="14">
        <v>0.09</v>
      </c>
      <c r="L13" s="14">
        <v>0.05</v>
      </c>
      <c r="M13" s="14">
        <v>0.05</v>
      </c>
      <c r="N13" s="14">
        <v>0.06</v>
      </c>
      <c r="O13" s="14">
        <v>0.08</v>
      </c>
      <c r="P13" s="14">
        <v>0.14000000000000001</v>
      </c>
      <c r="Q13" s="14">
        <v>7.0000000000000007E-2</v>
      </c>
      <c r="R13" s="14">
        <v>0.08</v>
      </c>
      <c r="S13" s="14">
        <v>0.06</v>
      </c>
      <c r="T13" s="14">
        <v>0.08</v>
      </c>
      <c r="U13" s="14">
        <v>0.08</v>
      </c>
      <c r="V13" s="14">
        <v>0.06</v>
      </c>
      <c r="W13" s="14">
        <v>0.09</v>
      </c>
      <c r="X13" s="14">
        <v>0.06</v>
      </c>
      <c r="Y13" s="14">
        <v>0.1</v>
      </c>
      <c r="Z13" s="14">
        <v>0.02</v>
      </c>
      <c r="AA13" s="14">
        <v>0.04</v>
      </c>
      <c r="AB13" s="14">
        <v>7.0000000000000007E-2</v>
      </c>
      <c r="AC13" s="14">
        <v>0.26</v>
      </c>
      <c r="AD13" s="14">
        <v>7.0000000000000007E-2</v>
      </c>
      <c r="AE13" s="14">
        <v>0.06</v>
      </c>
      <c r="AF13" s="14">
        <v>0.1</v>
      </c>
    </row>
    <row r="14" spans="1:32">
      <c r="A14" s="19"/>
      <c r="B14" s="11" t="s">
        <v>578</v>
      </c>
      <c r="C14" s="12">
        <v>1112</v>
      </c>
      <c r="D14" s="12">
        <v>37</v>
      </c>
      <c r="E14" s="12">
        <v>30</v>
      </c>
      <c r="F14" s="12">
        <v>50</v>
      </c>
      <c r="G14" s="12">
        <v>82</v>
      </c>
      <c r="H14" s="12">
        <v>76</v>
      </c>
      <c r="I14" s="12">
        <v>85</v>
      </c>
      <c r="J14" s="12">
        <v>10</v>
      </c>
      <c r="K14" s="12">
        <v>64</v>
      </c>
      <c r="L14" s="12">
        <v>41</v>
      </c>
      <c r="M14" s="12">
        <v>22</v>
      </c>
      <c r="N14" s="12">
        <v>23</v>
      </c>
      <c r="O14" s="12">
        <v>46</v>
      </c>
      <c r="P14" s="12">
        <v>63</v>
      </c>
      <c r="Q14" s="12">
        <v>22</v>
      </c>
      <c r="R14" s="12">
        <v>30</v>
      </c>
      <c r="S14" s="12">
        <v>21</v>
      </c>
      <c r="T14" s="12">
        <v>52</v>
      </c>
      <c r="U14" s="12">
        <v>16</v>
      </c>
      <c r="V14" s="12">
        <v>49</v>
      </c>
      <c r="W14" s="12">
        <v>32</v>
      </c>
      <c r="X14" s="12">
        <v>96</v>
      </c>
      <c r="Y14" s="12">
        <v>49</v>
      </c>
      <c r="Z14" s="12">
        <v>21</v>
      </c>
      <c r="AA14" s="12">
        <v>32</v>
      </c>
      <c r="AB14" s="12">
        <v>25</v>
      </c>
      <c r="AC14" s="12">
        <v>69</v>
      </c>
      <c r="AD14" s="12">
        <v>55</v>
      </c>
      <c r="AE14" s="12">
        <v>70</v>
      </c>
      <c r="AF14" s="12">
        <v>114</v>
      </c>
    </row>
    <row r="15" spans="1:32">
      <c r="A15" s="19"/>
      <c r="B15" s="13" t="s">
        <v>578</v>
      </c>
      <c r="C15" s="14">
        <v>0.04</v>
      </c>
      <c r="D15" s="14">
        <v>0.04</v>
      </c>
      <c r="E15" s="14">
        <v>0.03</v>
      </c>
      <c r="F15" s="14">
        <v>0.05</v>
      </c>
      <c r="G15" s="14">
        <v>0.08</v>
      </c>
      <c r="H15" s="14">
        <v>0.06</v>
      </c>
      <c r="I15" s="14">
        <v>0.06</v>
      </c>
      <c r="J15" s="14">
        <v>0.03</v>
      </c>
      <c r="K15" s="14">
        <v>0.06</v>
      </c>
      <c r="L15" s="14">
        <v>0.04</v>
      </c>
      <c r="M15" s="14">
        <v>0.02</v>
      </c>
      <c r="N15" s="14">
        <v>0.02</v>
      </c>
      <c r="O15" s="14">
        <v>0.05</v>
      </c>
      <c r="P15" s="14">
        <v>0.06</v>
      </c>
      <c r="Q15" s="14">
        <v>0.02</v>
      </c>
      <c r="R15" s="14">
        <v>0.06</v>
      </c>
      <c r="S15" s="14">
        <v>0.02</v>
      </c>
      <c r="T15" s="14">
        <v>0.05</v>
      </c>
      <c r="U15" s="14">
        <v>0.03</v>
      </c>
      <c r="V15" s="14">
        <v>0.05</v>
      </c>
      <c r="W15" s="14">
        <v>0.06</v>
      </c>
      <c r="X15" s="14">
        <v>0.09</v>
      </c>
      <c r="Y15" s="14">
        <v>0.05</v>
      </c>
      <c r="Z15" s="14">
        <v>0.02</v>
      </c>
      <c r="AA15" s="14">
        <v>0.03</v>
      </c>
      <c r="AB15" s="14">
        <v>0.02</v>
      </c>
      <c r="AC15" s="14">
        <v>7.0000000000000007E-2</v>
      </c>
      <c r="AD15" s="14">
        <v>0.05</v>
      </c>
      <c r="AE15" s="14">
        <v>7.0000000000000007E-2</v>
      </c>
      <c r="AF15" s="14">
        <v>0.11</v>
      </c>
    </row>
    <row r="16" spans="1:32">
      <c r="A16" s="19"/>
      <c r="B16" s="11" t="s">
        <v>579</v>
      </c>
      <c r="C16" s="12">
        <v>1866</v>
      </c>
      <c r="D16" s="12">
        <v>67</v>
      </c>
      <c r="E16" s="12">
        <v>83</v>
      </c>
      <c r="F16" s="12">
        <v>92</v>
      </c>
      <c r="G16" s="12">
        <v>121</v>
      </c>
      <c r="H16" s="12">
        <v>123</v>
      </c>
      <c r="I16" s="12">
        <v>152</v>
      </c>
      <c r="J16" s="12">
        <v>29</v>
      </c>
      <c r="K16" s="12">
        <v>96</v>
      </c>
      <c r="L16" s="12">
        <v>83</v>
      </c>
      <c r="M16" s="12">
        <v>40</v>
      </c>
      <c r="N16" s="12">
        <v>13</v>
      </c>
      <c r="O16" s="12">
        <v>46</v>
      </c>
      <c r="P16" s="12">
        <v>101</v>
      </c>
      <c r="Q16" s="12">
        <v>66</v>
      </c>
      <c r="R16" s="12">
        <v>39</v>
      </c>
      <c r="S16" s="12">
        <v>62</v>
      </c>
      <c r="T16" s="12">
        <v>103</v>
      </c>
      <c r="U16" s="12">
        <v>23</v>
      </c>
      <c r="V16" s="12">
        <v>132</v>
      </c>
      <c r="W16" s="12">
        <v>33</v>
      </c>
      <c r="X16" s="12">
        <v>132</v>
      </c>
      <c r="Y16" s="12">
        <v>87</v>
      </c>
      <c r="Z16" s="12">
        <v>53</v>
      </c>
      <c r="AA16" s="12">
        <v>61</v>
      </c>
      <c r="AB16" s="12">
        <v>66</v>
      </c>
      <c r="AC16" s="12">
        <v>79</v>
      </c>
      <c r="AD16" s="12">
        <v>97</v>
      </c>
      <c r="AE16" s="12">
        <v>107</v>
      </c>
      <c r="AF16" s="12">
        <v>157</v>
      </c>
    </row>
    <row r="17" spans="1:32">
      <c r="A17" s="19"/>
      <c r="B17" s="13" t="s">
        <v>579</v>
      </c>
      <c r="C17" s="14">
        <v>7.0000000000000007E-2</v>
      </c>
      <c r="D17" s="14">
        <v>7.0000000000000007E-2</v>
      </c>
      <c r="E17" s="14">
        <v>0.08</v>
      </c>
      <c r="F17" s="14">
        <v>0.09</v>
      </c>
      <c r="G17" s="14">
        <v>0.12</v>
      </c>
      <c r="H17" s="14">
        <v>0.1</v>
      </c>
      <c r="I17" s="14">
        <v>0.1</v>
      </c>
      <c r="J17" s="14">
        <v>0.1</v>
      </c>
      <c r="K17" s="14">
        <v>0.1</v>
      </c>
      <c r="L17" s="14">
        <v>0.08</v>
      </c>
      <c r="M17" s="14">
        <v>0.04</v>
      </c>
      <c r="N17" s="14">
        <v>0.01</v>
      </c>
      <c r="O17" s="14">
        <v>0.04</v>
      </c>
      <c r="P17" s="14">
        <v>0.1</v>
      </c>
      <c r="Q17" s="14">
        <v>0.06</v>
      </c>
      <c r="R17" s="14">
        <v>0.08</v>
      </c>
      <c r="S17" s="14">
        <v>0.06</v>
      </c>
      <c r="T17" s="14">
        <v>0.1</v>
      </c>
      <c r="U17" s="14">
        <v>0.05</v>
      </c>
      <c r="V17" s="14">
        <v>0.13</v>
      </c>
      <c r="W17" s="14">
        <v>7.0000000000000007E-2</v>
      </c>
      <c r="X17" s="14">
        <v>0.13</v>
      </c>
      <c r="Y17" s="14">
        <v>0.09</v>
      </c>
      <c r="Z17" s="14">
        <v>0.05</v>
      </c>
      <c r="AA17" s="14">
        <v>0.06</v>
      </c>
      <c r="AB17" s="14">
        <v>0.06</v>
      </c>
      <c r="AC17" s="14">
        <v>0.08</v>
      </c>
      <c r="AD17" s="14">
        <v>0.1</v>
      </c>
      <c r="AE17" s="14">
        <v>0.11</v>
      </c>
      <c r="AF17" s="14">
        <v>0.15</v>
      </c>
    </row>
    <row r="18" spans="1:32">
      <c r="A18" s="19"/>
      <c r="B18" s="11" t="s">
        <v>580</v>
      </c>
      <c r="C18" s="12">
        <v>3902</v>
      </c>
      <c r="D18" s="12">
        <v>134</v>
      </c>
      <c r="E18" s="12">
        <v>187</v>
      </c>
      <c r="F18" s="12">
        <v>162</v>
      </c>
      <c r="G18" s="12">
        <v>156</v>
      </c>
      <c r="H18" s="12">
        <v>246</v>
      </c>
      <c r="I18" s="12">
        <v>302</v>
      </c>
      <c r="J18" s="12">
        <v>56</v>
      </c>
      <c r="K18" s="12">
        <v>118</v>
      </c>
      <c r="L18" s="12">
        <v>128</v>
      </c>
      <c r="M18" s="12">
        <v>106</v>
      </c>
      <c r="N18" s="12">
        <v>80</v>
      </c>
      <c r="O18" s="12">
        <v>121</v>
      </c>
      <c r="P18" s="12">
        <v>154</v>
      </c>
      <c r="Q18" s="12">
        <v>95</v>
      </c>
      <c r="R18" s="12">
        <v>50</v>
      </c>
      <c r="S18" s="12">
        <v>90</v>
      </c>
      <c r="T18" s="12">
        <v>119</v>
      </c>
      <c r="U18" s="12">
        <v>41</v>
      </c>
      <c r="V18" s="12">
        <v>238</v>
      </c>
      <c r="W18" s="12">
        <v>52</v>
      </c>
      <c r="X18" s="12">
        <v>214</v>
      </c>
      <c r="Y18" s="12">
        <v>200</v>
      </c>
      <c r="Z18" s="12">
        <v>232</v>
      </c>
      <c r="AA18" s="12">
        <v>94</v>
      </c>
      <c r="AB18" s="12">
        <v>163</v>
      </c>
      <c r="AC18" s="12">
        <v>122</v>
      </c>
      <c r="AD18" s="12">
        <v>181</v>
      </c>
      <c r="AE18" s="12">
        <v>129</v>
      </c>
      <c r="AF18" s="12">
        <v>164</v>
      </c>
    </row>
    <row r="19" spans="1:32">
      <c r="A19" s="19"/>
      <c r="B19" s="13" t="s">
        <v>580</v>
      </c>
      <c r="C19" s="14">
        <v>0.15</v>
      </c>
      <c r="D19" s="14">
        <v>0.13</v>
      </c>
      <c r="E19" s="14">
        <v>0.18</v>
      </c>
      <c r="F19" s="14">
        <v>0.15</v>
      </c>
      <c r="G19" s="14">
        <v>0.15</v>
      </c>
      <c r="H19" s="14">
        <v>0.2</v>
      </c>
      <c r="I19" s="14">
        <v>0.2</v>
      </c>
      <c r="J19" s="14">
        <v>0.19</v>
      </c>
      <c r="K19" s="14">
        <v>0.12</v>
      </c>
      <c r="L19" s="14">
        <v>0.13</v>
      </c>
      <c r="M19" s="14">
        <v>0.11</v>
      </c>
      <c r="N19" s="14">
        <v>0.08</v>
      </c>
      <c r="O19" s="14">
        <v>0.12</v>
      </c>
      <c r="P19" s="14">
        <v>0.16</v>
      </c>
      <c r="Q19" s="14">
        <v>0.09</v>
      </c>
      <c r="R19" s="14">
        <v>0.1</v>
      </c>
      <c r="S19" s="14">
        <v>0.09</v>
      </c>
      <c r="T19" s="14">
        <v>0.12</v>
      </c>
      <c r="U19" s="14">
        <v>0.08</v>
      </c>
      <c r="V19" s="14">
        <v>0.23</v>
      </c>
      <c r="W19" s="14">
        <v>0.1</v>
      </c>
      <c r="X19" s="14">
        <v>0.21</v>
      </c>
      <c r="Y19" s="14">
        <v>0.2</v>
      </c>
      <c r="Z19" s="14">
        <v>0.23</v>
      </c>
      <c r="AA19" s="14">
        <v>0.09</v>
      </c>
      <c r="AB19" s="14">
        <v>0.16</v>
      </c>
      <c r="AC19" s="14">
        <v>0.12</v>
      </c>
      <c r="AD19" s="14">
        <v>0.18</v>
      </c>
      <c r="AE19" s="14">
        <v>0.13</v>
      </c>
      <c r="AF19" s="14">
        <v>0.16</v>
      </c>
    </row>
    <row r="20" spans="1:32">
      <c r="A20" s="19"/>
      <c r="B20" s="11" t="s">
        <v>581</v>
      </c>
      <c r="C20" s="12">
        <v>5180</v>
      </c>
      <c r="D20" s="12">
        <v>232</v>
      </c>
      <c r="E20" s="12">
        <v>221</v>
      </c>
      <c r="F20" s="12">
        <v>199</v>
      </c>
      <c r="G20" s="12">
        <v>202</v>
      </c>
      <c r="H20" s="12">
        <v>235</v>
      </c>
      <c r="I20" s="12">
        <v>300</v>
      </c>
      <c r="J20" s="12">
        <v>64</v>
      </c>
      <c r="K20" s="12">
        <v>139</v>
      </c>
      <c r="L20" s="12">
        <v>199</v>
      </c>
      <c r="M20" s="12">
        <v>223</v>
      </c>
      <c r="N20" s="12">
        <v>124</v>
      </c>
      <c r="O20" s="12">
        <v>167</v>
      </c>
      <c r="P20" s="12">
        <v>217</v>
      </c>
      <c r="Q20" s="12">
        <v>223</v>
      </c>
      <c r="R20" s="12">
        <v>112</v>
      </c>
      <c r="S20" s="12">
        <v>99</v>
      </c>
      <c r="T20" s="12">
        <v>149</v>
      </c>
      <c r="U20" s="12">
        <v>64</v>
      </c>
      <c r="V20" s="12">
        <v>262</v>
      </c>
      <c r="W20" s="12">
        <v>109</v>
      </c>
      <c r="X20" s="12">
        <v>200</v>
      </c>
      <c r="Y20" s="12">
        <v>198</v>
      </c>
      <c r="Z20" s="12">
        <v>277</v>
      </c>
      <c r="AA20" s="12">
        <v>144</v>
      </c>
      <c r="AB20" s="12">
        <v>282</v>
      </c>
      <c r="AC20" s="12">
        <v>118</v>
      </c>
      <c r="AD20" s="12">
        <v>215</v>
      </c>
      <c r="AE20" s="12">
        <v>201</v>
      </c>
      <c r="AF20" s="12">
        <v>180</v>
      </c>
    </row>
    <row r="21" spans="1:32">
      <c r="A21" s="19"/>
      <c r="B21" s="13" t="s">
        <v>581</v>
      </c>
      <c r="C21" s="14">
        <v>0.19</v>
      </c>
      <c r="D21" s="14">
        <v>0.23</v>
      </c>
      <c r="E21" s="14">
        <v>0.21</v>
      </c>
      <c r="F21" s="14">
        <v>0.19</v>
      </c>
      <c r="G21" s="14">
        <v>0.2</v>
      </c>
      <c r="H21" s="14">
        <v>0.19</v>
      </c>
      <c r="I21" s="14">
        <v>0.2</v>
      </c>
      <c r="J21" s="14">
        <v>0.21</v>
      </c>
      <c r="K21" s="14">
        <v>0.14000000000000001</v>
      </c>
      <c r="L21" s="14">
        <v>0.2</v>
      </c>
      <c r="M21" s="14">
        <v>0.22</v>
      </c>
      <c r="N21" s="14">
        <v>0.12</v>
      </c>
      <c r="O21" s="14">
        <v>0.17</v>
      </c>
      <c r="P21" s="14">
        <v>0.22</v>
      </c>
      <c r="Q21" s="14">
        <v>0.22</v>
      </c>
      <c r="R21" s="14">
        <v>0.22</v>
      </c>
      <c r="S21" s="14">
        <v>0.1</v>
      </c>
      <c r="T21" s="14">
        <v>0.14000000000000001</v>
      </c>
      <c r="U21" s="14">
        <v>0.13</v>
      </c>
      <c r="V21" s="14">
        <v>0.26</v>
      </c>
      <c r="W21" s="14">
        <v>0.22</v>
      </c>
      <c r="X21" s="14">
        <v>0.2</v>
      </c>
      <c r="Y21" s="14">
        <v>0.19</v>
      </c>
      <c r="Z21" s="14">
        <v>0.27</v>
      </c>
      <c r="AA21" s="14">
        <v>0.14000000000000001</v>
      </c>
      <c r="AB21" s="14">
        <v>0.27</v>
      </c>
      <c r="AC21" s="14">
        <v>0.12</v>
      </c>
      <c r="AD21" s="14">
        <v>0.21</v>
      </c>
      <c r="AE21" s="14">
        <v>0.2</v>
      </c>
      <c r="AF21" s="14">
        <v>0.18</v>
      </c>
    </row>
    <row r="22" spans="1:32">
      <c r="A22" s="19"/>
      <c r="B22" s="11" t="s">
        <v>582</v>
      </c>
      <c r="C22" s="12">
        <v>4234</v>
      </c>
      <c r="D22" s="12">
        <v>226</v>
      </c>
      <c r="E22" s="12">
        <v>159</v>
      </c>
      <c r="F22" s="12">
        <v>137</v>
      </c>
      <c r="G22" s="12">
        <v>106</v>
      </c>
      <c r="H22" s="12">
        <v>176</v>
      </c>
      <c r="I22" s="12">
        <v>229</v>
      </c>
      <c r="J22" s="12">
        <v>54</v>
      </c>
      <c r="K22" s="12">
        <v>161</v>
      </c>
      <c r="L22" s="12">
        <v>166</v>
      </c>
      <c r="M22" s="12">
        <v>212</v>
      </c>
      <c r="N22" s="12">
        <v>163</v>
      </c>
      <c r="O22" s="12">
        <v>145</v>
      </c>
      <c r="P22" s="12">
        <v>104</v>
      </c>
      <c r="Q22" s="12">
        <v>217</v>
      </c>
      <c r="R22" s="12">
        <v>67</v>
      </c>
      <c r="S22" s="12">
        <v>111</v>
      </c>
      <c r="T22" s="12">
        <v>98</v>
      </c>
      <c r="U22" s="12">
        <v>51</v>
      </c>
      <c r="V22" s="12">
        <v>131</v>
      </c>
      <c r="W22" s="12">
        <v>72</v>
      </c>
      <c r="X22" s="12">
        <v>169</v>
      </c>
      <c r="Y22" s="12">
        <v>119</v>
      </c>
      <c r="Z22" s="12">
        <v>159</v>
      </c>
      <c r="AA22" s="12">
        <v>178</v>
      </c>
      <c r="AB22" s="12">
        <v>187</v>
      </c>
      <c r="AC22" s="12">
        <v>82</v>
      </c>
      <c r="AD22" s="12">
        <v>106</v>
      </c>
      <c r="AE22" s="12">
        <v>135</v>
      </c>
      <c r="AF22" s="12">
        <v>122</v>
      </c>
    </row>
    <row r="23" spans="1:32">
      <c r="A23" s="19"/>
      <c r="B23" s="13" t="s">
        <v>582</v>
      </c>
      <c r="C23" s="14">
        <v>0.16</v>
      </c>
      <c r="D23" s="14">
        <v>0.22</v>
      </c>
      <c r="E23" s="14">
        <v>0.15</v>
      </c>
      <c r="F23" s="14">
        <v>0.13</v>
      </c>
      <c r="G23" s="14">
        <v>0.1</v>
      </c>
      <c r="H23" s="14">
        <v>0.14000000000000001</v>
      </c>
      <c r="I23" s="14">
        <v>0.15</v>
      </c>
      <c r="J23" s="14">
        <v>0.18</v>
      </c>
      <c r="K23" s="14">
        <v>0.16</v>
      </c>
      <c r="L23" s="14">
        <v>0.17</v>
      </c>
      <c r="M23" s="14">
        <v>0.21</v>
      </c>
      <c r="N23" s="14">
        <v>0.16</v>
      </c>
      <c r="O23" s="14">
        <v>0.14000000000000001</v>
      </c>
      <c r="P23" s="14">
        <v>0.1</v>
      </c>
      <c r="Q23" s="14">
        <v>0.21</v>
      </c>
      <c r="R23" s="14">
        <v>0.13</v>
      </c>
      <c r="S23" s="14">
        <v>0.11</v>
      </c>
      <c r="T23" s="14">
        <v>0.1</v>
      </c>
      <c r="U23" s="14">
        <v>0.1</v>
      </c>
      <c r="V23" s="14">
        <v>0.13</v>
      </c>
      <c r="W23" s="14">
        <v>0.14000000000000001</v>
      </c>
      <c r="X23" s="14">
        <v>0.17</v>
      </c>
      <c r="Y23" s="14">
        <v>0.12</v>
      </c>
      <c r="Z23" s="14">
        <v>0.16</v>
      </c>
      <c r="AA23" s="14">
        <v>0.17</v>
      </c>
      <c r="AB23" s="14">
        <v>0.18</v>
      </c>
      <c r="AC23" s="14">
        <v>0.08</v>
      </c>
      <c r="AD23" s="14">
        <v>0.11</v>
      </c>
      <c r="AE23" s="14">
        <v>0.13</v>
      </c>
      <c r="AF23" s="14">
        <v>0.12</v>
      </c>
    </row>
    <row r="24" spans="1:32">
      <c r="A24" s="19"/>
      <c r="B24" s="11" t="s">
        <v>908</v>
      </c>
      <c r="C24" s="12">
        <v>7110</v>
      </c>
      <c r="D24" s="12">
        <v>259</v>
      </c>
      <c r="E24" s="12">
        <v>167</v>
      </c>
      <c r="F24" s="12">
        <v>244</v>
      </c>
      <c r="G24" s="12">
        <v>171</v>
      </c>
      <c r="H24" s="12">
        <v>208</v>
      </c>
      <c r="I24" s="12">
        <v>267</v>
      </c>
      <c r="J24" s="12">
        <v>59</v>
      </c>
      <c r="K24" s="12">
        <v>250</v>
      </c>
      <c r="L24" s="12">
        <v>303</v>
      </c>
      <c r="M24" s="12">
        <v>261</v>
      </c>
      <c r="N24" s="12">
        <v>521</v>
      </c>
      <c r="O24" s="12">
        <v>327</v>
      </c>
      <c r="P24" s="12">
        <v>173</v>
      </c>
      <c r="Q24" s="12">
        <v>314</v>
      </c>
      <c r="R24" s="12">
        <v>138</v>
      </c>
      <c r="S24" s="12">
        <v>488</v>
      </c>
      <c r="T24" s="12">
        <v>289</v>
      </c>
      <c r="U24" s="12">
        <v>261</v>
      </c>
      <c r="V24" s="12">
        <v>118</v>
      </c>
      <c r="W24" s="12">
        <v>140</v>
      </c>
      <c r="X24" s="12">
        <v>133</v>
      </c>
      <c r="Y24" s="12">
        <v>189</v>
      </c>
      <c r="Z24" s="12">
        <v>222</v>
      </c>
      <c r="AA24" s="12">
        <v>408</v>
      </c>
      <c r="AB24" s="12">
        <v>181</v>
      </c>
      <c r="AC24" s="12">
        <v>212</v>
      </c>
      <c r="AD24" s="12">
        <v>207</v>
      </c>
      <c r="AE24" s="12">
        <v>265</v>
      </c>
      <c r="AF24" s="12">
        <v>158</v>
      </c>
    </row>
    <row r="25" spans="1:32">
      <c r="A25" s="19"/>
      <c r="B25" s="13" t="s">
        <v>909</v>
      </c>
      <c r="C25" s="14">
        <v>0.27</v>
      </c>
      <c r="D25" s="14">
        <v>0.25</v>
      </c>
      <c r="E25" s="14">
        <v>0.16</v>
      </c>
      <c r="F25" s="14">
        <v>0.23</v>
      </c>
      <c r="G25" s="14">
        <v>0.17</v>
      </c>
      <c r="H25" s="14">
        <v>0.17</v>
      </c>
      <c r="I25" s="14">
        <v>0.17</v>
      </c>
      <c r="J25" s="14">
        <v>0.2</v>
      </c>
      <c r="K25" s="14">
        <v>0.25</v>
      </c>
      <c r="L25" s="14">
        <v>0.3</v>
      </c>
      <c r="M25" s="14">
        <v>0.26</v>
      </c>
      <c r="N25" s="14">
        <v>0.52</v>
      </c>
      <c r="O25" s="14">
        <v>0.33</v>
      </c>
      <c r="P25" s="14">
        <v>0.17</v>
      </c>
      <c r="Q25" s="14">
        <v>0.3</v>
      </c>
      <c r="R25" s="14">
        <v>0.28000000000000003</v>
      </c>
      <c r="S25" s="14">
        <v>0.48</v>
      </c>
      <c r="T25" s="14">
        <v>0.28000000000000003</v>
      </c>
      <c r="U25" s="14">
        <v>0.51</v>
      </c>
      <c r="V25" s="14">
        <v>0.11</v>
      </c>
      <c r="W25" s="14">
        <v>0.28000000000000003</v>
      </c>
      <c r="X25" s="14">
        <v>0.13</v>
      </c>
      <c r="Y25" s="14">
        <v>0.19</v>
      </c>
      <c r="Z25" s="14">
        <v>0.22</v>
      </c>
      <c r="AA25" s="14">
        <v>0.39</v>
      </c>
      <c r="AB25" s="14">
        <v>0.17</v>
      </c>
      <c r="AC25" s="14">
        <v>0.21</v>
      </c>
      <c r="AD25" s="14">
        <v>0.21</v>
      </c>
      <c r="AE25" s="14">
        <v>0.26</v>
      </c>
      <c r="AF25" s="14">
        <v>0.15</v>
      </c>
    </row>
    <row r="26" spans="1:32">
      <c r="A26" s="19"/>
      <c r="B26" s="11" t="s">
        <v>910</v>
      </c>
      <c r="C26" s="12">
        <v>1021</v>
      </c>
      <c r="D26" s="12">
        <v>13</v>
      </c>
      <c r="E26" s="12">
        <v>92</v>
      </c>
      <c r="F26" s="12">
        <v>47</v>
      </c>
      <c r="G26" s="12">
        <v>26</v>
      </c>
      <c r="H26" s="12">
        <v>59</v>
      </c>
      <c r="I26" s="12">
        <v>67</v>
      </c>
      <c r="J26" s="12">
        <v>8</v>
      </c>
      <c r="K26" s="12">
        <v>78</v>
      </c>
      <c r="L26" s="12">
        <v>25</v>
      </c>
      <c r="M26" s="12">
        <v>90</v>
      </c>
      <c r="N26" s="12">
        <v>30</v>
      </c>
      <c r="O26" s="12">
        <v>55</v>
      </c>
      <c r="P26" s="12">
        <v>39</v>
      </c>
      <c r="Q26" s="12">
        <v>15</v>
      </c>
      <c r="R26" s="12">
        <v>13</v>
      </c>
      <c r="S26" s="12">
        <v>68</v>
      </c>
      <c r="T26" s="12">
        <v>121</v>
      </c>
      <c r="U26" s="12">
        <v>6</v>
      </c>
      <c r="V26" s="12">
        <v>29</v>
      </c>
      <c r="W26" s="12">
        <v>13</v>
      </c>
      <c r="X26" s="12">
        <v>3</v>
      </c>
      <c r="Y26" s="12">
        <v>49</v>
      </c>
      <c r="Z26" s="12">
        <v>27</v>
      </c>
      <c r="AA26" s="12">
        <v>71</v>
      </c>
      <c r="AB26" s="12">
        <v>59</v>
      </c>
      <c r="AC26" s="12">
        <v>60</v>
      </c>
      <c r="AD26" s="12">
        <v>72</v>
      </c>
      <c r="AE26" s="12">
        <v>26</v>
      </c>
      <c r="AF26" s="12">
        <v>26</v>
      </c>
    </row>
    <row r="27" spans="1:32">
      <c r="A27" s="19"/>
      <c r="B27" s="13" t="s">
        <v>911</v>
      </c>
      <c r="C27" s="14">
        <v>0.04</v>
      </c>
      <c r="D27" s="14">
        <v>0.01</v>
      </c>
      <c r="E27" s="14">
        <v>0.09</v>
      </c>
      <c r="F27" s="14">
        <v>0.04</v>
      </c>
      <c r="G27" s="14">
        <v>0.03</v>
      </c>
      <c r="H27" s="14">
        <v>0.05</v>
      </c>
      <c r="I27" s="14">
        <v>0.04</v>
      </c>
      <c r="J27" s="14">
        <v>0.03</v>
      </c>
      <c r="K27" s="14">
        <v>0.08</v>
      </c>
      <c r="L27" s="14">
        <v>0.02</v>
      </c>
      <c r="M27" s="14">
        <v>0.09</v>
      </c>
      <c r="N27" s="14">
        <v>0.03</v>
      </c>
      <c r="O27" s="14">
        <v>0.05</v>
      </c>
      <c r="P27" s="14">
        <v>0.04</v>
      </c>
      <c r="Q27" s="14">
        <v>0.02</v>
      </c>
      <c r="R27" s="14">
        <v>0.03</v>
      </c>
      <c r="S27" s="14">
        <v>7.0000000000000007E-2</v>
      </c>
      <c r="T27" s="14">
        <v>0.12</v>
      </c>
      <c r="U27" s="14">
        <v>0.01</v>
      </c>
      <c r="V27" s="14">
        <v>0.03</v>
      </c>
      <c r="W27" s="14">
        <v>0.03</v>
      </c>
      <c r="X27" s="15" t="s">
        <v>375</v>
      </c>
      <c r="Y27" s="14">
        <v>0.05</v>
      </c>
      <c r="Z27" s="14">
        <v>0.03</v>
      </c>
      <c r="AA27" s="14">
        <v>7.0000000000000007E-2</v>
      </c>
      <c r="AB27" s="14">
        <v>0.06</v>
      </c>
      <c r="AC27" s="14">
        <v>0.06</v>
      </c>
      <c r="AD27" s="14">
        <v>7.0000000000000007E-2</v>
      </c>
      <c r="AE27" s="14">
        <v>0.03</v>
      </c>
      <c r="AF27" s="14">
        <v>0.03</v>
      </c>
    </row>
    <row r="28" spans="1:32">
      <c r="A28" s="19"/>
      <c r="B28" s="11" t="s">
        <v>386</v>
      </c>
      <c r="C28" s="12">
        <v>204</v>
      </c>
      <c r="D28" s="12">
        <v>2</v>
      </c>
      <c r="E28" s="12">
        <v>17</v>
      </c>
      <c r="F28" s="12">
        <v>4</v>
      </c>
      <c r="G28" s="12">
        <v>27</v>
      </c>
      <c r="H28" s="12">
        <v>6</v>
      </c>
      <c r="I28" s="12">
        <v>8</v>
      </c>
      <c r="J28" s="12">
        <v>3</v>
      </c>
      <c r="K28" s="12">
        <v>5</v>
      </c>
      <c r="L28" s="12">
        <v>5</v>
      </c>
      <c r="M28" s="12">
        <v>3</v>
      </c>
      <c r="N28" s="12">
        <v>2</v>
      </c>
      <c r="O28" s="12">
        <v>18</v>
      </c>
      <c r="P28" s="12">
        <v>12</v>
      </c>
      <c r="Q28" s="12">
        <v>9</v>
      </c>
      <c r="R28" s="12">
        <v>10</v>
      </c>
      <c r="S28" s="12">
        <v>7</v>
      </c>
      <c r="T28" s="12">
        <v>13</v>
      </c>
      <c r="U28" s="12">
        <v>4</v>
      </c>
      <c r="V28" s="12">
        <v>2</v>
      </c>
      <c r="W28" s="12">
        <v>4</v>
      </c>
      <c r="X28" s="12">
        <v>5</v>
      </c>
      <c r="Y28" s="12">
        <v>11</v>
      </c>
      <c r="Z28" s="12">
        <v>3</v>
      </c>
      <c r="AA28" s="12">
        <v>8</v>
      </c>
      <c r="AB28" s="12">
        <v>7</v>
      </c>
      <c r="AC28" s="12">
        <v>5</v>
      </c>
      <c r="AD28" s="12">
        <v>3</v>
      </c>
      <c r="AE28" s="12">
        <v>7</v>
      </c>
      <c r="AF28" s="12">
        <v>2</v>
      </c>
    </row>
    <row r="29" spans="1:32">
      <c r="A29" s="19"/>
      <c r="B29" s="13" t="s">
        <v>399</v>
      </c>
      <c r="C29" s="14">
        <v>0.01</v>
      </c>
      <c r="D29" s="15" t="s">
        <v>375</v>
      </c>
      <c r="E29" s="14">
        <v>0.02</v>
      </c>
      <c r="F29" s="15" t="s">
        <v>375</v>
      </c>
      <c r="G29" s="14">
        <v>0.03</v>
      </c>
      <c r="H29" s="14">
        <v>0.01</v>
      </c>
      <c r="I29" s="15" t="s">
        <v>375</v>
      </c>
      <c r="J29" s="14">
        <v>0.01</v>
      </c>
      <c r="K29" s="15" t="s">
        <v>375</v>
      </c>
      <c r="L29" s="14">
        <v>0.01</v>
      </c>
      <c r="M29" s="15" t="s">
        <v>375</v>
      </c>
      <c r="N29" s="15" t="s">
        <v>375</v>
      </c>
      <c r="O29" s="14">
        <v>0.02</v>
      </c>
      <c r="P29" s="14">
        <v>0.01</v>
      </c>
      <c r="Q29" s="14">
        <v>0.01</v>
      </c>
      <c r="R29" s="14">
        <v>0.02</v>
      </c>
      <c r="S29" s="14">
        <v>0.01</v>
      </c>
      <c r="T29" s="14">
        <v>0.01</v>
      </c>
      <c r="U29" s="14">
        <v>0.01</v>
      </c>
      <c r="V29" s="15" t="s">
        <v>375</v>
      </c>
      <c r="W29" s="14">
        <v>0.01</v>
      </c>
      <c r="X29" s="14">
        <v>0.01</v>
      </c>
      <c r="Y29" s="14">
        <v>0.01</v>
      </c>
      <c r="Z29" s="15" t="s">
        <v>375</v>
      </c>
      <c r="AA29" s="14">
        <v>0.01</v>
      </c>
      <c r="AB29" s="14">
        <v>0.01</v>
      </c>
      <c r="AC29" s="15" t="s">
        <v>375</v>
      </c>
      <c r="AD29" s="15" t="s">
        <v>375</v>
      </c>
      <c r="AE29" s="14">
        <v>0.01</v>
      </c>
      <c r="AF29" s="15" t="s">
        <v>375</v>
      </c>
    </row>
    <row r="30" spans="1:32">
      <c r="A30" s="19"/>
      <c r="B30" s="11" t="s">
        <v>912</v>
      </c>
      <c r="C30" s="12">
        <v>4802</v>
      </c>
      <c r="D30" s="12">
        <v>155</v>
      </c>
      <c r="E30" s="12">
        <v>202</v>
      </c>
      <c r="F30" s="12">
        <v>270</v>
      </c>
      <c r="G30" s="12">
        <v>329</v>
      </c>
      <c r="H30" s="12">
        <v>300</v>
      </c>
      <c r="I30" s="12">
        <v>353</v>
      </c>
      <c r="J30" s="12">
        <v>54</v>
      </c>
      <c r="K30" s="12">
        <v>255</v>
      </c>
      <c r="L30" s="12">
        <v>179</v>
      </c>
      <c r="M30" s="12">
        <v>112</v>
      </c>
      <c r="N30" s="12">
        <v>91</v>
      </c>
      <c r="O30" s="12">
        <v>171</v>
      </c>
      <c r="P30" s="12">
        <v>305</v>
      </c>
      <c r="Q30" s="12">
        <v>158</v>
      </c>
      <c r="R30" s="12">
        <v>111</v>
      </c>
      <c r="S30" s="12">
        <v>141</v>
      </c>
      <c r="T30" s="12">
        <v>234</v>
      </c>
      <c r="U30" s="12">
        <v>81</v>
      </c>
      <c r="V30" s="12">
        <v>247</v>
      </c>
      <c r="W30" s="12">
        <v>112</v>
      </c>
      <c r="X30" s="12">
        <v>287</v>
      </c>
      <c r="Y30" s="12">
        <v>237</v>
      </c>
      <c r="Z30" s="12">
        <v>96</v>
      </c>
      <c r="AA30" s="12">
        <v>134</v>
      </c>
      <c r="AB30" s="12">
        <v>163</v>
      </c>
      <c r="AC30" s="12">
        <v>407</v>
      </c>
      <c r="AD30" s="12">
        <v>220</v>
      </c>
      <c r="AE30" s="12">
        <v>238</v>
      </c>
      <c r="AF30" s="12">
        <v>378</v>
      </c>
    </row>
    <row r="31" spans="1:32">
      <c r="A31" s="19"/>
      <c r="B31" s="13" t="s">
        <v>913</v>
      </c>
      <c r="C31" s="14">
        <v>0.18</v>
      </c>
      <c r="D31" s="14">
        <v>0.16</v>
      </c>
      <c r="E31" s="14">
        <v>0.19</v>
      </c>
      <c r="F31" s="14">
        <v>0.26</v>
      </c>
      <c r="G31" s="14">
        <v>0.32</v>
      </c>
      <c r="H31" s="14">
        <v>0.24</v>
      </c>
      <c r="I31" s="14">
        <v>0.24</v>
      </c>
      <c r="J31" s="14">
        <v>0.18</v>
      </c>
      <c r="K31" s="14">
        <v>0.25</v>
      </c>
      <c r="L31" s="14">
        <v>0.17</v>
      </c>
      <c r="M31" s="14">
        <v>0.11</v>
      </c>
      <c r="N31" s="14">
        <v>0.09</v>
      </c>
      <c r="O31" s="14">
        <v>0.17</v>
      </c>
      <c r="P31" s="14">
        <v>0.3</v>
      </c>
      <c r="Q31" s="14">
        <v>0.15</v>
      </c>
      <c r="R31" s="14">
        <v>0.22</v>
      </c>
      <c r="S31" s="14">
        <v>0.14000000000000001</v>
      </c>
      <c r="T31" s="14">
        <v>0.23</v>
      </c>
      <c r="U31" s="14">
        <v>0.16</v>
      </c>
      <c r="V31" s="14">
        <v>0.24</v>
      </c>
      <c r="W31" s="14">
        <v>0.22</v>
      </c>
      <c r="X31" s="14">
        <v>0.28000000000000003</v>
      </c>
      <c r="Y31" s="14">
        <v>0.24</v>
      </c>
      <c r="Z31" s="14">
        <v>0.09</v>
      </c>
      <c r="AA31" s="14">
        <v>0.13</v>
      </c>
      <c r="AB31" s="14">
        <v>0.15</v>
      </c>
      <c r="AC31" s="14">
        <v>0.41</v>
      </c>
      <c r="AD31" s="14">
        <v>0.22</v>
      </c>
      <c r="AE31" s="14">
        <v>0.24</v>
      </c>
      <c r="AF31" s="14">
        <v>0.36</v>
      </c>
    </row>
    <row r="32" spans="1:32">
      <c r="A32" s="19"/>
      <c r="B32" s="11" t="s">
        <v>914</v>
      </c>
      <c r="C32" s="12">
        <v>3902</v>
      </c>
      <c r="D32" s="12">
        <v>134</v>
      </c>
      <c r="E32" s="12">
        <v>187</v>
      </c>
      <c r="F32" s="12">
        <v>162</v>
      </c>
      <c r="G32" s="12">
        <v>156</v>
      </c>
      <c r="H32" s="12">
        <v>246</v>
      </c>
      <c r="I32" s="12">
        <v>302</v>
      </c>
      <c r="J32" s="12">
        <v>56</v>
      </c>
      <c r="K32" s="12">
        <v>118</v>
      </c>
      <c r="L32" s="12">
        <v>128</v>
      </c>
      <c r="M32" s="12">
        <v>106</v>
      </c>
      <c r="N32" s="12">
        <v>80</v>
      </c>
      <c r="O32" s="12">
        <v>121</v>
      </c>
      <c r="P32" s="12">
        <v>154</v>
      </c>
      <c r="Q32" s="12">
        <v>95</v>
      </c>
      <c r="R32" s="12">
        <v>50</v>
      </c>
      <c r="S32" s="12">
        <v>90</v>
      </c>
      <c r="T32" s="12">
        <v>119</v>
      </c>
      <c r="U32" s="12">
        <v>41</v>
      </c>
      <c r="V32" s="12">
        <v>238</v>
      </c>
      <c r="W32" s="12">
        <v>52</v>
      </c>
      <c r="X32" s="12">
        <v>214</v>
      </c>
      <c r="Y32" s="12">
        <v>200</v>
      </c>
      <c r="Z32" s="12">
        <v>232</v>
      </c>
      <c r="AA32" s="12">
        <v>94</v>
      </c>
      <c r="AB32" s="12">
        <v>163</v>
      </c>
      <c r="AC32" s="12">
        <v>122</v>
      </c>
      <c r="AD32" s="12">
        <v>181</v>
      </c>
      <c r="AE32" s="12">
        <v>129</v>
      </c>
      <c r="AF32" s="12">
        <v>164</v>
      </c>
    </row>
    <row r="33" spans="1:32">
      <c r="A33" s="19"/>
      <c r="B33" s="13" t="s">
        <v>915</v>
      </c>
      <c r="C33" s="14">
        <v>0.15</v>
      </c>
      <c r="D33" s="14">
        <v>0.13</v>
      </c>
      <c r="E33" s="14">
        <v>0.18</v>
      </c>
      <c r="F33" s="14">
        <v>0.15</v>
      </c>
      <c r="G33" s="14">
        <v>0.15</v>
      </c>
      <c r="H33" s="14">
        <v>0.2</v>
      </c>
      <c r="I33" s="14">
        <v>0.2</v>
      </c>
      <c r="J33" s="14">
        <v>0.19</v>
      </c>
      <c r="K33" s="14">
        <v>0.12</v>
      </c>
      <c r="L33" s="14">
        <v>0.13</v>
      </c>
      <c r="M33" s="14">
        <v>0.11</v>
      </c>
      <c r="N33" s="14">
        <v>0.08</v>
      </c>
      <c r="O33" s="14">
        <v>0.12</v>
      </c>
      <c r="P33" s="14">
        <v>0.16</v>
      </c>
      <c r="Q33" s="14">
        <v>0.09</v>
      </c>
      <c r="R33" s="14">
        <v>0.1</v>
      </c>
      <c r="S33" s="14">
        <v>0.09</v>
      </c>
      <c r="T33" s="14">
        <v>0.12</v>
      </c>
      <c r="U33" s="14">
        <v>0.08</v>
      </c>
      <c r="V33" s="14">
        <v>0.23</v>
      </c>
      <c r="W33" s="14">
        <v>0.1</v>
      </c>
      <c r="X33" s="14">
        <v>0.21</v>
      </c>
      <c r="Y33" s="14">
        <v>0.2</v>
      </c>
      <c r="Z33" s="14">
        <v>0.23</v>
      </c>
      <c r="AA33" s="14">
        <v>0.09</v>
      </c>
      <c r="AB33" s="14">
        <v>0.16</v>
      </c>
      <c r="AC33" s="14">
        <v>0.12</v>
      </c>
      <c r="AD33" s="14">
        <v>0.18</v>
      </c>
      <c r="AE33" s="14">
        <v>0.13</v>
      </c>
      <c r="AF33" s="14">
        <v>0.16</v>
      </c>
    </row>
    <row r="34" spans="1:32">
      <c r="A34" s="19"/>
      <c r="B34" s="11" t="s">
        <v>916</v>
      </c>
      <c r="C34" s="12">
        <v>16524</v>
      </c>
      <c r="D34" s="12">
        <v>717</v>
      </c>
      <c r="E34" s="12">
        <v>547</v>
      </c>
      <c r="F34" s="12">
        <v>580</v>
      </c>
      <c r="G34" s="12">
        <v>479</v>
      </c>
      <c r="H34" s="12">
        <v>619</v>
      </c>
      <c r="I34" s="12">
        <v>796</v>
      </c>
      <c r="J34" s="12">
        <v>177</v>
      </c>
      <c r="K34" s="12">
        <v>550</v>
      </c>
      <c r="L34" s="12">
        <v>668</v>
      </c>
      <c r="M34" s="12">
        <v>696</v>
      </c>
      <c r="N34" s="12">
        <v>808</v>
      </c>
      <c r="O34" s="12">
        <v>639</v>
      </c>
      <c r="P34" s="12">
        <v>494</v>
      </c>
      <c r="Q34" s="12">
        <v>754</v>
      </c>
      <c r="R34" s="12">
        <v>317</v>
      </c>
      <c r="S34" s="12">
        <v>698</v>
      </c>
      <c r="T34" s="12">
        <v>536</v>
      </c>
      <c r="U34" s="12">
        <v>376</v>
      </c>
      <c r="V34" s="12">
        <v>511</v>
      </c>
      <c r="W34" s="12">
        <v>321</v>
      </c>
      <c r="X34" s="12">
        <v>502</v>
      </c>
      <c r="Y34" s="12">
        <v>506</v>
      </c>
      <c r="Z34" s="12">
        <v>658</v>
      </c>
      <c r="AA34" s="12">
        <v>730</v>
      </c>
      <c r="AB34" s="12">
        <v>650</v>
      </c>
      <c r="AC34" s="12">
        <v>412</v>
      </c>
      <c r="AD34" s="12">
        <v>528</v>
      </c>
      <c r="AE34" s="12">
        <v>601</v>
      </c>
      <c r="AF34" s="12">
        <v>460</v>
      </c>
    </row>
    <row r="35" spans="1:32">
      <c r="A35" s="19"/>
      <c r="B35" s="13" t="s">
        <v>917</v>
      </c>
      <c r="C35" s="14">
        <v>0.62</v>
      </c>
      <c r="D35" s="14">
        <v>0.70000000000000007</v>
      </c>
      <c r="E35" s="14">
        <v>0.52</v>
      </c>
      <c r="F35" s="14">
        <v>0.55000000000000004</v>
      </c>
      <c r="G35" s="14">
        <v>0.47</v>
      </c>
      <c r="H35" s="14">
        <v>0.5</v>
      </c>
      <c r="I35" s="14">
        <v>0.52</v>
      </c>
      <c r="J35" s="14">
        <v>0.59</v>
      </c>
      <c r="K35" s="14">
        <v>0.55000000000000004</v>
      </c>
      <c r="L35" s="14">
        <v>0.67</v>
      </c>
      <c r="M35" s="14">
        <v>0.69000000000000006</v>
      </c>
      <c r="N35" s="14">
        <v>0.8</v>
      </c>
      <c r="O35" s="14">
        <v>0.64</v>
      </c>
      <c r="P35" s="14">
        <v>0.49</v>
      </c>
      <c r="Q35" s="14">
        <v>0.73</v>
      </c>
      <c r="R35" s="14">
        <v>0.63</v>
      </c>
      <c r="S35" s="14">
        <v>0.69000000000000006</v>
      </c>
      <c r="T35" s="14">
        <v>0.52</v>
      </c>
      <c r="U35" s="14">
        <v>0.74</v>
      </c>
      <c r="V35" s="14">
        <v>0.5</v>
      </c>
      <c r="W35" s="14">
        <v>0.64</v>
      </c>
      <c r="X35" s="14">
        <v>0.5</v>
      </c>
      <c r="Y35" s="14">
        <v>0.5</v>
      </c>
      <c r="Z35" s="14">
        <v>0.65</v>
      </c>
      <c r="AA35" s="14">
        <v>0.70000000000000007</v>
      </c>
      <c r="AB35" s="14">
        <v>0.62</v>
      </c>
      <c r="AC35" s="14">
        <v>0.41</v>
      </c>
      <c r="AD35" s="14">
        <v>0.53</v>
      </c>
      <c r="AE35" s="14">
        <v>0.59</v>
      </c>
      <c r="AF35" s="14">
        <v>0.45</v>
      </c>
    </row>
  </sheetData>
  <mergeCells count="10">
    <mergeCell ref="A30:A35"/>
    <mergeCell ref="H4:L4"/>
    <mergeCell ref="B4:F4"/>
    <mergeCell ref="H3:L3"/>
    <mergeCell ref="C8:AF8"/>
    <mergeCell ref="A10:A29"/>
    <mergeCell ref="B5:F5"/>
    <mergeCell ref="B3:F3"/>
    <mergeCell ref="H5:L5"/>
    <mergeCell ref="B10:B11"/>
  </mergeCells>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3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96" customHeight="1">
      <c r="B3" s="17" t="s">
        <v>930</v>
      </c>
      <c r="C3" s="17"/>
      <c r="D3" s="17"/>
      <c r="E3" s="17"/>
      <c r="F3" s="17"/>
      <c r="H3" s="17" t="s">
        <v>931</v>
      </c>
      <c r="I3" s="17"/>
      <c r="J3" s="17"/>
      <c r="K3" s="17"/>
      <c r="L3" s="17"/>
    </row>
    <row r="4" spans="1:32" ht="27" customHeight="1">
      <c r="B4" s="17" t="s">
        <v>932</v>
      </c>
      <c r="C4" s="17"/>
      <c r="D4" s="17"/>
      <c r="E4" s="17"/>
      <c r="F4" s="17"/>
      <c r="H4" s="17" t="s">
        <v>933</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906</v>
      </c>
      <c r="C12" s="12">
        <v>4202</v>
      </c>
      <c r="D12" s="12">
        <v>133</v>
      </c>
      <c r="E12" s="12">
        <v>164</v>
      </c>
      <c r="F12" s="12">
        <v>192</v>
      </c>
      <c r="G12" s="12">
        <v>396</v>
      </c>
      <c r="H12" s="12">
        <v>243</v>
      </c>
      <c r="I12" s="12">
        <v>288</v>
      </c>
      <c r="J12" s="12">
        <v>45</v>
      </c>
      <c r="K12" s="12">
        <v>225</v>
      </c>
      <c r="L12" s="12">
        <v>166</v>
      </c>
      <c r="M12" s="12">
        <v>107</v>
      </c>
      <c r="N12" s="12">
        <v>146</v>
      </c>
      <c r="O12" s="12">
        <v>193</v>
      </c>
      <c r="P12" s="12">
        <v>158</v>
      </c>
      <c r="Q12" s="12">
        <v>104</v>
      </c>
      <c r="R12" s="12">
        <v>66</v>
      </c>
      <c r="S12" s="12">
        <v>207</v>
      </c>
      <c r="T12" s="12">
        <v>246</v>
      </c>
      <c r="U12" s="12">
        <v>123</v>
      </c>
      <c r="V12" s="12">
        <v>101</v>
      </c>
      <c r="W12" s="12">
        <v>64</v>
      </c>
      <c r="X12" s="12">
        <v>171</v>
      </c>
      <c r="Y12" s="12">
        <v>212</v>
      </c>
      <c r="Z12" s="12">
        <v>31</v>
      </c>
      <c r="AA12" s="12">
        <v>55</v>
      </c>
      <c r="AB12" s="12">
        <v>117</v>
      </c>
      <c r="AC12" s="12">
        <v>376</v>
      </c>
      <c r="AD12" s="12">
        <v>100</v>
      </c>
      <c r="AE12" s="12">
        <v>422</v>
      </c>
      <c r="AF12" s="12">
        <v>502</v>
      </c>
    </row>
    <row r="13" spans="1:32">
      <c r="A13" s="19"/>
      <c r="B13" s="13" t="s">
        <v>907</v>
      </c>
      <c r="C13" s="14">
        <v>0.16</v>
      </c>
      <c r="D13" s="14">
        <v>0.13</v>
      </c>
      <c r="E13" s="14">
        <v>0.16</v>
      </c>
      <c r="F13" s="14">
        <v>0.18</v>
      </c>
      <c r="G13" s="14">
        <v>0.39</v>
      </c>
      <c r="H13" s="14">
        <v>0.2</v>
      </c>
      <c r="I13" s="14">
        <v>0.19</v>
      </c>
      <c r="J13" s="14">
        <v>0.15</v>
      </c>
      <c r="K13" s="14">
        <v>0.22</v>
      </c>
      <c r="L13" s="14">
        <v>0.17</v>
      </c>
      <c r="M13" s="14">
        <v>0.11</v>
      </c>
      <c r="N13" s="14">
        <v>0.14000000000000001</v>
      </c>
      <c r="O13" s="14">
        <v>0.19</v>
      </c>
      <c r="P13" s="14">
        <v>0.16</v>
      </c>
      <c r="Q13" s="14">
        <v>0.1</v>
      </c>
      <c r="R13" s="14">
        <v>0.13</v>
      </c>
      <c r="S13" s="14">
        <v>0.2</v>
      </c>
      <c r="T13" s="14">
        <v>0.24</v>
      </c>
      <c r="U13" s="14">
        <v>0.24</v>
      </c>
      <c r="V13" s="14">
        <v>0.1</v>
      </c>
      <c r="W13" s="14">
        <v>0.13</v>
      </c>
      <c r="X13" s="14">
        <v>0.17</v>
      </c>
      <c r="Y13" s="14">
        <v>0.21</v>
      </c>
      <c r="Z13" s="14">
        <v>0.03</v>
      </c>
      <c r="AA13" s="14">
        <v>0.05</v>
      </c>
      <c r="AB13" s="14">
        <v>0.11</v>
      </c>
      <c r="AC13" s="14">
        <v>0.37</v>
      </c>
      <c r="AD13" s="14">
        <v>0.1</v>
      </c>
      <c r="AE13" s="14">
        <v>0.42</v>
      </c>
      <c r="AF13" s="14">
        <v>0.49</v>
      </c>
    </row>
    <row r="14" spans="1:32">
      <c r="A14" s="19"/>
      <c r="B14" s="11" t="s">
        <v>578</v>
      </c>
      <c r="C14" s="12">
        <v>2545</v>
      </c>
      <c r="D14" s="12">
        <v>113</v>
      </c>
      <c r="E14" s="12">
        <v>82</v>
      </c>
      <c r="F14" s="12">
        <v>80</v>
      </c>
      <c r="G14" s="12">
        <v>176</v>
      </c>
      <c r="H14" s="12">
        <v>222</v>
      </c>
      <c r="I14" s="12">
        <v>257</v>
      </c>
      <c r="J14" s="12">
        <v>35</v>
      </c>
      <c r="K14" s="12">
        <v>150</v>
      </c>
      <c r="L14" s="12">
        <v>84</v>
      </c>
      <c r="M14" s="12">
        <v>71</v>
      </c>
      <c r="N14" s="12">
        <v>68</v>
      </c>
      <c r="O14" s="12">
        <v>105</v>
      </c>
      <c r="P14" s="12">
        <v>81</v>
      </c>
      <c r="Q14" s="12">
        <v>36</v>
      </c>
      <c r="R14" s="12">
        <v>45</v>
      </c>
      <c r="S14" s="12">
        <v>58</v>
      </c>
      <c r="T14" s="12">
        <v>95</v>
      </c>
      <c r="U14" s="12">
        <v>47</v>
      </c>
      <c r="V14" s="12">
        <v>63</v>
      </c>
      <c r="W14" s="12">
        <v>44</v>
      </c>
      <c r="X14" s="12">
        <v>179</v>
      </c>
      <c r="Y14" s="12">
        <v>92</v>
      </c>
      <c r="Z14" s="12">
        <v>30</v>
      </c>
      <c r="AA14" s="12">
        <v>64</v>
      </c>
      <c r="AB14" s="12">
        <v>47</v>
      </c>
      <c r="AC14" s="12">
        <v>88</v>
      </c>
      <c r="AD14" s="12">
        <v>107</v>
      </c>
      <c r="AE14" s="12">
        <v>172</v>
      </c>
      <c r="AF14" s="12">
        <v>185</v>
      </c>
    </row>
    <row r="15" spans="1:32">
      <c r="A15" s="19"/>
      <c r="B15" s="13" t="s">
        <v>578</v>
      </c>
      <c r="C15" s="14">
        <v>0.1</v>
      </c>
      <c r="D15" s="14">
        <v>0.11</v>
      </c>
      <c r="E15" s="14">
        <v>0.08</v>
      </c>
      <c r="F15" s="14">
        <v>0.08</v>
      </c>
      <c r="G15" s="14">
        <v>0.17</v>
      </c>
      <c r="H15" s="14">
        <v>0.18</v>
      </c>
      <c r="I15" s="14">
        <v>0.17</v>
      </c>
      <c r="J15" s="14">
        <v>0.12</v>
      </c>
      <c r="K15" s="14">
        <v>0.15</v>
      </c>
      <c r="L15" s="14">
        <v>0.08</v>
      </c>
      <c r="M15" s="14">
        <v>7.0000000000000007E-2</v>
      </c>
      <c r="N15" s="14">
        <v>7.0000000000000007E-2</v>
      </c>
      <c r="O15" s="14">
        <v>0.11</v>
      </c>
      <c r="P15" s="14">
        <v>0.08</v>
      </c>
      <c r="Q15" s="14">
        <v>0.04</v>
      </c>
      <c r="R15" s="14">
        <v>0.09</v>
      </c>
      <c r="S15" s="14">
        <v>0.06</v>
      </c>
      <c r="T15" s="14">
        <v>0.09</v>
      </c>
      <c r="U15" s="14">
        <v>0.09</v>
      </c>
      <c r="V15" s="14">
        <v>0.06</v>
      </c>
      <c r="W15" s="14">
        <v>0.09</v>
      </c>
      <c r="X15" s="14">
        <v>0.18</v>
      </c>
      <c r="Y15" s="14">
        <v>0.09</v>
      </c>
      <c r="Z15" s="14">
        <v>0.03</v>
      </c>
      <c r="AA15" s="14">
        <v>0.06</v>
      </c>
      <c r="AB15" s="14">
        <v>0.05</v>
      </c>
      <c r="AC15" s="14">
        <v>0.09</v>
      </c>
      <c r="AD15" s="14">
        <v>0.11</v>
      </c>
      <c r="AE15" s="14">
        <v>0.17</v>
      </c>
      <c r="AF15" s="14">
        <v>0.18</v>
      </c>
    </row>
    <row r="16" spans="1:32">
      <c r="A16" s="19"/>
      <c r="B16" s="11" t="s">
        <v>579</v>
      </c>
      <c r="C16" s="12">
        <v>3071</v>
      </c>
      <c r="D16" s="12">
        <v>141</v>
      </c>
      <c r="E16" s="12">
        <v>127</v>
      </c>
      <c r="F16" s="12">
        <v>145</v>
      </c>
      <c r="G16" s="12">
        <v>140</v>
      </c>
      <c r="H16" s="12">
        <v>189</v>
      </c>
      <c r="I16" s="12">
        <v>222</v>
      </c>
      <c r="J16" s="12">
        <v>32</v>
      </c>
      <c r="K16" s="12">
        <v>124</v>
      </c>
      <c r="L16" s="12">
        <v>124</v>
      </c>
      <c r="M16" s="12">
        <v>129</v>
      </c>
      <c r="N16" s="12">
        <v>64</v>
      </c>
      <c r="O16" s="12">
        <v>118</v>
      </c>
      <c r="P16" s="12">
        <v>126</v>
      </c>
      <c r="Q16" s="12">
        <v>105</v>
      </c>
      <c r="R16" s="12">
        <v>49</v>
      </c>
      <c r="S16" s="12">
        <v>118</v>
      </c>
      <c r="T16" s="12">
        <v>130</v>
      </c>
      <c r="U16" s="12">
        <v>54</v>
      </c>
      <c r="V16" s="12">
        <v>166</v>
      </c>
      <c r="W16" s="12">
        <v>66</v>
      </c>
      <c r="X16" s="12">
        <v>166</v>
      </c>
      <c r="Y16" s="12">
        <v>141</v>
      </c>
      <c r="Z16" s="12">
        <v>78</v>
      </c>
      <c r="AA16" s="12">
        <v>178</v>
      </c>
      <c r="AB16" s="12">
        <v>93</v>
      </c>
      <c r="AC16" s="12">
        <v>96</v>
      </c>
      <c r="AD16" s="12">
        <v>124</v>
      </c>
      <c r="AE16" s="12">
        <v>107</v>
      </c>
      <c r="AF16" s="12">
        <v>116</v>
      </c>
    </row>
    <row r="17" spans="1:32">
      <c r="A17" s="19"/>
      <c r="B17" s="13" t="s">
        <v>579</v>
      </c>
      <c r="C17" s="14">
        <v>0.12</v>
      </c>
      <c r="D17" s="14">
        <v>0.14000000000000001</v>
      </c>
      <c r="E17" s="14">
        <v>0.12</v>
      </c>
      <c r="F17" s="14">
        <v>0.14000000000000001</v>
      </c>
      <c r="G17" s="14">
        <v>0.14000000000000001</v>
      </c>
      <c r="H17" s="14">
        <v>0.15</v>
      </c>
      <c r="I17" s="14">
        <v>0.15</v>
      </c>
      <c r="J17" s="14">
        <v>0.11</v>
      </c>
      <c r="K17" s="14">
        <v>0.12</v>
      </c>
      <c r="L17" s="14">
        <v>0.12</v>
      </c>
      <c r="M17" s="14">
        <v>0.13</v>
      </c>
      <c r="N17" s="14">
        <v>0.06</v>
      </c>
      <c r="O17" s="14">
        <v>0.12</v>
      </c>
      <c r="P17" s="14">
        <v>0.13</v>
      </c>
      <c r="Q17" s="14">
        <v>0.1</v>
      </c>
      <c r="R17" s="14">
        <v>0.1</v>
      </c>
      <c r="S17" s="14">
        <v>0.12</v>
      </c>
      <c r="T17" s="14">
        <v>0.13</v>
      </c>
      <c r="U17" s="14">
        <v>0.11</v>
      </c>
      <c r="V17" s="14">
        <v>0.16</v>
      </c>
      <c r="W17" s="14">
        <v>0.13</v>
      </c>
      <c r="X17" s="14">
        <v>0.17</v>
      </c>
      <c r="Y17" s="14">
        <v>0.14000000000000001</v>
      </c>
      <c r="Z17" s="14">
        <v>0.08</v>
      </c>
      <c r="AA17" s="14">
        <v>0.17</v>
      </c>
      <c r="AB17" s="14">
        <v>0.09</v>
      </c>
      <c r="AC17" s="14">
        <v>0.1</v>
      </c>
      <c r="AD17" s="14">
        <v>0.12</v>
      </c>
      <c r="AE17" s="14">
        <v>0.11</v>
      </c>
      <c r="AF17" s="14">
        <v>0.11</v>
      </c>
    </row>
    <row r="18" spans="1:32">
      <c r="A18" s="19"/>
      <c r="B18" s="11" t="s">
        <v>580</v>
      </c>
      <c r="C18" s="12">
        <v>4132</v>
      </c>
      <c r="D18" s="12">
        <v>167</v>
      </c>
      <c r="E18" s="12">
        <v>208</v>
      </c>
      <c r="F18" s="12">
        <v>171</v>
      </c>
      <c r="G18" s="12">
        <v>88</v>
      </c>
      <c r="H18" s="12">
        <v>183</v>
      </c>
      <c r="I18" s="12">
        <v>247</v>
      </c>
      <c r="J18" s="12">
        <v>64</v>
      </c>
      <c r="K18" s="12">
        <v>97</v>
      </c>
      <c r="L18" s="12">
        <v>130</v>
      </c>
      <c r="M18" s="12">
        <v>169</v>
      </c>
      <c r="N18" s="12">
        <v>138</v>
      </c>
      <c r="O18" s="12">
        <v>135</v>
      </c>
      <c r="P18" s="12">
        <v>175</v>
      </c>
      <c r="Q18" s="12">
        <v>148</v>
      </c>
      <c r="R18" s="12">
        <v>86</v>
      </c>
      <c r="S18" s="12">
        <v>127</v>
      </c>
      <c r="T18" s="12">
        <v>175</v>
      </c>
      <c r="U18" s="12">
        <v>58</v>
      </c>
      <c r="V18" s="12">
        <v>254</v>
      </c>
      <c r="W18" s="12">
        <v>65</v>
      </c>
      <c r="X18" s="12">
        <v>183</v>
      </c>
      <c r="Y18" s="12">
        <v>146</v>
      </c>
      <c r="Z18" s="12">
        <v>230</v>
      </c>
      <c r="AA18" s="12">
        <v>158</v>
      </c>
      <c r="AB18" s="12">
        <v>176</v>
      </c>
      <c r="AC18" s="12">
        <v>112</v>
      </c>
      <c r="AD18" s="12">
        <v>189</v>
      </c>
      <c r="AE18" s="12">
        <v>72</v>
      </c>
      <c r="AF18" s="12">
        <v>84</v>
      </c>
    </row>
    <row r="19" spans="1:32">
      <c r="A19" s="19"/>
      <c r="B19" s="13" t="s">
        <v>580</v>
      </c>
      <c r="C19" s="14">
        <v>0.16</v>
      </c>
      <c r="D19" s="14">
        <v>0.16</v>
      </c>
      <c r="E19" s="14">
        <v>0.2</v>
      </c>
      <c r="F19" s="14">
        <v>0.16</v>
      </c>
      <c r="G19" s="14">
        <v>0.09</v>
      </c>
      <c r="H19" s="14">
        <v>0.15</v>
      </c>
      <c r="I19" s="14">
        <v>0.16</v>
      </c>
      <c r="J19" s="14">
        <v>0.21</v>
      </c>
      <c r="K19" s="14">
        <v>0.1</v>
      </c>
      <c r="L19" s="14">
        <v>0.13</v>
      </c>
      <c r="M19" s="14">
        <v>0.17</v>
      </c>
      <c r="N19" s="14">
        <v>0.14000000000000001</v>
      </c>
      <c r="O19" s="14">
        <v>0.13</v>
      </c>
      <c r="P19" s="14">
        <v>0.17</v>
      </c>
      <c r="Q19" s="14">
        <v>0.14000000000000001</v>
      </c>
      <c r="R19" s="14">
        <v>0.17</v>
      </c>
      <c r="S19" s="14">
        <v>0.13</v>
      </c>
      <c r="T19" s="14">
        <v>0.17</v>
      </c>
      <c r="U19" s="14">
        <v>0.12</v>
      </c>
      <c r="V19" s="14">
        <v>0.25</v>
      </c>
      <c r="W19" s="14">
        <v>0.13</v>
      </c>
      <c r="X19" s="14">
        <v>0.18</v>
      </c>
      <c r="Y19" s="14">
        <v>0.15</v>
      </c>
      <c r="Z19" s="14">
        <v>0.22</v>
      </c>
      <c r="AA19" s="14">
        <v>0.15</v>
      </c>
      <c r="AB19" s="14">
        <v>0.17</v>
      </c>
      <c r="AC19" s="14">
        <v>0.11</v>
      </c>
      <c r="AD19" s="14">
        <v>0.19</v>
      </c>
      <c r="AE19" s="14">
        <v>7.0000000000000007E-2</v>
      </c>
      <c r="AF19" s="14">
        <v>0.08</v>
      </c>
    </row>
    <row r="20" spans="1:32">
      <c r="A20" s="19"/>
      <c r="B20" s="11" t="s">
        <v>581</v>
      </c>
      <c r="C20" s="12">
        <v>4644</v>
      </c>
      <c r="D20" s="12">
        <v>214</v>
      </c>
      <c r="E20" s="12">
        <v>170</v>
      </c>
      <c r="F20" s="12">
        <v>182</v>
      </c>
      <c r="G20" s="12">
        <v>81</v>
      </c>
      <c r="H20" s="12">
        <v>125</v>
      </c>
      <c r="I20" s="12">
        <v>171</v>
      </c>
      <c r="J20" s="12">
        <v>45</v>
      </c>
      <c r="K20" s="12">
        <v>98</v>
      </c>
      <c r="L20" s="12">
        <v>168</v>
      </c>
      <c r="M20" s="12">
        <v>213</v>
      </c>
      <c r="N20" s="12">
        <v>197</v>
      </c>
      <c r="O20" s="12">
        <v>136</v>
      </c>
      <c r="P20" s="12">
        <v>190</v>
      </c>
      <c r="Q20" s="12">
        <v>238</v>
      </c>
      <c r="R20" s="12">
        <v>99</v>
      </c>
      <c r="S20" s="12">
        <v>120</v>
      </c>
      <c r="T20" s="12">
        <v>108</v>
      </c>
      <c r="U20" s="12">
        <v>61</v>
      </c>
      <c r="V20" s="12">
        <v>231</v>
      </c>
      <c r="W20" s="12">
        <v>60</v>
      </c>
      <c r="X20" s="12">
        <v>164</v>
      </c>
      <c r="Y20" s="12">
        <v>153</v>
      </c>
      <c r="Z20" s="12">
        <v>307</v>
      </c>
      <c r="AA20" s="12">
        <v>157</v>
      </c>
      <c r="AB20" s="12">
        <v>278</v>
      </c>
      <c r="AC20" s="12">
        <v>80</v>
      </c>
      <c r="AD20" s="12">
        <v>191</v>
      </c>
      <c r="AE20" s="12">
        <v>69</v>
      </c>
      <c r="AF20" s="12">
        <v>45</v>
      </c>
    </row>
    <row r="21" spans="1:32">
      <c r="A21" s="19"/>
      <c r="B21" s="13" t="s">
        <v>581</v>
      </c>
      <c r="C21" s="14">
        <v>0.17</v>
      </c>
      <c r="D21" s="14">
        <v>0.21</v>
      </c>
      <c r="E21" s="14">
        <v>0.16</v>
      </c>
      <c r="F21" s="14">
        <v>0.17</v>
      </c>
      <c r="G21" s="14">
        <v>0.08</v>
      </c>
      <c r="H21" s="14">
        <v>0.1</v>
      </c>
      <c r="I21" s="14">
        <v>0.11</v>
      </c>
      <c r="J21" s="14">
        <v>0.15</v>
      </c>
      <c r="K21" s="14">
        <v>0.1</v>
      </c>
      <c r="L21" s="14">
        <v>0.17</v>
      </c>
      <c r="M21" s="14">
        <v>0.21</v>
      </c>
      <c r="N21" s="14">
        <v>0.2</v>
      </c>
      <c r="O21" s="14">
        <v>0.14000000000000001</v>
      </c>
      <c r="P21" s="14">
        <v>0.19</v>
      </c>
      <c r="Q21" s="14">
        <v>0.23</v>
      </c>
      <c r="R21" s="14">
        <v>0.2</v>
      </c>
      <c r="S21" s="14">
        <v>0.12</v>
      </c>
      <c r="T21" s="14">
        <v>0.11</v>
      </c>
      <c r="U21" s="14">
        <v>0.12</v>
      </c>
      <c r="V21" s="14">
        <v>0.23</v>
      </c>
      <c r="W21" s="14">
        <v>0.12</v>
      </c>
      <c r="X21" s="14">
        <v>0.16</v>
      </c>
      <c r="Y21" s="14">
        <v>0.15</v>
      </c>
      <c r="Z21" s="14">
        <v>0.3</v>
      </c>
      <c r="AA21" s="14">
        <v>0.15</v>
      </c>
      <c r="AB21" s="14">
        <v>0.27</v>
      </c>
      <c r="AC21" s="14">
        <v>0.08</v>
      </c>
      <c r="AD21" s="14">
        <v>0.19</v>
      </c>
      <c r="AE21" s="14">
        <v>7.0000000000000007E-2</v>
      </c>
      <c r="AF21" s="14">
        <v>0.04</v>
      </c>
    </row>
    <row r="22" spans="1:32">
      <c r="A22" s="19"/>
      <c r="B22" s="11" t="s">
        <v>582</v>
      </c>
      <c r="C22" s="12">
        <v>3021</v>
      </c>
      <c r="D22" s="12">
        <v>139</v>
      </c>
      <c r="E22" s="12">
        <v>81</v>
      </c>
      <c r="F22" s="12">
        <v>131</v>
      </c>
      <c r="G22" s="12">
        <v>28</v>
      </c>
      <c r="H22" s="12">
        <v>86</v>
      </c>
      <c r="I22" s="12">
        <v>113</v>
      </c>
      <c r="J22" s="12">
        <v>27</v>
      </c>
      <c r="K22" s="12">
        <v>64</v>
      </c>
      <c r="L22" s="12">
        <v>118</v>
      </c>
      <c r="M22" s="12">
        <v>136</v>
      </c>
      <c r="N22" s="12">
        <v>126</v>
      </c>
      <c r="O22" s="12">
        <v>92</v>
      </c>
      <c r="P22" s="12">
        <v>72</v>
      </c>
      <c r="Q22" s="12">
        <v>198</v>
      </c>
      <c r="R22" s="12">
        <v>54</v>
      </c>
      <c r="S22" s="12">
        <v>98</v>
      </c>
      <c r="T22" s="12">
        <v>40</v>
      </c>
      <c r="U22" s="12">
        <v>47</v>
      </c>
      <c r="V22" s="12">
        <v>95</v>
      </c>
      <c r="W22" s="12">
        <v>82</v>
      </c>
      <c r="X22" s="12">
        <v>64</v>
      </c>
      <c r="Y22" s="12">
        <v>87</v>
      </c>
      <c r="Z22" s="12">
        <v>161</v>
      </c>
      <c r="AA22" s="12">
        <v>155</v>
      </c>
      <c r="AB22" s="12">
        <v>180</v>
      </c>
      <c r="AC22" s="12">
        <v>50</v>
      </c>
      <c r="AD22" s="12">
        <v>94</v>
      </c>
      <c r="AE22" s="12">
        <v>49</v>
      </c>
      <c r="AF22" s="12">
        <v>41</v>
      </c>
    </row>
    <row r="23" spans="1:32">
      <c r="A23" s="19"/>
      <c r="B23" s="13" t="s">
        <v>582</v>
      </c>
      <c r="C23" s="14">
        <v>0.11</v>
      </c>
      <c r="D23" s="14">
        <v>0.14000000000000001</v>
      </c>
      <c r="E23" s="14">
        <v>0.08</v>
      </c>
      <c r="F23" s="14">
        <v>0.12</v>
      </c>
      <c r="G23" s="14">
        <v>0.03</v>
      </c>
      <c r="H23" s="14">
        <v>7.0000000000000007E-2</v>
      </c>
      <c r="I23" s="14">
        <v>7.0000000000000007E-2</v>
      </c>
      <c r="J23" s="14">
        <v>0.09</v>
      </c>
      <c r="K23" s="14">
        <v>0.06</v>
      </c>
      <c r="L23" s="14">
        <v>0.12</v>
      </c>
      <c r="M23" s="14">
        <v>0.13</v>
      </c>
      <c r="N23" s="14">
        <v>0.12</v>
      </c>
      <c r="O23" s="14">
        <v>0.09</v>
      </c>
      <c r="P23" s="14">
        <v>7.0000000000000007E-2</v>
      </c>
      <c r="Q23" s="14">
        <v>0.19</v>
      </c>
      <c r="R23" s="14">
        <v>0.11</v>
      </c>
      <c r="S23" s="14">
        <v>0.1</v>
      </c>
      <c r="T23" s="14">
        <v>0.04</v>
      </c>
      <c r="U23" s="14">
        <v>0.09</v>
      </c>
      <c r="V23" s="14">
        <v>0.09</v>
      </c>
      <c r="W23" s="14">
        <v>0.16</v>
      </c>
      <c r="X23" s="14">
        <v>0.06</v>
      </c>
      <c r="Y23" s="14">
        <v>0.09</v>
      </c>
      <c r="Z23" s="14">
        <v>0.16</v>
      </c>
      <c r="AA23" s="14">
        <v>0.15</v>
      </c>
      <c r="AB23" s="14">
        <v>0.17</v>
      </c>
      <c r="AC23" s="14">
        <v>0.05</v>
      </c>
      <c r="AD23" s="14">
        <v>0.09</v>
      </c>
      <c r="AE23" s="14">
        <v>0.05</v>
      </c>
      <c r="AF23" s="14">
        <v>0.04</v>
      </c>
    </row>
    <row r="24" spans="1:32">
      <c r="A24" s="19"/>
      <c r="B24" s="11" t="s">
        <v>908</v>
      </c>
      <c r="C24" s="12">
        <v>3497</v>
      </c>
      <c r="D24" s="12">
        <v>96</v>
      </c>
      <c r="E24" s="12">
        <v>89</v>
      </c>
      <c r="F24" s="12">
        <v>113</v>
      </c>
      <c r="G24" s="12">
        <v>52</v>
      </c>
      <c r="H24" s="12">
        <v>111</v>
      </c>
      <c r="I24" s="12">
        <v>149</v>
      </c>
      <c r="J24" s="12">
        <v>38</v>
      </c>
      <c r="K24" s="12">
        <v>146</v>
      </c>
      <c r="L24" s="12">
        <v>175</v>
      </c>
      <c r="M24" s="12">
        <v>83</v>
      </c>
      <c r="N24" s="12">
        <v>231</v>
      </c>
      <c r="O24" s="12">
        <v>144</v>
      </c>
      <c r="P24" s="12">
        <v>150</v>
      </c>
      <c r="Q24" s="12">
        <v>180</v>
      </c>
      <c r="R24" s="12">
        <v>73</v>
      </c>
      <c r="S24" s="12">
        <v>194</v>
      </c>
      <c r="T24" s="12">
        <v>86</v>
      </c>
      <c r="U24" s="12">
        <v>108</v>
      </c>
      <c r="V24" s="12">
        <v>84</v>
      </c>
      <c r="W24" s="12">
        <v>103</v>
      </c>
      <c r="X24" s="12">
        <v>73</v>
      </c>
      <c r="Y24" s="12">
        <v>93</v>
      </c>
      <c r="Z24" s="12">
        <v>144</v>
      </c>
      <c r="AA24" s="12">
        <v>186</v>
      </c>
      <c r="AB24" s="12">
        <v>78</v>
      </c>
      <c r="AC24" s="12">
        <v>138</v>
      </c>
      <c r="AD24" s="12">
        <v>126</v>
      </c>
      <c r="AE24" s="12">
        <v>75</v>
      </c>
      <c r="AF24" s="12">
        <v>32</v>
      </c>
    </row>
    <row r="25" spans="1:32">
      <c r="A25" s="19"/>
      <c r="B25" s="13" t="s">
        <v>909</v>
      </c>
      <c r="C25" s="14">
        <v>0.13</v>
      </c>
      <c r="D25" s="14">
        <v>0.1</v>
      </c>
      <c r="E25" s="14">
        <v>0.08</v>
      </c>
      <c r="F25" s="14">
        <v>0.11</v>
      </c>
      <c r="G25" s="14">
        <v>0.05</v>
      </c>
      <c r="H25" s="14">
        <v>0.09</v>
      </c>
      <c r="I25" s="14">
        <v>0.1</v>
      </c>
      <c r="J25" s="14">
        <v>0.13</v>
      </c>
      <c r="K25" s="14">
        <v>0.15</v>
      </c>
      <c r="L25" s="14">
        <v>0.17</v>
      </c>
      <c r="M25" s="14">
        <v>0.08</v>
      </c>
      <c r="N25" s="14">
        <v>0.23</v>
      </c>
      <c r="O25" s="14">
        <v>0.14000000000000001</v>
      </c>
      <c r="P25" s="14">
        <v>0.15</v>
      </c>
      <c r="Q25" s="14">
        <v>0.18</v>
      </c>
      <c r="R25" s="14">
        <v>0.14000000000000001</v>
      </c>
      <c r="S25" s="14">
        <v>0.19</v>
      </c>
      <c r="T25" s="14">
        <v>0.08</v>
      </c>
      <c r="U25" s="14">
        <v>0.21</v>
      </c>
      <c r="V25" s="14">
        <v>0.08</v>
      </c>
      <c r="W25" s="14">
        <v>0.21</v>
      </c>
      <c r="X25" s="14">
        <v>7.0000000000000007E-2</v>
      </c>
      <c r="Y25" s="14">
        <v>0.09</v>
      </c>
      <c r="Z25" s="14">
        <v>0.14000000000000001</v>
      </c>
      <c r="AA25" s="14">
        <v>0.18</v>
      </c>
      <c r="AB25" s="14">
        <v>7.0000000000000007E-2</v>
      </c>
      <c r="AC25" s="14">
        <v>0.14000000000000001</v>
      </c>
      <c r="AD25" s="14">
        <v>0.13</v>
      </c>
      <c r="AE25" s="14">
        <v>0.08</v>
      </c>
      <c r="AF25" s="14">
        <v>0.03</v>
      </c>
    </row>
    <row r="26" spans="1:32">
      <c r="A26" s="19"/>
      <c r="B26" s="11" t="s">
        <v>910</v>
      </c>
      <c r="C26" s="12">
        <v>1023</v>
      </c>
      <c r="D26" s="12">
        <v>14</v>
      </c>
      <c r="E26" s="12">
        <v>92</v>
      </c>
      <c r="F26" s="12">
        <v>47</v>
      </c>
      <c r="G26" s="12">
        <v>25</v>
      </c>
      <c r="H26" s="12">
        <v>60</v>
      </c>
      <c r="I26" s="12">
        <v>69</v>
      </c>
      <c r="J26" s="12">
        <v>9</v>
      </c>
      <c r="K26" s="12">
        <v>75</v>
      </c>
      <c r="L26" s="12">
        <v>26</v>
      </c>
      <c r="M26" s="12">
        <v>89</v>
      </c>
      <c r="N26" s="12">
        <v>30</v>
      </c>
      <c r="O26" s="12">
        <v>56</v>
      </c>
      <c r="P26" s="12">
        <v>39</v>
      </c>
      <c r="Q26" s="12">
        <v>12</v>
      </c>
      <c r="R26" s="12">
        <v>15</v>
      </c>
      <c r="S26" s="12">
        <v>63</v>
      </c>
      <c r="T26" s="12">
        <v>121</v>
      </c>
      <c r="U26" s="12">
        <v>6</v>
      </c>
      <c r="V26" s="12">
        <v>28</v>
      </c>
      <c r="W26" s="12">
        <v>13</v>
      </c>
      <c r="X26" s="12">
        <v>4</v>
      </c>
      <c r="Y26" s="12">
        <v>54</v>
      </c>
      <c r="Z26" s="12">
        <v>29</v>
      </c>
      <c r="AA26" s="12">
        <v>68</v>
      </c>
      <c r="AB26" s="12">
        <v>62</v>
      </c>
      <c r="AC26" s="12">
        <v>60</v>
      </c>
      <c r="AD26" s="12">
        <v>67</v>
      </c>
      <c r="AE26" s="12">
        <v>24</v>
      </c>
      <c r="AF26" s="12">
        <v>24</v>
      </c>
    </row>
    <row r="27" spans="1:32">
      <c r="A27" s="19"/>
      <c r="B27" s="13" t="s">
        <v>911</v>
      </c>
      <c r="C27" s="14">
        <v>0.04</v>
      </c>
      <c r="D27" s="14">
        <v>0.01</v>
      </c>
      <c r="E27" s="14">
        <v>0.09</v>
      </c>
      <c r="F27" s="14">
        <v>0.04</v>
      </c>
      <c r="G27" s="14">
        <v>0.02</v>
      </c>
      <c r="H27" s="14">
        <v>0.05</v>
      </c>
      <c r="I27" s="14">
        <v>0.04</v>
      </c>
      <c r="J27" s="14">
        <v>0.03</v>
      </c>
      <c r="K27" s="14">
        <v>0.08</v>
      </c>
      <c r="L27" s="14">
        <v>0.03</v>
      </c>
      <c r="M27" s="14">
        <v>0.09</v>
      </c>
      <c r="N27" s="14">
        <v>0.03</v>
      </c>
      <c r="O27" s="14">
        <v>0.06</v>
      </c>
      <c r="P27" s="14">
        <v>0.04</v>
      </c>
      <c r="Q27" s="14">
        <v>0.01</v>
      </c>
      <c r="R27" s="14">
        <v>0.03</v>
      </c>
      <c r="S27" s="14">
        <v>0.06</v>
      </c>
      <c r="T27" s="14">
        <v>0.12</v>
      </c>
      <c r="U27" s="14">
        <v>0.01</v>
      </c>
      <c r="V27" s="14">
        <v>0.03</v>
      </c>
      <c r="W27" s="14">
        <v>0.02</v>
      </c>
      <c r="X27" s="15" t="s">
        <v>375</v>
      </c>
      <c r="Y27" s="14">
        <v>0.05</v>
      </c>
      <c r="Z27" s="14">
        <v>0.03</v>
      </c>
      <c r="AA27" s="14">
        <v>7.0000000000000007E-2</v>
      </c>
      <c r="AB27" s="14">
        <v>0.06</v>
      </c>
      <c r="AC27" s="14">
        <v>0.06</v>
      </c>
      <c r="AD27" s="14">
        <v>7.0000000000000007E-2</v>
      </c>
      <c r="AE27" s="14">
        <v>0.02</v>
      </c>
      <c r="AF27" s="14">
        <v>0.03</v>
      </c>
    </row>
    <row r="28" spans="1:32">
      <c r="A28" s="19"/>
      <c r="B28" s="11" t="s">
        <v>386</v>
      </c>
      <c r="C28" s="12">
        <v>318</v>
      </c>
      <c r="D28" s="12">
        <v>4</v>
      </c>
      <c r="E28" s="12">
        <v>33</v>
      </c>
      <c r="F28" s="12">
        <v>2</v>
      </c>
      <c r="G28" s="12">
        <v>30</v>
      </c>
      <c r="H28" s="12">
        <v>11</v>
      </c>
      <c r="I28" s="12">
        <v>13</v>
      </c>
      <c r="J28" s="12">
        <v>2</v>
      </c>
      <c r="K28" s="12">
        <v>25</v>
      </c>
      <c r="L28" s="12">
        <v>14</v>
      </c>
      <c r="M28" s="12">
        <v>9</v>
      </c>
      <c r="N28" s="12">
        <v>11</v>
      </c>
      <c r="O28" s="12">
        <v>24</v>
      </c>
      <c r="P28" s="12">
        <v>13</v>
      </c>
      <c r="Q28" s="12">
        <v>10</v>
      </c>
      <c r="R28" s="12">
        <v>14</v>
      </c>
      <c r="S28" s="12">
        <v>18</v>
      </c>
      <c r="T28" s="12">
        <v>21</v>
      </c>
      <c r="U28" s="12">
        <v>4</v>
      </c>
      <c r="V28" s="12">
        <v>5</v>
      </c>
      <c r="W28" s="12">
        <v>5</v>
      </c>
      <c r="X28" s="12">
        <v>6</v>
      </c>
      <c r="Y28" s="12">
        <v>26</v>
      </c>
      <c r="Z28" s="12">
        <v>6</v>
      </c>
      <c r="AA28" s="12">
        <v>18</v>
      </c>
      <c r="AB28" s="12">
        <v>10</v>
      </c>
      <c r="AC28" s="12">
        <v>4</v>
      </c>
      <c r="AD28" s="12">
        <v>5</v>
      </c>
      <c r="AE28" s="12">
        <v>12</v>
      </c>
      <c r="AF28" s="12">
        <v>3</v>
      </c>
    </row>
    <row r="29" spans="1:32">
      <c r="A29" s="19"/>
      <c r="B29" s="13" t="s">
        <v>399</v>
      </c>
      <c r="C29" s="14">
        <v>0.01</v>
      </c>
      <c r="D29" s="15" t="s">
        <v>375</v>
      </c>
      <c r="E29" s="14">
        <v>0.03</v>
      </c>
      <c r="F29" s="15" t="s">
        <v>375</v>
      </c>
      <c r="G29" s="14">
        <v>0.03</v>
      </c>
      <c r="H29" s="14">
        <v>0.01</v>
      </c>
      <c r="I29" s="14">
        <v>0.01</v>
      </c>
      <c r="J29" s="14">
        <v>0.01</v>
      </c>
      <c r="K29" s="14">
        <v>0.02</v>
      </c>
      <c r="L29" s="14">
        <v>0.01</v>
      </c>
      <c r="M29" s="14">
        <v>0.01</v>
      </c>
      <c r="N29" s="14">
        <v>0.01</v>
      </c>
      <c r="O29" s="14">
        <v>0.02</v>
      </c>
      <c r="P29" s="14">
        <v>0.01</v>
      </c>
      <c r="Q29" s="14">
        <v>0.01</v>
      </c>
      <c r="R29" s="14">
        <v>0.03</v>
      </c>
      <c r="S29" s="14">
        <v>0.02</v>
      </c>
      <c r="T29" s="14">
        <v>0.02</v>
      </c>
      <c r="U29" s="14">
        <v>0.01</v>
      </c>
      <c r="V29" s="15" t="s">
        <v>375</v>
      </c>
      <c r="W29" s="14">
        <v>0.01</v>
      </c>
      <c r="X29" s="14">
        <v>0.01</v>
      </c>
      <c r="Y29" s="14">
        <v>0.03</v>
      </c>
      <c r="Z29" s="14">
        <v>0.01</v>
      </c>
      <c r="AA29" s="14">
        <v>0.02</v>
      </c>
      <c r="AB29" s="14">
        <v>0.01</v>
      </c>
      <c r="AC29" s="15" t="s">
        <v>375</v>
      </c>
      <c r="AD29" s="15" t="s">
        <v>375</v>
      </c>
      <c r="AE29" s="14">
        <v>0.01</v>
      </c>
      <c r="AF29" s="15" t="s">
        <v>375</v>
      </c>
    </row>
    <row r="30" spans="1:32">
      <c r="A30" s="19"/>
      <c r="B30" s="11" t="s">
        <v>912</v>
      </c>
      <c r="C30" s="12">
        <v>9818</v>
      </c>
      <c r="D30" s="12">
        <v>387</v>
      </c>
      <c r="E30" s="12">
        <v>373</v>
      </c>
      <c r="F30" s="12">
        <v>417</v>
      </c>
      <c r="G30" s="12">
        <v>712</v>
      </c>
      <c r="H30" s="12">
        <v>654</v>
      </c>
      <c r="I30" s="12">
        <v>767</v>
      </c>
      <c r="J30" s="12">
        <v>112</v>
      </c>
      <c r="K30" s="12">
        <v>499</v>
      </c>
      <c r="L30" s="12">
        <v>374</v>
      </c>
      <c r="M30" s="12">
        <v>307</v>
      </c>
      <c r="N30" s="12">
        <v>278</v>
      </c>
      <c r="O30" s="12">
        <v>416</v>
      </c>
      <c r="P30" s="12">
        <v>365</v>
      </c>
      <c r="Q30" s="12">
        <v>245</v>
      </c>
      <c r="R30" s="12">
        <v>160</v>
      </c>
      <c r="S30" s="12">
        <v>383</v>
      </c>
      <c r="T30" s="12">
        <v>471</v>
      </c>
      <c r="U30" s="12">
        <v>224</v>
      </c>
      <c r="V30" s="12">
        <v>330</v>
      </c>
      <c r="W30" s="12">
        <v>174</v>
      </c>
      <c r="X30" s="12">
        <v>516</v>
      </c>
      <c r="Y30" s="12">
        <v>445</v>
      </c>
      <c r="Z30" s="12">
        <v>139</v>
      </c>
      <c r="AA30" s="12">
        <v>297</v>
      </c>
      <c r="AB30" s="12">
        <v>257</v>
      </c>
      <c r="AC30" s="12">
        <v>560</v>
      </c>
      <c r="AD30" s="12">
        <v>331</v>
      </c>
      <c r="AE30" s="12">
        <v>701</v>
      </c>
      <c r="AF30" s="12">
        <v>803</v>
      </c>
    </row>
    <row r="31" spans="1:32">
      <c r="A31" s="19"/>
      <c r="B31" s="13" t="s">
        <v>913</v>
      </c>
      <c r="C31" s="14">
        <v>0.38</v>
      </c>
      <c r="D31" s="14">
        <v>0.38</v>
      </c>
      <c r="E31" s="14">
        <v>0.36</v>
      </c>
      <c r="F31" s="14">
        <v>0.4</v>
      </c>
      <c r="G31" s="14">
        <v>0.70000000000000007</v>
      </c>
      <c r="H31" s="14">
        <v>0.53</v>
      </c>
      <c r="I31" s="14">
        <v>0.51</v>
      </c>
      <c r="J31" s="14">
        <v>0.38</v>
      </c>
      <c r="K31" s="14">
        <v>0.49</v>
      </c>
      <c r="L31" s="14">
        <v>0.37</v>
      </c>
      <c r="M31" s="14">
        <v>0.31</v>
      </c>
      <c r="N31" s="14">
        <v>0.27</v>
      </c>
      <c r="O31" s="14">
        <v>0.42</v>
      </c>
      <c r="P31" s="14">
        <v>0.37</v>
      </c>
      <c r="Q31" s="14">
        <v>0.24</v>
      </c>
      <c r="R31" s="14">
        <v>0.32</v>
      </c>
      <c r="S31" s="14">
        <v>0.38</v>
      </c>
      <c r="T31" s="14">
        <v>0.46</v>
      </c>
      <c r="U31" s="14">
        <v>0.44</v>
      </c>
      <c r="V31" s="14">
        <v>0.32</v>
      </c>
      <c r="W31" s="14">
        <v>0.35</v>
      </c>
      <c r="X31" s="14">
        <v>0.52</v>
      </c>
      <c r="Y31" s="14">
        <v>0.44</v>
      </c>
      <c r="Z31" s="14">
        <v>0.14000000000000001</v>
      </c>
      <c r="AA31" s="14">
        <v>0.28000000000000003</v>
      </c>
      <c r="AB31" s="14">
        <v>0.25</v>
      </c>
      <c r="AC31" s="14">
        <v>0.56000000000000005</v>
      </c>
      <c r="AD31" s="14">
        <v>0.33</v>
      </c>
      <c r="AE31" s="14">
        <v>0.70000000000000007</v>
      </c>
      <c r="AF31" s="14">
        <v>0.78</v>
      </c>
    </row>
    <row r="32" spans="1:32">
      <c r="A32" s="19"/>
      <c r="B32" s="11" t="s">
        <v>914</v>
      </c>
      <c r="C32" s="12">
        <v>4132</v>
      </c>
      <c r="D32" s="12">
        <v>167</v>
      </c>
      <c r="E32" s="12">
        <v>208</v>
      </c>
      <c r="F32" s="12">
        <v>171</v>
      </c>
      <c r="G32" s="12">
        <v>88</v>
      </c>
      <c r="H32" s="12">
        <v>183</v>
      </c>
      <c r="I32" s="12">
        <v>247</v>
      </c>
      <c r="J32" s="12">
        <v>64</v>
      </c>
      <c r="K32" s="12">
        <v>97</v>
      </c>
      <c r="L32" s="12">
        <v>130</v>
      </c>
      <c r="M32" s="12">
        <v>169</v>
      </c>
      <c r="N32" s="12">
        <v>138</v>
      </c>
      <c r="O32" s="12">
        <v>135</v>
      </c>
      <c r="P32" s="12">
        <v>175</v>
      </c>
      <c r="Q32" s="12">
        <v>148</v>
      </c>
      <c r="R32" s="12">
        <v>86</v>
      </c>
      <c r="S32" s="12">
        <v>127</v>
      </c>
      <c r="T32" s="12">
        <v>175</v>
      </c>
      <c r="U32" s="12">
        <v>58</v>
      </c>
      <c r="V32" s="12">
        <v>254</v>
      </c>
      <c r="W32" s="12">
        <v>65</v>
      </c>
      <c r="X32" s="12">
        <v>183</v>
      </c>
      <c r="Y32" s="12">
        <v>146</v>
      </c>
      <c r="Z32" s="12">
        <v>230</v>
      </c>
      <c r="AA32" s="12">
        <v>158</v>
      </c>
      <c r="AB32" s="12">
        <v>176</v>
      </c>
      <c r="AC32" s="12">
        <v>112</v>
      </c>
      <c r="AD32" s="12">
        <v>189</v>
      </c>
      <c r="AE32" s="12">
        <v>72</v>
      </c>
      <c r="AF32" s="12">
        <v>84</v>
      </c>
    </row>
    <row r="33" spans="1:32">
      <c r="A33" s="19"/>
      <c r="B33" s="13" t="s">
        <v>915</v>
      </c>
      <c r="C33" s="14">
        <v>0.16</v>
      </c>
      <c r="D33" s="14">
        <v>0.16</v>
      </c>
      <c r="E33" s="14">
        <v>0.2</v>
      </c>
      <c r="F33" s="14">
        <v>0.16</v>
      </c>
      <c r="G33" s="14">
        <v>0.09</v>
      </c>
      <c r="H33" s="14">
        <v>0.15</v>
      </c>
      <c r="I33" s="14">
        <v>0.16</v>
      </c>
      <c r="J33" s="14">
        <v>0.21</v>
      </c>
      <c r="K33" s="14">
        <v>0.1</v>
      </c>
      <c r="L33" s="14">
        <v>0.13</v>
      </c>
      <c r="M33" s="14">
        <v>0.17</v>
      </c>
      <c r="N33" s="14">
        <v>0.14000000000000001</v>
      </c>
      <c r="O33" s="14">
        <v>0.13</v>
      </c>
      <c r="P33" s="14">
        <v>0.17</v>
      </c>
      <c r="Q33" s="14">
        <v>0.14000000000000001</v>
      </c>
      <c r="R33" s="14">
        <v>0.17</v>
      </c>
      <c r="S33" s="14">
        <v>0.13</v>
      </c>
      <c r="T33" s="14">
        <v>0.17</v>
      </c>
      <c r="U33" s="14">
        <v>0.12</v>
      </c>
      <c r="V33" s="14">
        <v>0.25</v>
      </c>
      <c r="W33" s="14">
        <v>0.13</v>
      </c>
      <c r="X33" s="14">
        <v>0.18</v>
      </c>
      <c r="Y33" s="14">
        <v>0.15</v>
      </c>
      <c r="Z33" s="14">
        <v>0.22</v>
      </c>
      <c r="AA33" s="14">
        <v>0.15</v>
      </c>
      <c r="AB33" s="14">
        <v>0.17</v>
      </c>
      <c r="AC33" s="14">
        <v>0.11</v>
      </c>
      <c r="AD33" s="14">
        <v>0.19</v>
      </c>
      <c r="AE33" s="14">
        <v>7.0000000000000007E-2</v>
      </c>
      <c r="AF33" s="14">
        <v>0.08</v>
      </c>
    </row>
    <row r="34" spans="1:32">
      <c r="A34" s="19"/>
      <c r="B34" s="11" t="s">
        <v>916</v>
      </c>
      <c r="C34" s="12">
        <v>11162</v>
      </c>
      <c r="D34" s="12">
        <v>449</v>
      </c>
      <c r="E34" s="12">
        <v>340</v>
      </c>
      <c r="F34" s="12">
        <v>426</v>
      </c>
      <c r="G34" s="12">
        <v>161</v>
      </c>
      <c r="H34" s="12">
        <v>322</v>
      </c>
      <c r="I34" s="12">
        <v>433</v>
      </c>
      <c r="J34" s="12">
        <v>110</v>
      </c>
      <c r="K34" s="12">
        <v>308</v>
      </c>
      <c r="L34" s="12">
        <v>461</v>
      </c>
      <c r="M34" s="12">
        <v>432</v>
      </c>
      <c r="N34" s="12">
        <v>554</v>
      </c>
      <c r="O34" s="12">
        <v>372</v>
      </c>
      <c r="P34" s="12">
        <v>412</v>
      </c>
      <c r="Q34" s="12">
        <v>616</v>
      </c>
      <c r="R34" s="12">
        <v>226</v>
      </c>
      <c r="S34" s="12">
        <v>412</v>
      </c>
      <c r="T34" s="12">
        <v>234</v>
      </c>
      <c r="U34" s="12">
        <v>216</v>
      </c>
      <c r="V34" s="12">
        <v>410</v>
      </c>
      <c r="W34" s="12">
        <v>245</v>
      </c>
      <c r="X34" s="12">
        <v>301</v>
      </c>
      <c r="Y34" s="12">
        <v>333</v>
      </c>
      <c r="Z34" s="12">
        <v>612</v>
      </c>
      <c r="AA34" s="12">
        <v>498</v>
      </c>
      <c r="AB34" s="12">
        <v>536</v>
      </c>
      <c r="AC34" s="12">
        <v>268</v>
      </c>
      <c r="AD34" s="12">
        <v>411</v>
      </c>
      <c r="AE34" s="12">
        <v>193</v>
      </c>
      <c r="AF34" s="12">
        <v>118</v>
      </c>
    </row>
    <row r="35" spans="1:32">
      <c r="A35" s="19"/>
      <c r="B35" s="13" t="s">
        <v>917</v>
      </c>
      <c r="C35" s="14">
        <v>0.41</v>
      </c>
      <c r="D35" s="14">
        <v>0.45</v>
      </c>
      <c r="E35" s="14">
        <v>0.32</v>
      </c>
      <c r="F35" s="14">
        <v>0.4</v>
      </c>
      <c r="G35" s="14">
        <v>0.16</v>
      </c>
      <c r="H35" s="14">
        <v>0.26</v>
      </c>
      <c r="I35" s="14">
        <v>0.28000000000000003</v>
      </c>
      <c r="J35" s="14">
        <v>0.37</v>
      </c>
      <c r="K35" s="14">
        <v>0.31</v>
      </c>
      <c r="L35" s="14">
        <v>0.46</v>
      </c>
      <c r="M35" s="14">
        <v>0.42</v>
      </c>
      <c r="N35" s="14">
        <v>0.55000000000000004</v>
      </c>
      <c r="O35" s="14">
        <v>0.37</v>
      </c>
      <c r="P35" s="14">
        <v>0.41</v>
      </c>
      <c r="Q35" s="14">
        <v>0.6</v>
      </c>
      <c r="R35" s="14">
        <v>0.45</v>
      </c>
      <c r="S35" s="14">
        <v>0.41</v>
      </c>
      <c r="T35" s="14">
        <v>0.23</v>
      </c>
      <c r="U35" s="14">
        <v>0.42</v>
      </c>
      <c r="V35" s="14">
        <v>0.4</v>
      </c>
      <c r="W35" s="14">
        <v>0.49</v>
      </c>
      <c r="X35" s="14">
        <v>0.28999999999999998</v>
      </c>
      <c r="Y35" s="14">
        <v>0.33</v>
      </c>
      <c r="Z35" s="14">
        <v>0.6</v>
      </c>
      <c r="AA35" s="14">
        <v>0.48</v>
      </c>
      <c r="AB35" s="14">
        <v>0.51</v>
      </c>
      <c r="AC35" s="14">
        <v>0.27</v>
      </c>
      <c r="AD35" s="14">
        <v>0.41</v>
      </c>
      <c r="AE35" s="14">
        <v>0.2</v>
      </c>
      <c r="AF35" s="14">
        <v>0.11</v>
      </c>
    </row>
  </sheetData>
  <mergeCells count="10">
    <mergeCell ref="A30:A35"/>
    <mergeCell ref="H4:L4"/>
    <mergeCell ref="B4:F4"/>
    <mergeCell ref="H3:L3"/>
    <mergeCell ref="C8:AF8"/>
    <mergeCell ref="A10:A29"/>
    <mergeCell ref="B5:F5"/>
    <mergeCell ref="B3:F3"/>
    <mergeCell ref="H5:L5"/>
    <mergeCell ref="B10:B11"/>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3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96" customHeight="1">
      <c r="B3" s="17" t="s">
        <v>934</v>
      </c>
      <c r="C3" s="17"/>
      <c r="D3" s="17"/>
      <c r="E3" s="17"/>
      <c r="F3" s="17"/>
      <c r="H3" s="17" t="s">
        <v>935</v>
      </c>
      <c r="I3" s="17"/>
      <c r="J3" s="17"/>
      <c r="K3" s="17"/>
      <c r="L3" s="17"/>
    </row>
    <row r="4" spans="1:32" ht="27" customHeight="1">
      <c r="B4" s="17" t="s">
        <v>936</v>
      </c>
      <c r="C4" s="17"/>
      <c r="D4" s="17"/>
      <c r="E4" s="17"/>
      <c r="F4" s="17"/>
      <c r="H4" s="17" t="s">
        <v>937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906</v>
      </c>
      <c r="C12" s="12">
        <v>3140</v>
      </c>
      <c r="D12" s="12">
        <v>83</v>
      </c>
      <c r="E12" s="12">
        <v>187</v>
      </c>
      <c r="F12" s="12">
        <v>210</v>
      </c>
      <c r="G12" s="12">
        <v>233</v>
      </c>
      <c r="H12" s="12">
        <v>143</v>
      </c>
      <c r="I12" s="12">
        <v>184</v>
      </c>
      <c r="J12" s="12">
        <v>41</v>
      </c>
      <c r="K12" s="12">
        <v>208</v>
      </c>
      <c r="L12" s="12">
        <v>129</v>
      </c>
      <c r="M12" s="12">
        <v>97</v>
      </c>
      <c r="N12" s="12">
        <v>100</v>
      </c>
      <c r="O12" s="12">
        <v>137</v>
      </c>
      <c r="P12" s="12">
        <v>156</v>
      </c>
      <c r="Q12" s="12">
        <v>100</v>
      </c>
      <c r="R12" s="12">
        <v>66</v>
      </c>
      <c r="S12" s="12">
        <v>173</v>
      </c>
      <c r="T12" s="12">
        <v>239</v>
      </c>
      <c r="U12" s="12">
        <v>82</v>
      </c>
      <c r="V12" s="12">
        <v>111</v>
      </c>
      <c r="W12" s="12">
        <v>64</v>
      </c>
      <c r="X12" s="12">
        <v>102</v>
      </c>
      <c r="Y12" s="12">
        <v>207</v>
      </c>
      <c r="Z12" s="12">
        <v>37</v>
      </c>
      <c r="AA12" s="12">
        <v>53</v>
      </c>
      <c r="AB12" s="12">
        <v>109</v>
      </c>
      <c r="AC12" s="12">
        <v>386</v>
      </c>
      <c r="AD12" s="12">
        <v>150</v>
      </c>
      <c r="AE12" s="12">
        <v>194</v>
      </c>
      <c r="AF12" s="12">
        <v>265</v>
      </c>
    </row>
    <row r="13" spans="1:32">
      <c r="A13" s="19"/>
      <c r="B13" s="13" t="s">
        <v>907</v>
      </c>
      <c r="C13" s="14">
        <v>0.12</v>
      </c>
      <c r="D13" s="14">
        <v>0.08</v>
      </c>
      <c r="E13" s="14">
        <v>0.18</v>
      </c>
      <c r="F13" s="14">
        <v>0.2</v>
      </c>
      <c r="G13" s="14">
        <v>0.23</v>
      </c>
      <c r="H13" s="14">
        <v>0.11</v>
      </c>
      <c r="I13" s="14">
        <v>0.12</v>
      </c>
      <c r="J13" s="14">
        <v>0.14000000000000001</v>
      </c>
      <c r="K13" s="14">
        <v>0.21</v>
      </c>
      <c r="L13" s="14">
        <v>0.13</v>
      </c>
      <c r="M13" s="14">
        <v>0.1</v>
      </c>
      <c r="N13" s="14">
        <v>0.1</v>
      </c>
      <c r="O13" s="14">
        <v>0.14000000000000001</v>
      </c>
      <c r="P13" s="14">
        <v>0.16</v>
      </c>
      <c r="Q13" s="14">
        <v>0.1</v>
      </c>
      <c r="R13" s="14">
        <v>0.13</v>
      </c>
      <c r="S13" s="14">
        <v>0.17</v>
      </c>
      <c r="T13" s="14">
        <v>0.23</v>
      </c>
      <c r="U13" s="14">
        <v>0.16</v>
      </c>
      <c r="V13" s="14">
        <v>0.11</v>
      </c>
      <c r="W13" s="14">
        <v>0.13</v>
      </c>
      <c r="X13" s="14">
        <v>0.1</v>
      </c>
      <c r="Y13" s="14">
        <v>0.21</v>
      </c>
      <c r="Z13" s="14">
        <v>0.04</v>
      </c>
      <c r="AA13" s="14">
        <v>0.05</v>
      </c>
      <c r="AB13" s="14">
        <v>0.1</v>
      </c>
      <c r="AC13" s="14">
        <v>0.38</v>
      </c>
      <c r="AD13" s="14">
        <v>0.15</v>
      </c>
      <c r="AE13" s="14">
        <v>0.19</v>
      </c>
      <c r="AF13" s="14">
        <v>0.26</v>
      </c>
    </row>
    <row r="14" spans="1:32">
      <c r="A14" s="19"/>
      <c r="B14" s="11" t="s">
        <v>578</v>
      </c>
      <c r="C14" s="12">
        <v>1980</v>
      </c>
      <c r="D14" s="12">
        <v>67</v>
      </c>
      <c r="E14" s="12">
        <v>97</v>
      </c>
      <c r="F14" s="12">
        <v>78</v>
      </c>
      <c r="G14" s="12">
        <v>122</v>
      </c>
      <c r="H14" s="12">
        <v>156</v>
      </c>
      <c r="I14" s="12">
        <v>195</v>
      </c>
      <c r="J14" s="12">
        <v>39</v>
      </c>
      <c r="K14" s="12">
        <v>131</v>
      </c>
      <c r="L14" s="12">
        <v>62</v>
      </c>
      <c r="M14" s="12">
        <v>80</v>
      </c>
      <c r="N14" s="12">
        <v>45</v>
      </c>
      <c r="O14" s="12">
        <v>70</v>
      </c>
      <c r="P14" s="12">
        <v>76</v>
      </c>
      <c r="Q14" s="12">
        <v>32</v>
      </c>
      <c r="R14" s="12">
        <v>52</v>
      </c>
      <c r="S14" s="12">
        <v>53</v>
      </c>
      <c r="T14" s="12">
        <v>86</v>
      </c>
      <c r="U14" s="12">
        <v>25</v>
      </c>
      <c r="V14" s="12">
        <v>85</v>
      </c>
      <c r="W14" s="12">
        <v>49</v>
      </c>
      <c r="X14" s="12">
        <v>119</v>
      </c>
      <c r="Y14" s="12">
        <v>86</v>
      </c>
      <c r="Z14" s="12">
        <v>26</v>
      </c>
      <c r="AA14" s="12">
        <v>44</v>
      </c>
      <c r="AB14" s="12">
        <v>38</v>
      </c>
      <c r="AC14" s="12">
        <v>102</v>
      </c>
      <c r="AD14" s="12">
        <v>124</v>
      </c>
      <c r="AE14" s="12">
        <v>170</v>
      </c>
      <c r="AF14" s="12">
        <v>162</v>
      </c>
    </row>
    <row r="15" spans="1:32">
      <c r="A15" s="19"/>
      <c r="B15" s="13" t="s">
        <v>578</v>
      </c>
      <c r="C15" s="14">
        <v>7.0000000000000007E-2</v>
      </c>
      <c r="D15" s="14">
        <v>7.0000000000000007E-2</v>
      </c>
      <c r="E15" s="14">
        <v>0.09</v>
      </c>
      <c r="F15" s="14">
        <v>7.0000000000000007E-2</v>
      </c>
      <c r="G15" s="14">
        <v>0.12</v>
      </c>
      <c r="H15" s="14">
        <v>0.13</v>
      </c>
      <c r="I15" s="14">
        <v>0.13</v>
      </c>
      <c r="J15" s="14">
        <v>0.13</v>
      </c>
      <c r="K15" s="14">
        <v>0.13</v>
      </c>
      <c r="L15" s="14">
        <v>0.06</v>
      </c>
      <c r="M15" s="14">
        <v>0.08</v>
      </c>
      <c r="N15" s="14">
        <v>0.04</v>
      </c>
      <c r="O15" s="14">
        <v>7.0000000000000007E-2</v>
      </c>
      <c r="P15" s="14">
        <v>7.0000000000000007E-2</v>
      </c>
      <c r="Q15" s="14">
        <v>0.03</v>
      </c>
      <c r="R15" s="14">
        <v>0.1</v>
      </c>
      <c r="S15" s="14">
        <v>0.05</v>
      </c>
      <c r="T15" s="14">
        <v>0.08</v>
      </c>
      <c r="U15" s="14">
        <v>0.05</v>
      </c>
      <c r="V15" s="14">
        <v>0.08</v>
      </c>
      <c r="W15" s="14">
        <v>0.1</v>
      </c>
      <c r="X15" s="14">
        <v>0.12</v>
      </c>
      <c r="Y15" s="14">
        <v>0.09</v>
      </c>
      <c r="Z15" s="14">
        <v>0.02</v>
      </c>
      <c r="AA15" s="14">
        <v>0.04</v>
      </c>
      <c r="AB15" s="14">
        <v>0.04</v>
      </c>
      <c r="AC15" s="14">
        <v>0.1</v>
      </c>
      <c r="AD15" s="14">
        <v>0.12</v>
      </c>
      <c r="AE15" s="14">
        <v>0.17</v>
      </c>
      <c r="AF15" s="14">
        <v>0.16</v>
      </c>
    </row>
    <row r="16" spans="1:32">
      <c r="A16" s="19"/>
      <c r="B16" s="11" t="s">
        <v>579</v>
      </c>
      <c r="C16" s="12">
        <v>2819</v>
      </c>
      <c r="D16" s="12">
        <v>116</v>
      </c>
      <c r="E16" s="12">
        <v>132</v>
      </c>
      <c r="F16" s="12">
        <v>133</v>
      </c>
      <c r="G16" s="12">
        <v>155</v>
      </c>
      <c r="H16" s="12">
        <v>205</v>
      </c>
      <c r="I16" s="12">
        <v>250</v>
      </c>
      <c r="J16" s="12">
        <v>44</v>
      </c>
      <c r="K16" s="12">
        <v>121</v>
      </c>
      <c r="L16" s="12">
        <v>103</v>
      </c>
      <c r="M16" s="12">
        <v>163</v>
      </c>
      <c r="N16" s="12">
        <v>45</v>
      </c>
      <c r="O16" s="12">
        <v>96</v>
      </c>
      <c r="P16" s="12">
        <v>121</v>
      </c>
      <c r="Q16" s="12">
        <v>81</v>
      </c>
      <c r="R16" s="12">
        <v>38</v>
      </c>
      <c r="S16" s="12">
        <v>105</v>
      </c>
      <c r="T16" s="12">
        <v>132</v>
      </c>
      <c r="U16" s="12">
        <v>28</v>
      </c>
      <c r="V16" s="12">
        <v>156</v>
      </c>
      <c r="W16" s="12">
        <v>67</v>
      </c>
      <c r="X16" s="12">
        <v>158</v>
      </c>
      <c r="Y16" s="12">
        <v>118</v>
      </c>
      <c r="Z16" s="12">
        <v>70</v>
      </c>
      <c r="AA16" s="12">
        <v>68</v>
      </c>
      <c r="AB16" s="12">
        <v>72</v>
      </c>
      <c r="AC16" s="12">
        <v>108</v>
      </c>
      <c r="AD16" s="12">
        <v>115</v>
      </c>
      <c r="AE16" s="12">
        <v>115</v>
      </c>
      <c r="AF16" s="12">
        <v>149</v>
      </c>
    </row>
    <row r="17" spans="1:32">
      <c r="A17" s="19"/>
      <c r="B17" s="13" t="s">
        <v>579</v>
      </c>
      <c r="C17" s="14">
        <v>0.11</v>
      </c>
      <c r="D17" s="14">
        <v>0.12</v>
      </c>
      <c r="E17" s="14">
        <v>0.13</v>
      </c>
      <c r="F17" s="14">
        <v>0.12</v>
      </c>
      <c r="G17" s="14">
        <v>0.15</v>
      </c>
      <c r="H17" s="14">
        <v>0.17</v>
      </c>
      <c r="I17" s="14">
        <v>0.16</v>
      </c>
      <c r="J17" s="14">
        <v>0.15</v>
      </c>
      <c r="K17" s="14">
        <v>0.12</v>
      </c>
      <c r="L17" s="14">
        <v>0.1</v>
      </c>
      <c r="M17" s="14">
        <v>0.16</v>
      </c>
      <c r="N17" s="14">
        <v>0.04</v>
      </c>
      <c r="O17" s="14">
        <v>0.1</v>
      </c>
      <c r="P17" s="14">
        <v>0.12</v>
      </c>
      <c r="Q17" s="14">
        <v>0.08</v>
      </c>
      <c r="R17" s="14">
        <v>0.08</v>
      </c>
      <c r="S17" s="14">
        <v>0.1</v>
      </c>
      <c r="T17" s="14">
        <v>0.13</v>
      </c>
      <c r="U17" s="14">
        <v>0.06</v>
      </c>
      <c r="V17" s="14">
        <v>0.15</v>
      </c>
      <c r="W17" s="14">
        <v>0.13</v>
      </c>
      <c r="X17" s="14">
        <v>0.16</v>
      </c>
      <c r="Y17" s="14">
        <v>0.12</v>
      </c>
      <c r="Z17" s="14">
        <v>7.0000000000000007E-2</v>
      </c>
      <c r="AA17" s="14">
        <v>7.0000000000000007E-2</v>
      </c>
      <c r="AB17" s="14">
        <v>7.0000000000000007E-2</v>
      </c>
      <c r="AC17" s="14">
        <v>0.11</v>
      </c>
      <c r="AD17" s="14">
        <v>0.12</v>
      </c>
      <c r="AE17" s="14">
        <v>0.12</v>
      </c>
      <c r="AF17" s="14">
        <v>0.15</v>
      </c>
    </row>
    <row r="18" spans="1:32">
      <c r="A18" s="19"/>
      <c r="B18" s="11" t="s">
        <v>580</v>
      </c>
      <c r="C18" s="12">
        <v>4214</v>
      </c>
      <c r="D18" s="12">
        <v>175</v>
      </c>
      <c r="E18" s="12">
        <v>190</v>
      </c>
      <c r="F18" s="12">
        <v>169</v>
      </c>
      <c r="G18" s="12">
        <v>137</v>
      </c>
      <c r="H18" s="12">
        <v>215</v>
      </c>
      <c r="I18" s="12">
        <v>278</v>
      </c>
      <c r="J18" s="12">
        <v>63</v>
      </c>
      <c r="K18" s="12">
        <v>122</v>
      </c>
      <c r="L18" s="12">
        <v>140</v>
      </c>
      <c r="M18" s="12">
        <v>173</v>
      </c>
      <c r="N18" s="12">
        <v>122</v>
      </c>
      <c r="O18" s="12">
        <v>131</v>
      </c>
      <c r="P18" s="12">
        <v>167</v>
      </c>
      <c r="Q18" s="12">
        <v>163</v>
      </c>
      <c r="R18" s="12">
        <v>80</v>
      </c>
      <c r="S18" s="12">
        <v>113</v>
      </c>
      <c r="T18" s="12">
        <v>148</v>
      </c>
      <c r="U18" s="12">
        <v>44</v>
      </c>
      <c r="V18" s="12">
        <v>208</v>
      </c>
      <c r="W18" s="12">
        <v>65</v>
      </c>
      <c r="X18" s="12">
        <v>212</v>
      </c>
      <c r="Y18" s="12">
        <v>136</v>
      </c>
      <c r="Z18" s="12">
        <v>203</v>
      </c>
      <c r="AA18" s="12">
        <v>164</v>
      </c>
      <c r="AB18" s="12">
        <v>169</v>
      </c>
      <c r="AC18" s="12">
        <v>92</v>
      </c>
      <c r="AD18" s="12">
        <v>168</v>
      </c>
      <c r="AE18" s="12">
        <v>97</v>
      </c>
      <c r="AF18" s="12">
        <v>144</v>
      </c>
    </row>
    <row r="19" spans="1:32">
      <c r="A19" s="19"/>
      <c r="B19" s="13" t="s">
        <v>580</v>
      </c>
      <c r="C19" s="14">
        <v>0.16</v>
      </c>
      <c r="D19" s="14">
        <v>0.17</v>
      </c>
      <c r="E19" s="14">
        <v>0.18</v>
      </c>
      <c r="F19" s="14">
        <v>0.16</v>
      </c>
      <c r="G19" s="14">
        <v>0.13</v>
      </c>
      <c r="H19" s="14">
        <v>0.17</v>
      </c>
      <c r="I19" s="14">
        <v>0.18</v>
      </c>
      <c r="J19" s="14">
        <v>0.21</v>
      </c>
      <c r="K19" s="14">
        <v>0.12</v>
      </c>
      <c r="L19" s="14">
        <v>0.14000000000000001</v>
      </c>
      <c r="M19" s="14">
        <v>0.17</v>
      </c>
      <c r="N19" s="14">
        <v>0.12</v>
      </c>
      <c r="O19" s="14">
        <v>0.13</v>
      </c>
      <c r="P19" s="14">
        <v>0.17</v>
      </c>
      <c r="Q19" s="14">
        <v>0.16</v>
      </c>
      <c r="R19" s="14">
        <v>0.16</v>
      </c>
      <c r="S19" s="14">
        <v>0.11</v>
      </c>
      <c r="T19" s="14">
        <v>0.15</v>
      </c>
      <c r="U19" s="14">
        <v>0.09</v>
      </c>
      <c r="V19" s="14">
        <v>0.2</v>
      </c>
      <c r="W19" s="14">
        <v>0.13</v>
      </c>
      <c r="X19" s="14">
        <v>0.21</v>
      </c>
      <c r="Y19" s="14">
        <v>0.13</v>
      </c>
      <c r="Z19" s="14">
        <v>0.2</v>
      </c>
      <c r="AA19" s="14">
        <v>0.16</v>
      </c>
      <c r="AB19" s="14">
        <v>0.16</v>
      </c>
      <c r="AC19" s="14">
        <v>0.09</v>
      </c>
      <c r="AD19" s="14">
        <v>0.17</v>
      </c>
      <c r="AE19" s="14">
        <v>0.1</v>
      </c>
      <c r="AF19" s="14">
        <v>0.14000000000000001</v>
      </c>
    </row>
    <row r="20" spans="1:32">
      <c r="A20" s="19"/>
      <c r="B20" s="11" t="s">
        <v>581</v>
      </c>
      <c r="C20" s="12">
        <v>4945</v>
      </c>
      <c r="D20" s="12">
        <v>236</v>
      </c>
      <c r="E20" s="12">
        <v>156</v>
      </c>
      <c r="F20" s="12">
        <v>182</v>
      </c>
      <c r="G20" s="12">
        <v>111</v>
      </c>
      <c r="H20" s="12">
        <v>190</v>
      </c>
      <c r="I20" s="12">
        <v>227</v>
      </c>
      <c r="J20" s="12">
        <v>38</v>
      </c>
      <c r="K20" s="12">
        <v>113</v>
      </c>
      <c r="L20" s="12">
        <v>209</v>
      </c>
      <c r="M20" s="12">
        <v>183</v>
      </c>
      <c r="N20" s="12">
        <v>170</v>
      </c>
      <c r="O20" s="12">
        <v>152</v>
      </c>
      <c r="P20" s="12">
        <v>204</v>
      </c>
      <c r="Q20" s="12">
        <v>238</v>
      </c>
      <c r="R20" s="12">
        <v>97</v>
      </c>
      <c r="S20" s="12">
        <v>122</v>
      </c>
      <c r="T20" s="12">
        <v>122</v>
      </c>
      <c r="U20" s="12">
        <v>77</v>
      </c>
      <c r="V20" s="12">
        <v>229</v>
      </c>
      <c r="W20" s="12">
        <v>98</v>
      </c>
      <c r="X20" s="12">
        <v>197</v>
      </c>
      <c r="Y20" s="12">
        <v>158</v>
      </c>
      <c r="Z20" s="12">
        <v>275</v>
      </c>
      <c r="AA20" s="12">
        <v>282</v>
      </c>
      <c r="AB20" s="12">
        <v>290</v>
      </c>
      <c r="AC20" s="12">
        <v>68</v>
      </c>
      <c r="AD20" s="12">
        <v>155</v>
      </c>
      <c r="AE20" s="12">
        <v>115</v>
      </c>
      <c r="AF20" s="12">
        <v>133</v>
      </c>
    </row>
    <row r="21" spans="1:32">
      <c r="A21" s="19"/>
      <c r="B21" s="13" t="s">
        <v>581</v>
      </c>
      <c r="C21" s="14">
        <v>0.19</v>
      </c>
      <c r="D21" s="14">
        <v>0.23</v>
      </c>
      <c r="E21" s="14">
        <v>0.15</v>
      </c>
      <c r="F21" s="14">
        <v>0.17</v>
      </c>
      <c r="G21" s="14">
        <v>0.11</v>
      </c>
      <c r="H21" s="14">
        <v>0.15</v>
      </c>
      <c r="I21" s="14">
        <v>0.15</v>
      </c>
      <c r="J21" s="14">
        <v>0.13</v>
      </c>
      <c r="K21" s="14">
        <v>0.11</v>
      </c>
      <c r="L21" s="14">
        <v>0.21</v>
      </c>
      <c r="M21" s="14">
        <v>0.18</v>
      </c>
      <c r="N21" s="14">
        <v>0.17</v>
      </c>
      <c r="O21" s="14">
        <v>0.15</v>
      </c>
      <c r="P21" s="14">
        <v>0.2</v>
      </c>
      <c r="Q21" s="14">
        <v>0.23</v>
      </c>
      <c r="R21" s="14">
        <v>0.19</v>
      </c>
      <c r="S21" s="14">
        <v>0.12</v>
      </c>
      <c r="T21" s="14">
        <v>0.12</v>
      </c>
      <c r="U21" s="14">
        <v>0.15</v>
      </c>
      <c r="V21" s="14">
        <v>0.23</v>
      </c>
      <c r="W21" s="14">
        <v>0.19</v>
      </c>
      <c r="X21" s="14">
        <v>0.2</v>
      </c>
      <c r="Y21" s="14">
        <v>0.16</v>
      </c>
      <c r="Z21" s="14">
        <v>0.27</v>
      </c>
      <c r="AA21" s="14">
        <v>0.27</v>
      </c>
      <c r="AB21" s="14">
        <v>0.28000000000000003</v>
      </c>
      <c r="AC21" s="14">
        <v>7.0000000000000007E-2</v>
      </c>
      <c r="AD21" s="14">
        <v>0.15</v>
      </c>
      <c r="AE21" s="14">
        <v>0.11</v>
      </c>
      <c r="AF21" s="14">
        <v>0.13</v>
      </c>
    </row>
    <row r="22" spans="1:32">
      <c r="A22" s="19"/>
      <c r="B22" s="11" t="s">
        <v>582</v>
      </c>
      <c r="C22" s="12">
        <v>3563</v>
      </c>
      <c r="D22" s="12">
        <v>166</v>
      </c>
      <c r="E22" s="12">
        <v>81</v>
      </c>
      <c r="F22" s="12">
        <v>115</v>
      </c>
      <c r="G22" s="12">
        <v>94</v>
      </c>
      <c r="H22" s="12">
        <v>95</v>
      </c>
      <c r="I22" s="12">
        <v>114</v>
      </c>
      <c r="J22" s="12">
        <v>19</v>
      </c>
      <c r="K22" s="12">
        <v>78</v>
      </c>
      <c r="L22" s="12">
        <v>124</v>
      </c>
      <c r="M22" s="12">
        <v>131</v>
      </c>
      <c r="N22" s="12">
        <v>183</v>
      </c>
      <c r="O22" s="12">
        <v>130</v>
      </c>
      <c r="P22" s="12">
        <v>76</v>
      </c>
      <c r="Q22" s="12">
        <v>196</v>
      </c>
      <c r="R22" s="12">
        <v>58</v>
      </c>
      <c r="S22" s="12">
        <v>110</v>
      </c>
      <c r="T22" s="12">
        <v>57</v>
      </c>
      <c r="U22" s="12">
        <v>60</v>
      </c>
      <c r="V22" s="12">
        <v>113</v>
      </c>
      <c r="W22" s="12">
        <v>65</v>
      </c>
      <c r="X22" s="12">
        <v>122</v>
      </c>
      <c r="Y22" s="12">
        <v>103</v>
      </c>
      <c r="Z22" s="12">
        <v>199</v>
      </c>
      <c r="AA22" s="12">
        <v>130</v>
      </c>
      <c r="AB22" s="12">
        <v>193</v>
      </c>
      <c r="AC22" s="12">
        <v>52</v>
      </c>
      <c r="AD22" s="12">
        <v>79</v>
      </c>
      <c r="AE22" s="12">
        <v>85</v>
      </c>
      <c r="AF22" s="12">
        <v>85</v>
      </c>
    </row>
    <row r="23" spans="1:32">
      <c r="A23" s="19"/>
      <c r="B23" s="13" t="s">
        <v>582</v>
      </c>
      <c r="C23" s="14">
        <v>0.13</v>
      </c>
      <c r="D23" s="14">
        <v>0.16</v>
      </c>
      <c r="E23" s="14">
        <v>0.08</v>
      </c>
      <c r="F23" s="14">
        <v>0.11</v>
      </c>
      <c r="G23" s="14">
        <v>0.09</v>
      </c>
      <c r="H23" s="14">
        <v>0.08</v>
      </c>
      <c r="I23" s="14">
        <v>0.08</v>
      </c>
      <c r="J23" s="14">
        <v>0.06</v>
      </c>
      <c r="K23" s="14">
        <v>0.08</v>
      </c>
      <c r="L23" s="14">
        <v>0.12</v>
      </c>
      <c r="M23" s="14">
        <v>0.13</v>
      </c>
      <c r="N23" s="14">
        <v>0.18</v>
      </c>
      <c r="O23" s="14">
        <v>0.13</v>
      </c>
      <c r="P23" s="14">
        <v>0.08</v>
      </c>
      <c r="Q23" s="14">
        <v>0.19</v>
      </c>
      <c r="R23" s="14">
        <v>0.12</v>
      </c>
      <c r="S23" s="14">
        <v>0.11</v>
      </c>
      <c r="T23" s="14">
        <v>0.06</v>
      </c>
      <c r="U23" s="14">
        <v>0.12</v>
      </c>
      <c r="V23" s="14">
        <v>0.11</v>
      </c>
      <c r="W23" s="14">
        <v>0.13</v>
      </c>
      <c r="X23" s="14">
        <v>0.12</v>
      </c>
      <c r="Y23" s="14">
        <v>0.1</v>
      </c>
      <c r="Z23" s="14">
        <v>0.19</v>
      </c>
      <c r="AA23" s="14">
        <v>0.13</v>
      </c>
      <c r="AB23" s="14">
        <v>0.19</v>
      </c>
      <c r="AC23" s="14">
        <v>0.05</v>
      </c>
      <c r="AD23" s="14">
        <v>0.08</v>
      </c>
      <c r="AE23" s="14">
        <v>0.08</v>
      </c>
      <c r="AF23" s="14">
        <v>0.08</v>
      </c>
    </row>
    <row r="24" spans="1:32">
      <c r="A24" s="19"/>
      <c r="B24" s="11" t="s">
        <v>908</v>
      </c>
      <c r="C24" s="12">
        <v>4519</v>
      </c>
      <c r="D24" s="12">
        <v>165</v>
      </c>
      <c r="E24" s="12">
        <v>78</v>
      </c>
      <c r="F24" s="12">
        <v>126</v>
      </c>
      <c r="G24" s="12">
        <v>110</v>
      </c>
      <c r="H24" s="12">
        <v>160</v>
      </c>
      <c r="I24" s="12">
        <v>202</v>
      </c>
      <c r="J24" s="12">
        <v>41</v>
      </c>
      <c r="K24" s="12">
        <v>133</v>
      </c>
      <c r="L24" s="12">
        <v>203</v>
      </c>
      <c r="M24" s="12">
        <v>83</v>
      </c>
      <c r="N24" s="12">
        <v>311</v>
      </c>
      <c r="O24" s="12">
        <v>214</v>
      </c>
      <c r="P24" s="12">
        <v>151</v>
      </c>
      <c r="Q24" s="12">
        <v>199</v>
      </c>
      <c r="R24" s="12">
        <v>87</v>
      </c>
      <c r="S24" s="12">
        <v>248</v>
      </c>
      <c r="T24" s="12">
        <v>93</v>
      </c>
      <c r="U24" s="12">
        <v>179</v>
      </c>
      <c r="V24" s="12">
        <v>83</v>
      </c>
      <c r="W24" s="12">
        <v>80</v>
      </c>
      <c r="X24" s="12">
        <v>93</v>
      </c>
      <c r="Y24" s="12">
        <v>130</v>
      </c>
      <c r="Z24" s="12">
        <v>171</v>
      </c>
      <c r="AA24" s="12">
        <v>212</v>
      </c>
      <c r="AB24" s="12">
        <v>97</v>
      </c>
      <c r="AC24" s="12">
        <v>127</v>
      </c>
      <c r="AD24" s="12">
        <v>138</v>
      </c>
      <c r="AE24" s="12">
        <v>185</v>
      </c>
      <c r="AF24" s="12">
        <v>65</v>
      </c>
    </row>
    <row r="25" spans="1:32">
      <c r="A25" s="19"/>
      <c r="B25" s="13" t="s">
        <v>909</v>
      </c>
      <c r="C25" s="14">
        <v>0.17</v>
      </c>
      <c r="D25" s="14">
        <v>0.16</v>
      </c>
      <c r="E25" s="14">
        <v>7.0000000000000007E-2</v>
      </c>
      <c r="F25" s="14">
        <v>0.12</v>
      </c>
      <c r="G25" s="14">
        <v>0.11</v>
      </c>
      <c r="H25" s="14">
        <v>0.13</v>
      </c>
      <c r="I25" s="14">
        <v>0.13</v>
      </c>
      <c r="J25" s="14">
        <v>0.14000000000000001</v>
      </c>
      <c r="K25" s="14">
        <v>0.13</v>
      </c>
      <c r="L25" s="14">
        <v>0.2</v>
      </c>
      <c r="M25" s="14">
        <v>0.08</v>
      </c>
      <c r="N25" s="14">
        <v>0.31</v>
      </c>
      <c r="O25" s="14">
        <v>0.21</v>
      </c>
      <c r="P25" s="14">
        <v>0.15</v>
      </c>
      <c r="Q25" s="14">
        <v>0.19</v>
      </c>
      <c r="R25" s="14">
        <v>0.17</v>
      </c>
      <c r="S25" s="14">
        <v>0.25</v>
      </c>
      <c r="T25" s="14">
        <v>0.09</v>
      </c>
      <c r="U25" s="14">
        <v>0.35</v>
      </c>
      <c r="V25" s="14">
        <v>0.08</v>
      </c>
      <c r="W25" s="14">
        <v>0.16</v>
      </c>
      <c r="X25" s="14">
        <v>0.09</v>
      </c>
      <c r="Y25" s="14">
        <v>0.13</v>
      </c>
      <c r="Z25" s="14">
        <v>0.17</v>
      </c>
      <c r="AA25" s="14">
        <v>0.2</v>
      </c>
      <c r="AB25" s="14">
        <v>0.09</v>
      </c>
      <c r="AC25" s="14">
        <v>0.13</v>
      </c>
      <c r="AD25" s="14">
        <v>0.14000000000000001</v>
      </c>
      <c r="AE25" s="14">
        <v>0.19</v>
      </c>
      <c r="AF25" s="14">
        <v>0.06</v>
      </c>
    </row>
    <row r="26" spans="1:32">
      <c r="A26" s="19"/>
      <c r="B26" s="11" t="s">
        <v>910</v>
      </c>
      <c r="C26" s="12">
        <v>1015</v>
      </c>
      <c r="D26" s="12">
        <v>12</v>
      </c>
      <c r="E26" s="12">
        <v>95</v>
      </c>
      <c r="F26" s="12">
        <v>46</v>
      </c>
      <c r="G26" s="12">
        <v>27</v>
      </c>
      <c r="H26" s="12">
        <v>57</v>
      </c>
      <c r="I26" s="12">
        <v>66</v>
      </c>
      <c r="J26" s="12">
        <v>8</v>
      </c>
      <c r="K26" s="12">
        <v>80</v>
      </c>
      <c r="L26" s="12">
        <v>26</v>
      </c>
      <c r="M26" s="12">
        <v>90</v>
      </c>
      <c r="N26" s="12">
        <v>28</v>
      </c>
      <c r="O26" s="12">
        <v>54</v>
      </c>
      <c r="P26" s="12">
        <v>39</v>
      </c>
      <c r="Q26" s="12">
        <v>15</v>
      </c>
      <c r="R26" s="12">
        <v>14</v>
      </c>
      <c r="S26" s="12">
        <v>65</v>
      </c>
      <c r="T26" s="12">
        <v>122</v>
      </c>
      <c r="U26" s="12">
        <v>6</v>
      </c>
      <c r="V26" s="12">
        <v>30</v>
      </c>
      <c r="W26" s="12">
        <v>12</v>
      </c>
      <c r="X26" s="12">
        <v>4</v>
      </c>
      <c r="Y26" s="12">
        <v>54</v>
      </c>
      <c r="Z26" s="12">
        <v>27</v>
      </c>
      <c r="AA26" s="12">
        <v>71</v>
      </c>
      <c r="AB26" s="12">
        <v>63</v>
      </c>
      <c r="AC26" s="12">
        <v>62</v>
      </c>
      <c r="AD26" s="12">
        <v>70</v>
      </c>
      <c r="AE26" s="12">
        <v>27</v>
      </c>
      <c r="AF26" s="12">
        <v>24</v>
      </c>
    </row>
    <row r="27" spans="1:32">
      <c r="A27" s="19"/>
      <c r="B27" s="13" t="s">
        <v>911</v>
      </c>
      <c r="C27" s="14">
        <v>0.04</v>
      </c>
      <c r="D27" s="14">
        <v>0.01</v>
      </c>
      <c r="E27" s="14">
        <v>0.09</v>
      </c>
      <c r="F27" s="14">
        <v>0.04</v>
      </c>
      <c r="G27" s="14">
        <v>0.03</v>
      </c>
      <c r="H27" s="14">
        <v>0.05</v>
      </c>
      <c r="I27" s="14">
        <v>0.04</v>
      </c>
      <c r="J27" s="14">
        <v>0.03</v>
      </c>
      <c r="K27" s="14">
        <v>0.08</v>
      </c>
      <c r="L27" s="14">
        <v>0.03</v>
      </c>
      <c r="M27" s="14">
        <v>0.09</v>
      </c>
      <c r="N27" s="14">
        <v>0.03</v>
      </c>
      <c r="O27" s="14">
        <v>0.05</v>
      </c>
      <c r="P27" s="14">
        <v>0.04</v>
      </c>
      <c r="Q27" s="14">
        <v>0.01</v>
      </c>
      <c r="R27" s="14">
        <v>0.03</v>
      </c>
      <c r="S27" s="14">
        <v>7.0000000000000007E-2</v>
      </c>
      <c r="T27" s="14">
        <v>0.12</v>
      </c>
      <c r="U27" s="14">
        <v>0.01</v>
      </c>
      <c r="V27" s="14">
        <v>0.03</v>
      </c>
      <c r="W27" s="14">
        <v>0.02</v>
      </c>
      <c r="X27" s="15" t="s">
        <v>375</v>
      </c>
      <c r="Y27" s="14">
        <v>0.05</v>
      </c>
      <c r="Z27" s="14">
        <v>0.03</v>
      </c>
      <c r="AA27" s="14">
        <v>7.0000000000000007E-2</v>
      </c>
      <c r="AB27" s="14">
        <v>0.06</v>
      </c>
      <c r="AC27" s="14">
        <v>0.06</v>
      </c>
      <c r="AD27" s="14">
        <v>7.0000000000000007E-2</v>
      </c>
      <c r="AE27" s="14">
        <v>0.03</v>
      </c>
      <c r="AF27" s="14">
        <v>0.02</v>
      </c>
    </row>
    <row r="28" spans="1:32">
      <c r="A28" s="19"/>
      <c r="B28" s="11" t="s">
        <v>386</v>
      </c>
      <c r="C28" s="12">
        <v>258</v>
      </c>
      <c r="D28" s="12">
        <v>2</v>
      </c>
      <c r="E28" s="12">
        <v>31</v>
      </c>
      <c r="F28" s="12">
        <v>5</v>
      </c>
      <c r="G28" s="12">
        <v>27</v>
      </c>
      <c r="H28" s="12">
        <v>9</v>
      </c>
      <c r="I28" s="12">
        <v>13</v>
      </c>
      <c r="J28" s="12">
        <v>4</v>
      </c>
      <c r="K28" s="12">
        <v>19</v>
      </c>
      <c r="L28" s="12">
        <v>9</v>
      </c>
      <c r="M28" s="12">
        <v>7</v>
      </c>
      <c r="N28" s="12">
        <v>7</v>
      </c>
      <c r="O28" s="12">
        <v>19</v>
      </c>
      <c r="P28" s="12">
        <v>13</v>
      </c>
      <c r="Q28" s="12">
        <v>6</v>
      </c>
      <c r="R28" s="12">
        <v>10</v>
      </c>
      <c r="S28" s="12">
        <v>15</v>
      </c>
      <c r="T28" s="12">
        <v>25</v>
      </c>
      <c r="U28" s="12">
        <v>6</v>
      </c>
      <c r="V28" s="12">
        <v>11</v>
      </c>
      <c r="W28" s="12">
        <v>3</v>
      </c>
      <c r="X28" s="12">
        <v>4</v>
      </c>
      <c r="Y28" s="12">
        <v>10</v>
      </c>
      <c r="Z28" s="12">
        <v>7</v>
      </c>
      <c r="AA28" s="12">
        <v>14</v>
      </c>
      <c r="AB28" s="12">
        <v>9</v>
      </c>
      <c r="AC28" s="12">
        <v>7</v>
      </c>
      <c r="AD28" s="12">
        <v>4</v>
      </c>
      <c r="AE28" s="12">
        <v>13</v>
      </c>
      <c r="AF28" s="12">
        <v>4</v>
      </c>
    </row>
    <row r="29" spans="1:32">
      <c r="A29" s="19"/>
      <c r="B29" s="13" t="s">
        <v>399</v>
      </c>
      <c r="C29" s="14">
        <v>0.01</v>
      </c>
      <c r="D29" s="15" t="s">
        <v>375</v>
      </c>
      <c r="E29" s="14">
        <v>0.03</v>
      </c>
      <c r="F29" s="14">
        <v>0.01</v>
      </c>
      <c r="G29" s="14">
        <v>0.03</v>
      </c>
      <c r="H29" s="14">
        <v>0.01</v>
      </c>
      <c r="I29" s="14">
        <v>0.01</v>
      </c>
      <c r="J29" s="14">
        <v>0.01</v>
      </c>
      <c r="K29" s="14">
        <v>0.02</v>
      </c>
      <c r="L29" s="14">
        <v>0.01</v>
      </c>
      <c r="M29" s="14">
        <v>0.01</v>
      </c>
      <c r="N29" s="14">
        <v>0.01</v>
      </c>
      <c r="O29" s="14">
        <v>0.02</v>
      </c>
      <c r="P29" s="14">
        <v>0.01</v>
      </c>
      <c r="Q29" s="14">
        <v>0.01</v>
      </c>
      <c r="R29" s="14">
        <v>0.02</v>
      </c>
      <c r="S29" s="14">
        <v>0.02</v>
      </c>
      <c r="T29" s="14">
        <v>0.02</v>
      </c>
      <c r="U29" s="14">
        <v>0.01</v>
      </c>
      <c r="V29" s="14">
        <v>0.01</v>
      </c>
      <c r="W29" s="14">
        <v>0.01</v>
      </c>
      <c r="X29" s="15" t="s">
        <v>375</v>
      </c>
      <c r="Y29" s="14">
        <v>0.01</v>
      </c>
      <c r="Z29" s="14">
        <v>0.01</v>
      </c>
      <c r="AA29" s="14">
        <v>0.01</v>
      </c>
      <c r="AB29" s="14">
        <v>0.01</v>
      </c>
      <c r="AC29" s="14">
        <v>0.01</v>
      </c>
      <c r="AD29" s="15" t="s">
        <v>375</v>
      </c>
      <c r="AE29" s="14">
        <v>0.01</v>
      </c>
      <c r="AF29" s="15" t="s">
        <v>375</v>
      </c>
    </row>
    <row r="30" spans="1:32">
      <c r="A30" s="19"/>
      <c r="B30" s="11" t="s">
        <v>912</v>
      </c>
      <c r="C30" s="12">
        <v>7939</v>
      </c>
      <c r="D30" s="12">
        <v>266</v>
      </c>
      <c r="E30" s="12">
        <v>416</v>
      </c>
      <c r="F30" s="12">
        <v>421</v>
      </c>
      <c r="G30" s="12">
        <v>510</v>
      </c>
      <c r="H30" s="12">
        <v>504</v>
      </c>
      <c r="I30" s="12">
        <v>629</v>
      </c>
      <c r="J30" s="12">
        <v>124</v>
      </c>
      <c r="K30" s="12">
        <v>460</v>
      </c>
      <c r="L30" s="12">
        <v>294</v>
      </c>
      <c r="M30" s="12">
        <v>340</v>
      </c>
      <c r="N30" s="12">
        <v>190</v>
      </c>
      <c r="O30" s="12">
        <v>303</v>
      </c>
      <c r="P30" s="12">
        <v>353</v>
      </c>
      <c r="Q30" s="12">
        <v>213</v>
      </c>
      <c r="R30" s="12">
        <v>156</v>
      </c>
      <c r="S30" s="12">
        <v>331</v>
      </c>
      <c r="T30" s="12">
        <v>457</v>
      </c>
      <c r="U30" s="12">
        <v>135</v>
      </c>
      <c r="V30" s="12">
        <v>352</v>
      </c>
      <c r="W30" s="12">
        <v>180</v>
      </c>
      <c r="X30" s="12">
        <v>379</v>
      </c>
      <c r="Y30" s="12">
        <v>411</v>
      </c>
      <c r="Z30" s="12">
        <v>133</v>
      </c>
      <c r="AA30" s="12">
        <v>165</v>
      </c>
      <c r="AB30" s="12">
        <v>219</v>
      </c>
      <c r="AC30" s="12">
        <v>596</v>
      </c>
      <c r="AD30" s="12">
        <v>389</v>
      </c>
      <c r="AE30" s="12">
        <v>479</v>
      </c>
      <c r="AF30" s="12">
        <v>576</v>
      </c>
    </row>
    <row r="31" spans="1:32">
      <c r="A31" s="19"/>
      <c r="B31" s="13" t="s">
        <v>913</v>
      </c>
      <c r="C31" s="14">
        <v>0.3</v>
      </c>
      <c r="D31" s="14">
        <v>0.27</v>
      </c>
      <c r="E31" s="14">
        <v>0.4</v>
      </c>
      <c r="F31" s="14">
        <v>0.39</v>
      </c>
      <c r="G31" s="14">
        <v>0.5</v>
      </c>
      <c r="H31" s="14">
        <v>0.41</v>
      </c>
      <c r="I31" s="14">
        <v>0.41</v>
      </c>
      <c r="J31" s="14">
        <v>0.42</v>
      </c>
      <c r="K31" s="14">
        <v>0.46</v>
      </c>
      <c r="L31" s="14">
        <v>0.28999999999999998</v>
      </c>
      <c r="M31" s="14">
        <v>0.34</v>
      </c>
      <c r="N31" s="14">
        <v>0.18</v>
      </c>
      <c r="O31" s="14">
        <v>0.31</v>
      </c>
      <c r="P31" s="14">
        <v>0.35</v>
      </c>
      <c r="Q31" s="14">
        <v>0.21</v>
      </c>
      <c r="R31" s="14">
        <v>0.31</v>
      </c>
      <c r="S31" s="14">
        <v>0.32</v>
      </c>
      <c r="T31" s="14">
        <v>0.44</v>
      </c>
      <c r="U31" s="14">
        <v>0.27</v>
      </c>
      <c r="V31" s="14">
        <v>0.34</v>
      </c>
      <c r="W31" s="14">
        <v>0.36</v>
      </c>
      <c r="X31" s="14">
        <v>0.38</v>
      </c>
      <c r="Y31" s="14">
        <v>0.42</v>
      </c>
      <c r="Z31" s="14">
        <v>0.13</v>
      </c>
      <c r="AA31" s="14">
        <v>0.16</v>
      </c>
      <c r="AB31" s="14">
        <v>0.21</v>
      </c>
      <c r="AC31" s="14">
        <v>0.59</v>
      </c>
      <c r="AD31" s="14">
        <v>0.39</v>
      </c>
      <c r="AE31" s="14">
        <v>0.48</v>
      </c>
      <c r="AF31" s="14">
        <v>0.57000000000000006</v>
      </c>
    </row>
    <row r="32" spans="1:32">
      <c r="A32" s="19"/>
      <c r="B32" s="11" t="s">
        <v>914</v>
      </c>
      <c r="C32" s="12">
        <v>4214</v>
      </c>
      <c r="D32" s="12">
        <v>175</v>
      </c>
      <c r="E32" s="12">
        <v>190</v>
      </c>
      <c r="F32" s="12">
        <v>169</v>
      </c>
      <c r="G32" s="12">
        <v>137</v>
      </c>
      <c r="H32" s="12">
        <v>215</v>
      </c>
      <c r="I32" s="12">
        <v>278</v>
      </c>
      <c r="J32" s="12">
        <v>63</v>
      </c>
      <c r="K32" s="12">
        <v>122</v>
      </c>
      <c r="L32" s="12">
        <v>140</v>
      </c>
      <c r="M32" s="12">
        <v>173</v>
      </c>
      <c r="N32" s="12">
        <v>122</v>
      </c>
      <c r="O32" s="12">
        <v>131</v>
      </c>
      <c r="P32" s="12">
        <v>167</v>
      </c>
      <c r="Q32" s="12">
        <v>163</v>
      </c>
      <c r="R32" s="12">
        <v>80</v>
      </c>
      <c r="S32" s="12">
        <v>113</v>
      </c>
      <c r="T32" s="12">
        <v>148</v>
      </c>
      <c r="U32" s="12">
        <v>44</v>
      </c>
      <c r="V32" s="12">
        <v>208</v>
      </c>
      <c r="W32" s="12">
        <v>65</v>
      </c>
      <c r="X32" s="12">
        <v>212</v>
      </c>
      <c r="Y32" s="12">
        <v>136</v>
      </c>
      <c r="Z32" s="12">
        <v>203</v>
      </c>
      <c r="AA32" s="12">
        <v>164</v>
      </c>
      <c r="AB32" s="12">
        <v>169</v>
      </c>
      <c r="AC32" s="12">
        <v>92</v>
      </c>
      <c r="AD32" s="12">
        <v>168</v>
      </c>
      <c r="AE32" s="12">
        <v>97</v>
      </c>
      <c r="AF32" s="12">
        <v>144</v>
      </c>
    </row>
    <row r="33" spans="1:32">
      <c r="A33" s="19"/>
      <c r="B33" s="13" t="s">
        <v>915</v>
      </c>
      <c r="C33" s="14">
        <v>0.16</v>
      </c>
      <c r="D33" s="14">
        <v>0.17</v>
      </c>
      <c r="E33" s="14">
        <v>0.18</v>
      </c>
      <c r="F33" s="14">
        <v>0.16</v>
      </c>
      <c r="G33" s="14">
        <v>0.13</v>
      </c>
      <c r="H33" s="14">
        <v>0.17</v>
      </c>
      <c r="I33" s="14">
        <v>0.18</v>
      </c>
      <c r="J33" s="14">
        <v>0.21</v>
      </c>
      <c r="K33" s="14">
        <v>0.12</v>
      </c>
      <c r="L33" s="14">
        <v>0.14000000000000001</v>
      </c>
      <c r="M33" s="14">
        <v>0.17</v>
      </c>
      <c r="N33" s="14">
        <v>0.12</v>
      </c>
      <c r="O33" s="14">
        <v>0.13</v>
      </c>
      <c r="P33" s="14">
        <v>0.17</v>
      </c>
      <c r="Q33" s="14">
        <v>0.16</v>
      </c>
      <c r="R33" s="14">
        <v>0.16</v>
      </c>
      <c r="S33" s="14">
        <v>0.11</v>
      </c>
      <c r="T33" s="14">
        <v>0.15</v>
      </c>
      <c r="U33" s="14">
        <v>0.09</v>
      </c>
      <c r="V33" s="14">
        <v>0.2</v>
      </c>
      <c r="W33" s="14">
        <v>0.13</v>
      </c>
      <c r="X33" s="14">
        <v>0.21</v>
      </c>
      <c r="Y33" s="14">
        <v>0.13</v>
      </c>
      <c r="Z33" s="14">
        <v>0.2</v>
      </c>
      <c r="AA33" s="14">
        <v>0.16</v>
      </c>
      <c r="AB33" s="14">
        <v>0.16</v>
      </c>
      <c r="AC33" s="14">
        <v>0.09</v>
      </c>
      <c r="AD33" s="14">
        <v>0.17</v>
      </c>
      <c r="AE33" s="14">
        <v>0.1</v>
      </c>
      <c r="AF33" s="14">
        <v>0.14000000000000001</v>
      </c>
    </row>
    <row r="34" spans="1:32">
      <c r="A34" s="19"/>
      <c r="B34" s="11" t="s">
        <v>916</v>
      </c>
      <c r="C34" s="12">
        <v>13027</v>
      </c>
      <c r="D34" s="12">
        <v>567</v>
      </c>
      <c r="E34" s="12">
        <v>315</v>
      </c>
      <c r="F34" s="12">
        <v>423</v>
      </c>
      <c r="G34" s="12">
        <v>315</v>
      </c>
      <c r="H34" s="12">
        <v>445</v>
      </c>
      <c r="I34" s="12">
        <v>543</v>
      </c>
      <c r="J34" s="12">
        <v>98</v>
      </c>
      <c r="K34" s="12">
        <v>324</v>
      </c>
      <c r="L34" s="12">
        <v>536</v>
      </c>
      <c r="M34" s="12">
        <v>397</v>
      </c>
      <c r="N34" s="12">
        <v>664</v>
      </c>
      <c r="O34" s="12">
        <v>496</v>
      </c>
      <c r="P34" s="12">
        <v>431</v>
      </c>
      <c r="Q34" s="12">
        <v>633</v>
      </c>
      <c r="R34" s="12">
        <v>242</v>
      </c>
      <c r="S34" s="12">
        <v>480</v>
      </c>
      <c r="T34" s="12">
        <v>272</v>
      </c>
      <c r="U34" s="12">
        <v>316</v>
      </c>
      <c r="V34" s="12">
        <v>425</v>
      </c>
      <c r="W34" s="12">
        <v>243</v>
      </c>
      <c r="X34" s="12">
        <v>412</v>
      </c>
      <c r="Y34" s="12">
        <v>391</v>
      </c>
      <c r="Z34" s="12">
        <v>645</v>
      </c>
      <c r="AA34" s="12">
        <v>624</v>
      </c>
      <c r="AB34" s="12">
        <v>580</v>
      </c>
      <c r="AC34" s="12">
        <v>247</v>
      </c>
      <c r="AD34" s="12">
        <v>372</v>
      </c>
      <c r="AE34" s="12">
        <v>385</v>
      </c>
      <c r="AF34" s="12">
        <v>283</v>
      </c>
    </row>
    <row r="35" spans="1:32">
      <c r="A35" s="19"/>
      <c r="B35" s="13" t="s">
        <v>917</v>
      </c>
      <c r="C35" s="14">
        <v>0.49</v>
      </c>
      <c r="D35" s="14">
        <v>0.55000000000000004</v>
      </c>
      <c r="E35" s="14">
        <v>0.3</v>
      </c>
      <c r="F35" s="14">
        <v>0.4</v>
      </c>
      <c r="G35" s="14">
        <v>0.31</v>
      </c>
      <c r="H35" s="14">
        <v>0.36</v>
      </c>
      <c r="I35" s="14">
        <v>0.36</v>
      </c>
      <c r="J35" s="14">
        <v>0.33</v>
      </c>
      <c r="K35" s="14">
        <v>0.32</v>
      </c>
      <c r="L35" s="14">
        <v>0.53</v>
      </c>
      <c r="M35" s="14">
        <v>0.39</v>
      </c>
      <c r="N35" s="14">
        <v>0.66</v>
      </c>
      <c r="O35" s="14">
        <v>0.49</v>
      </c>
      <c r="P35" s="14">
        <v>0.43</v>
      </c>
      <c r="Q35" s="14">
        <v>0.61</v>
      </c>
      <c r="R35" s="14">
        <v>0.48</v>
      </c>
      <c r="S35" s="14">
        <v>0.48</v>
      </c>
      <c r="T35" s="14">
        <v>0.27</v>
      </c>
      <c r="U35" s="14">
        <v>0.62</v>
      </c>
      <c r="V35" s="14">
        <v>0.42</v>
      </c>
      <c r="W35" s="14">
        <v>0.48</v>
      </c>
      <c r="X35" s="14">
        <v>0.41</v>
      </c>
      <c r="Y35" s="14">
        <v>0.39</v>
      </c>
      <c r="Z35" s="14">
        <v>0.63</v>
      </c>
      <c r="AA35" s="14">
        <v>0.6</v>
      </c>
      <c r="AB35" s="14">
        <v>0.56000000000000005</v>
      </c>
      <c r="AC35" s="14">
        <v>0.25</v>
      </c>
      <c r="AD35" s="14">
        <v>0.37</v>
      </c>
      <c r="AE35" s="14">
        <v>0.38</v>
      </c>
      <c r="AF35" s="14">
        <v>0.27</v>
      </c>
    </row>
  </sheetData>
  <mergeCells count="10">
    <mergeCell ref="A30:A35"/>
    <mergeCell ref="H4:L4"/>
    <mergeCell ref="B4:F4"/>
    <mergeCell ref="H3:L3"/>
    <mergeCell ref="C8:AF8"/>
    <mergeCell ref="A10:A29"/>
    <mergeCell ref="B5:F5"/>
    <mergeCell ref="B3:F3"/>
    <mergeCell ref="H5:L5"/>
    <mergeCell ref="B10:B11"/>
  </mergeCells>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175</v>
      </c>
      <c r="C3" s="17"/>
      <c r="D3" s="17"/>
      <c r="E3" s="17"/>
      <c r="F3" s="17"/>
      <c r="H3" s="17" t="s">
        <v>176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HYPERLINK("#Content!A89","&lt;&lt;Back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938</v>
      </c>
      <c r="C12" s="12">
        <v>11897</v>
      </c>
      <c r="D12" s="12">
        <v>552</v>
      </c>
      <c r="E12" s="12">
        <v>358</v>
      </c>
      <c r="F12" s="12">
        <v>335</v>
      </c>
      <c r="G12" s="12">
        <v>464</v>
      </c>
      <c r="H12" s="12">
        <v>705</v>
      </c>
      <c r="I12" s="12">
        <v>866</v>
      </c>
      <c r="J12" s="12">
        <v>160</v>
      </c>
      <c r="K12" s="12">
        <v>261</v>
      </c>
      <c r="L12" s="12">
        <v>684</v>
      </c>
      <c r="M12" s="12">
        <v>582</v>
      </c>
      <c r="N12" s="12">
        <v>546</v>
      </c>
      <c r="O12" s="12">
        <v>490</v>
      </c>
      <c r="P12" s="12">
        <v>357</v>
      </c>
      <c r="Q12" s="12">
        <v>360</v>
      </c>
      <c r="R12" s="12">
        <v>304</v>
      </c>
      <c r="S12" s="12">
        <v>381</v>
      </c>
      <c r="T12" s="12">
        <v>368</v>
      </c>
      <c r="U12" s="12">
        <v>336</v>
      </c>
      <c r="V12" s="12">
        <v>338</v>
      </c>
      <c r="W12" s="12">
        <v>344</v>
      </c>
      <c r="X12" s="12">
        <v>562</v>
      </c>
      <c r="Y12" s="12">
        <v>399</v>
      </c>
      <c r="Z12" s="12">
        <v>248</v>
      </c>
      <c r="AA12" s="12">
        <v>525</v>
      </c>
      <c r="AB12" s="12">
        <v>235</v>
      </c>
      <c r="AC12" s="12">
        <v>474</v>
      </c>
      <c r="AD12" s="12">
        <v>434</v>
      </c>
      <c r="AE12" s="12">
        <v>615</v>
      </c>
      <c r="AF12" s="12">
        <v>285</v>
      </c>
    </row>
    <row r="13" spans="1:32">
      <c r="A13" s="19"/>
      <c r="B13" s="13" t="s">
        <v>939</v>
      </c>
      <c r="C13" s="14">
        <v>0.45</v>
      </c>
      <c r="D13" s="14">
        <v>0.54</v>
      </c>
      <c r="E13" s="14">
        <v>0.34</v>
      </c>
      <c r="F13" s="14">
        <v>0.32</v>
      </c>
      <c r="G13" s="14">
        <v>0.46</v>
      </c>
      <c r="H13" s="14">
        <v>0.57000000000000006</v>
      </c>
      <c r="I13" s="14">
        <v>0.57000000000000006</v>
      </c>
      <c r="J13" s="14">
        <v>0.54</v>
      </c>
      <c r="K13" s="14">
        <v>0.26</v>
      </c>
      <c r="L13" s="14">
        <v>0.68</v>
      </c>
      <c r="M13" s="14">
        <v>0.57999999999999996</v>
      </c>
      <c r="N13" s="14">
        <v>0.54</v>
      </c>
      <c r="O13" s="14">
        <v>0.49</v>
      </c>
      <c r="P13" s="14">
        <v>0.36</v>
      </c>
      <c r="Q13" s="14">
        <v>0.35</v>
      </c>
      <c r="R13" s="14">
        <v>0.61</v>
      </c>
      <c r="S13" s="14">
        <v>0.38</v>
      </c>
      <c r="T13" s="14">
        <v>0.36</v>
      </c>
      <c r="U13" s="14">
        <v>0.66</v>
      </c>
      <c r="V13" s="14">
        <v>0.33</v>
      </c>
      <c r="W13" s="14">
        <v>0.68</v>
      </c>
      <c r="X13" s="14">
        <v>0.56000000000000005</v>
      </c>
      <c r="Y13" s="14">
        <v>0.4</v>
      </c>
      <c r="Z13" s="14">
        <v>0.25</v>
      </c>
      <c r="AA13" s="14">
        <v>0.51</v>
      </c>
      <c r="AB13" s="14">
        <v>0.23</v>
      </c>
      <c r="AC13" s="14">
        <v>0.47</v>
      </c>
      <c r="AD13" s="14">
        <v>0.43</v>
      </c>
      <c r="AE13" s="14">
        <v>0.62</v>
      </c>
      <c r="AF13" s="14">
        <v>0.28000000000000003</v>
      </c>
    </row>
    <row r="14" spans="1:32">
      <c r="A14" s="19"/>
      <c r="B14" s="11" t="s">
        <v>940</v>
      </c>
      <c r="C14" s="12">
        <v>8453</v>
      </c>
      <c r="D14" s="12">
        <v>314</v>
      </c>
      <c r="E14" s="12">
        <v>334</v>
      </c>
      <c r="F14" s="12">
        <v>355</v>
      </c>
      <c r="G14" s="12">
        <v>286</v>
      </c>
      <c r="H14" s="12">
        <v>302</v>
      </c>
      <c r="I14" s="12">
        <v>372</v>
      </c>
      <c r="J14" s="12">
        <v>70</v>
      </c>
      <c r="K14" s="12">
        <v>363</v>
      </c>
      <c r="L14" s="12">
        <v>214</v>
      </c>
      <c r="M14" s="12">
        <v>223</v>
      </c>
      <c r="N14" s="12">
        <v>302</v>
      </c>
      <c r="O14" s="12">
        <v>273</v>
      </c>
      <c r="P14" s="12">
        <v>304</v>
      </c>
      <c r="Q14" s="12">
        <v>449</v>
      </c>
      <c r="R14" s="12">
        <v>107</v>
      </c>
      <c r="S14" s="12">
        <v>323</v>
      </c>
      <c r="T14" s="12">
        <v>318</v>
      </c>
      <c r="U14" s="12">
        <v>104</v>
      </c>
      <c r="V14" s="12">
        <v>415</v>
      </c>
      <c r="W14" s="12">
        <v>85</v>
      </c>
      <c r="X14" s="12">
        <v>325</v>
      </c>
      <c r="Y14" s="12">
        <v>348</v>
      </c>
      <c r="Z14" s="12">
        <v>471</v>
      </c>
      <c r="AA14" s="12">
        <v>274</v>
      </c>
      <c r="AB14" s="12">
        <v>320</v>
      </c>
      <c r="AC14" s="12">
        <v>255</v>
      </c>
      <c r="AD14" s="12">
        <v>306</v>
      </c>
      <c r="AE14" s="12">
        <v>271</v>
      </c>
      <c r="AF14" s="12">
        <v>386</v>
      </c>
    </row>
    <row r="15" spans="1:32">
      <c r="A15" s="19"/>
      <c r="B15" s="13" t="s">
        <v>941</v>
      </c>
      <c r="C15" s="14">
        <v>0.32</v>
      </c>
      <c r="D15" s="14">
        <v>0.31</v>
      </c>
      <c r="E15" s="14">
        <v>0.32</v>
      </c>
      <c r="F15" s="14">
        <v>0.33</v>
      </c>
      <c r="G15" s="14">
        <v>0.28000000000000003</v>
      </c>
      <c r="H15" s="14">
        <v>0.25</v>
      </c>
      <c r="I15" s="14">
        <v>0.24</v>
      </c>
      <c r="J15" s="14">
        <v>0.24</v>
      </c>
      <c r="K15" s="14">
        <v>0.36</v>
      </c>
      <c r="L15" s="14">
        <v>0.21</v>
      </c>
      <c r="M15" s="14">
        <v>0.22</v>
      </c>
      <c r="N15" s="14">
        <v>0.3</v>
      </c>
      <c r="O15" s="14">
        <v>0.27</v>
      </c>
      <c r="P15" s="14">
        <v>0.3</v>
      </c>
      <c r="Q15" s="14">
        <v>0.44</v>
      </c>
      <c r="R15" s="14">
        <v>0.21</v>
      </c>
      <c r="S15" s="14">
        <v>0.32</v>
      </c>
      <c r="T15" s="14">
        <v>0.31</v>
      </c>
      <c r="U15" s="14">
        <v>0.2</v>
      </c>
      <c r="V15" s="14">
        <v>0.4</v>
      </c>
      <c r="W15" s="14">
        <v>0.17</v>
      </c>
      <c r="X15" s="14">
        <v>0.32</v>
      </c>
      <c r="Y15" s="14">
        <v>0.35</v>
      </c>
      <c r="Z15" s="14">
        <v>0.46</v>
      </c>
      <c r="AA15" s="14">
        <v>0.26</v>
      </c>
      <c r="AB15" s="14">
        <v>0.31</v>
      </c>
      <c r="AC15" s="14">
        <v>0.25</v>
      </c>
      <c r="AD15" s="14">
        <v>0.31</v>
      </c>
      <c r="AE15" s="14">
        <v>0.27</v>
      </c>
      <c r="AF15" s="14">
        <v>0.37</v>
      </c>
    </row>
    <row r="16" spans="1:32">
      <c r="A16" s="19"/>
      <c r="B16" s="11" t="s">
        <v>942</v>
      </c>
      <c r="C16" s="12">
        <v>2298</v>
      </c>
      <c r="D16" s="12">
        <v>100</v>
      </c>
      <c r="E16" s="12">
        <v>89</v>
      </c>
      <c r="F16" s="12">
        <v>181</v>
      </c>
      <c r="G16" s="12">
        <v>137</v>
      </c>
      <c r="H16" s="12">
        <v>88</v>
      </c>
      <c r="I16" s="12">
        <v>119</v>
      </c>
      <c r="J16" s="12">
        <v>31</v>
      </c>
      <c r="K16" s="12">
        <v>169</v>
      </c>
      <c r="L16" s="12">
        <v>32</v>
      </c>
      <c r="M16" s="12">
        <v>38</v>
      </c>
      <c r="N16" s="12">
        <v>69</v>
      </c>
      <c r="O16" s="12">
        <v>59</v>
      </c>
      <c r="P16" s="12">
        <v>146</v>
      </c>
      <c r="Q16" s="12">
        <v>96</v>
      </c>
      <c r="R16" s="12">
        <v>20</v>
      </c>
      <c r="S16" s="12">
        <v>140</v>
      </c>
      <c r="T16" s="12">
        <v>87</v>
      </c>
      <c r="U16" s="12">
        <v>25</v>
      </c>
      <c r="V16" s="12">
        <v>125</v>
      </c>
      <c r="W16" s="12">
        <v>25</v>
      </c>
      <c r="X16" s="12">
        <v>90</v>
      </c>
      <c r="Y16" s="12">
        <v>119</v>
      </c>
      <c r="Z16" s="12">
        <v>95</v>
      </c>
      <c r="AA16" s="12">
        <v>33</v>
      </c>
      <c r="AB16" s="12">
        <v>147</v>
      </c>
      <c r="AC16" s="12">
        <v>76</v>
      </c>
      <c r="AD16" s="12">
        <v>71</v>
      </c>
      <c r="AE16" s="12">
        <v>54</v>
      </c>
      <c r="AF16" s="12">
        <v>217</v>
      </c>
    </row>
    <row r="17" spans="1:32">
      <c r="A17" s="19"/>
      <c r="B17" s="13" t="s">
        <v>943</v>
      </c>
      <c r="C17" s="14">
        <v>0.09</v>
      </c>
      <c r="D17" s="14">
        <v>0.1</v>
      </c>
      <c r="E17" s="14">
        <v>0.09</v>
      </c>
      <c r="F17" s="14">
        <v>0.17</v>
      </c>
      <c r="G17" s="14">
        <v>0.13</v>
      </c>
      <c r="H17" s="14">
        <v>7.0000000000000007E-2</v>
      </c>
      <c r="I17" s="14">
        <v>0.08</v>
      </c>
      <c r="J17" s="14">
        <v>0.1</v>
      </c>
      <c r="K17" s="14">
        <v>0.17</v>
      </c>
      <c r="L17" s="14">
        <v>0.03</v>
      </c>
      <c r="M17" s="14">
        <v>0.04</v>
      </c>
      <c r="N17" s="14">
        <v>7.0000000000000007E-2</v>
      </c>
      <c r="O17" s="14">
        <v>0.06</v>
      </c>
      <c r="P17" s="14">
        <v>0.15</v>
      </c>
      <c r="Q17" s="14">
        <v>0.09</v>
      </c>
      <c r="R17" s="14">
        <v>0.04</v>
      </c>
      <c r="S17" s="14">
        <v>0.14000000000000001</v>
      </c>
      <c r="T17" s="14">
        <v>0.09</v>
      </c>
      <c r="U17" s="14">
        <v>0.05</v>
      </c>
      <c r="V17" s="14">
        <v>0.12</v>
      </c>
      <c r="W17" s="14">
        <v>0.05</v>
      </c>
      <c r="X17" s="14">
        <v>0.09</v>
      </c>
      <c r="Y17" s="14">
        <v>0.12</v>
      </c>
      <c r="Z17" s="14">
        <v>0.09</v>
      </c>
      <c r="AA17" s="14">
        <v>0.03</v>
      </c>
      <c r="AB17" s="14">
        <v>0.14000000000000001</v>
      </c>
      <c r="AC17" s="14">
        <v>0.08</v>
      </c>
      <c r="AD17" s="14">
        <v>7.0000000000000007E-2</v>
      </c>
      <c r="AE17" s="14">
        <v>0.05</v>
      </c>
      <c r="AF17" s="14">
        <v>0.21</v>
      </c>
    </row>
    <row r="18" spans="1:32">
      <c r="A18" s="19"/>
      <c r="B18" s="11" t="s">
        <v>944</v>
      </c>
      <c r="C18" s="12">
        <v>754</v>
      </c>
      <c r="D18" s="12">
        <v>20</v>
      </c>
      <c r="E18" s="12">
        <v>38</v>
      </c>
      <c r="F18" s="12">
        <v>64</v>
      </c>
      <c r="G18" s="12">
        <v>54</v>
      </c>
      <c r="H18" s="12">
        <v>23</v>
      </c>
      <c r="I18" s="12">
        <v>29</v>
      </c>
      <c r="J18" s="12">
        <v>6</v>
      </c>
      <c r="K18" s="12">
        <v>62</v>
      </c>
      <c r="L18" s="12">
        <v>5</v>
      </c>
      <c r="M18" s="12">
        <v>12</v>
      </c>
      <c r="N18" s="12">
        <v>25</v>
      </c>
      <c r="O18" s="12">
        <v>19</v>
      </c>
      <c r="P18" s="12">
        <v>43</v>
      </c>
      <c r="Q18" s="12">
        <v>22</v>
      </c>
      <c r="R18" s="12">
        <v>8</v>
      </c>
      <c r="S18" s="12">
        <v>45</v>
      </c>
      <c r="T18" s="12">
        <v>44</v>
      </c>
      <c r="U18" s="12">
        <v>11</v>
      </c>
      <c r="V18" s="12">
        <v>29</v>
      </c>
      <c r="W18" s="12">
        <v>7</v>
      </c>
      <c r="X18" s="12">
        <v>25</v>
      </c>
      <c r="Y18" s="12">
        <v>35</v>
      </c>
      <c r="Z18" s="12">
        <v>30</v>
      </c>
      <c r="AA18" s="12">
        <v>8</v>
      </c>
      <c r="AB18" s="12">
        <v>105</v>
      </c>
      <c r="AC18" s="12">
        <v>36</v>
      </c>
      <c r="AD18" s="12">
        <v>45</v>
      </c>
      <c r="AE18" s="12">
        <v>16</v>
      </c>
      <c r="AF18" s="12">
        <v>90</v>
      </c>
    </row>
    <row r="19" spans="1:32">
      <c r="A19" s="19"/>
      <c r="B19" s="13" t="s">
        <v>945</v>
      </c>
      <c r="C19" s="14">
        <v>0.03</v>
      </c>
      <c r="D19" s="14">
        <v>0.02</v>
      </c>
      <c r="E19" s="14">
        <v>0.04</v>
      </c>
      <c r="F19" s="14">
        <v>0.06</v>
      </c>
      <c r="G19" s="14">
        <v>0.05</v>
      </c>
      <c r="H19" s="14">
        <v>0.02</v>
      </c>
      <c r="I19" s="14">
        <v>0.02</v>
      </c>
      <c r="J19" s="14">
        <v>0.02</v>
      </c>
      <c r="K19" s="14">
        <v>0.06</v>
      </c>
      <c r="L19" s="14">
        <v>0.01</v>
      </c>
      <c r="M19" s="14">
        <v>0.01</v>
      </c>
      <c r="N19" s="14">
        <v>0.02</v>
      </c>
      <c r="O19" s="14">
        <v>0.02</v>
      </c>
      <c r="P19" s="14">
        <v>0.04</v>
      </c>
      <c r="Q19" s="14">
        <v>0.02</v>
      </c>
      <c r="R19" s="14">
        <v>0.01</v>
      </c>
      <c r="S19" s="14">
        <v>0.05</v>
      </c>
      <c r="T19" s="14">
        <v>0.04</v>
      </c>
      <c r="U19" s="14">
        <v>0.02</v>
      </c>
      <c r="V19" s="14">
        <v>0.03</v>
      </c>
      <c r="W19" s="14">
        <v>0.01</v>
      </c>
      <c r="X19" s="14">
        <v>0.03</v>
      </c>
      <c r="Y19" s="14">
        <v>0.03</v>
      </c>
      <c r="Z19" s="14">
        <v>0.03</v>
      </c>
      <c r="AA19" s="14">
        <v>0.01</v>
      </c>
      <c r="AB19" s="14">
        <v>0.1</v>
      </c>
      <c r="AC19" s="14">
        <v>0.04</v>
      </c>
      <c r="AD19" s="14">
        <v>0.04</v>
      </c>
      <c r="AE19" s="14">
        <v>0.02</v>
      </c>
      <c r="AF19" s="14">
        <v>0.09</v>
      </c>
    </row>
    <row r="20" spans="1:32">
      <c r="A20" s="19"/>
      <c r="B20" s="11" t="s">
        <v>946</v>
      </c>
      <c r="C20" s="12">
        <v>2870</v>
      </c>
      <c r="D20" s="12">
        <v>34</v>
      </c>
      <c r="E20" s="12">
        <v>192</v>
      </c>
      <c r="F20" s="12">
        <v>121</v>
      </c>
      <c r="G20" s="12">
        <v>57</v>
      </c>
      <c r="H20" s="12">
        <v>107</v>
      </c>
      <c r="I20" s="12">
        <v>135</v>
      </c>
      <c r="J20" s="12">
        <v>28</v>
      </c>
      <c r="K20" s="12">
        <v>116</v>
      </c>
      <c r="L20" s="12">
        <v>65</v>
      </c>
      <c r="M20" s="12">
        <v>147</v>
      </c>
      <c r="N20" s="12">
        <v>63</v>
      </c>
      <c r="O20" s="12">
        <v>152</v>
      </c>
      <c r="P20" s="12">
        <v>143</v>
      </c>
      <c r="Q20" s="12">
        <v>101</v>
      </c>
      <c r="R20" s="12">
        <v>40</v>
      </c>
      <c r="S20" s="12">
        <v>102</v>
      </c>
      <c r="T20" s="12">
        <v>186</v>
      </c>
      <c r="U20" s="12">
        <v>29</v>
      </c>
      <c r="V20" s="12">
        <v>118</v>
      </c>
      <c r="W20" s="12">
        <v>40</v>
      </c>
      <c r="X20" s="12">
        <v>4</v>
      </c>
      <c r="Y20" s="12">
        <v>95</v>
      </c>
      <c r="Z20" s="12">
        <v>170</v>
      </c>
      <c r="AA20" s="12">
        <v>167</v>
      </c>
      <c r="AB20" s="12">
        <v>224</v>
      </c>
      <c r="AC20" s="12">
        <v>161</v>
      </c>
      <c r="AD20" s="12">
        <v>131</v>
      </c>
      <c r="AE20" s="12">
        <v>41</v>
      </c>
      <c r="AF20" s="12">
        <v>43</v>
      </c>
    </row>
    <row r="21" spans="1:32">
      <c r="A21" s="19"/>
      <c r="B21" s="13" t="s">
        <v>947</v>
      </c>
      <c r="C21" s="14">
        <v>0.11</v>
      </c>
      <c r="D21" s="14">
        <v>0.03</v>
      </c>
      <c r="E21" s="14">
        <v>0.18</v>
      </c>
      <c r="F21" s="14">
        <v>0.11</v>
      </c>
      <c r="G21" s="14">
        <v>0.06</v>
      </c>
      <c r="H21" s="14">
        <v>0.09</v>
      </c>
      <c r="I21" s="14">
        <v>0.09</v>
      </c>
      <c r="J21" s="14">
        <v>0.09</v>
      </c>
      <c r="K21" s="14">
        <v>0.12</v>
      </c>
      <c r="L21" s="14">
        <v>0.06</v>
      </c>
      <c r="M21" s="14">
        <v>0.14000000000000001</v>
      </c>
      <c r="N21" s="14">
        <v>0.06</v>
      </c>
      <c r="O21" s="14">
        <v>0.15</v>
      </c>
      <c r="P21" s="14">
        <v>0.14000000000000001</v>
      </c>
      <c r="Q21" s="14">
        <v>0.1</v>
      </c>
      <c r="R21" s="14">
        <v>0.08</v>
      </c>
      <c r="S21" s="14">
        <v>0.1</v>
      </c>
      <c r="T21" s="14">
        <v>0.18</v>
      </c>
      <c r="U21" s="14">
        <v>0.06</v>
      </c>
      <c r="V21" s="14">
        <v>0.12</v>
      </c>
      <c r="W21" s="14">
        <v>0.08</v>
      </c>
      <c r="X21" s="15" t="s">
        <v>375</v>
      </c>
      <c r="Y21" s="14">
        <v>0.09</v>
      </c>
      <c r="Z21" s="14">
        <v>0.17</v>
      </c>
      <c r="AA21" s="14">
        <v>0.16</v>
      </c>
      <c r="AB21" s="14">
        <v>0.21</v>
      </c>
      <c r="AC21" s="14">
        <v>0.16</v>
      </c>
      <c r="AD21" s="14">
        <v>0.13</v>
      </c>
      <c r="AE21" s="14">
        <v>0.04</v>
      </c>
      <c r="AF21" s="14">
        <v>0.04</v>
      </c>
    </row>
    <row r="22" spans="1:32">
      <c r="A22" s="19"/>
      <c r="B22" s="11" t="s">
        <v>386</v>
      </c>
      <c r="C22" s="12">
        <v>182</v>
      </c>
      <c r="D22" s="12">
        <v>1</v>
      </c>
      <c r="E22" s="12">
        <v>36</v>
      </c>
      <c r="F22" s="12">
        <v>8</v>
      </c>
      <c r="G22" s="12">
        <v>17</v>
      </c>
      <c r="H22" s="12">
        <v>4</v>
      </c>
      <c r="I22" s="12">
        <v>6</v>
      </c>
      <c r="J22" s="12">
        <v>2</v>
      </c>
      <c r="K22" s="12">
        <v>35</v>
      </c>
      <c r="L22" s="12">
        <v>6</v>
      </c>
      <c r="M22" s="12">
        <v>6</v>
      </c>
      <c r="N22" s="12">
        <v>6</v>
      </c>
      <c r="O22" s="12">
        <v>11</v>
      </c>
      <c r="P22" s="12">
        <v>11</v>
      </c>
      <c r="Q22" s="12">
        <v>3</v>
      </c>
      <c r="R22" s="12">
        <v>23</v>
      </c>
      <c r="S22" s="12">
        <v>14</v>
      </c>
      <c r="T22" s="12">
        <v>20</v>
      </c>
      <c r="U22" s="12">
        <v>3</v>
      </c>
      <c r="V22" s="12">
        <v>1</v>
      </c>
      <c r="W22" s="12">
        <v>2</v>
      </c>
      <c r="X22" s="12">
        <v>3</v>
      </c>
      <c r="Y22" s="12">
        <v>6</v>
      </c>
      <c r="Z22" s="12">
        <v>2</v>
      </c>
      <c r="AA22" s="12">
        <v>31</v>
      </c>
      <c r="AB22" s="12">
        <v>9</v>
      </c>
      <c r="AC22" s="12">
        <v>4</v>
      </c>
      <c r="AD22" s="12">
        <v>16</v>
      </c>
      <c r="AE22" s="12">
        <v>3</v>
      </c>
      <c r="AF22" s="12">
        <v>10</v>
      </c>
    </row>
    <row r="23" spans="1:32">
      <c r="A23" s="19"/>
      <c r="B23" s="13" t="s">
        <v>399</v>
      </c>
      <c r="C23" s="15" t="s">
        <v>375</v>
      </c>
      <c r="D23" s="15" t="s">
        <v>375</v>
      </c>
      <c r="E23" s="14">
        <v>0.03</v>
      </c>
      <c r="F23" s="14">
        <v>0.01</v>
      </c>
      <c r="G23" s="14">
        <v>0.02</v>
      </c>
      <c r="H23" s="15" t="s">
        <v>375</v>
      </c>
      <c r="I23" s="15" t="s">
        <v>375</v>
      </c>
      <c r="J23" s="14">
        <v>0.01</v>
      </c>
      <c r="K23" s="14">
        <v>0.03</v>
      </c>
      <c r="L23" s="14">
        <v>0.01</v>
      </c>
      <c r="M23" s="14">
        <v>0.01</v>
      </c>
      <c r="N23" s="14">
        <v>0.01</v>
      </c>
      <c r="O23" s="14">
        <v>0.01</v>
      </c>
      <c r="P23" s="14">
        <v>0.01</v>
      </c>
      <c r="Q23" s="15" t="s">
        <v>375</v>
      </c>
      <c r="R23" s="14">
        <v>0.05</v>
      </c>
      <c r="S23" s="14">
        <v>0.01</v>
      </c>
      <c r="T23" s="14">
        <v>0.02</v>
      </c>
      <c r="U23" s="14">
        <v>0.01</v>
      </c>
      <c r="V23" s="15" t="s">
        <v>375</v>
      </c>
      <c r="W23" s="14">
        <v>0.01</v>
      </c>
      <c r="X23" s="15" t="s">
        <v>375</v>
      </c>
      <c r="Y23" s="14">
        <v>0.01</v>
      </c>
      <c r="Z23" s="15" t="s">
        <v>375</v>
      </c>
      <c r="AA23" s="14">
        <v>0.03</v>
      </c>
      <c r="AB23" s="14">
        <v>0.01</v>
      </c>
      <c r="AC23" s="15" t="s">
        <v>375</v>
      </c>
      <c r="AD23" s="14">
        <v>0.02</v>
      </c>
      <c r="AE23" s="15" t="s">
        <v>375</v>
      </c>
      <c r="AF23" s="14">
        <v>0.01</v>
      </c>
    </row>
    <row r="24" spans="1:32">
      <c r="A24" s="19"/>
      <c r="B24" s="11" t="s">
        <v>948</v>
      </c>
      <c r="C24" s="12">
        <v>20350</v>
      </c>
      <c r="D24" s="12">
        <v>866</v>
      </c>
      <c r="E24" s="12">
        <v>692</v>
      </c>
      <c r="F24" s="12">
        <v>690</v>
      </c>
      <c r="G24" s="12">
        <v>750</v>
      </c>
      <c r="H24" s="12">
        <v>1007</v>
      </c>
      <c r="I24" s="12">
        <v>1238</v>
      </c>
      <c r="J24" s="12">
        <v>230</v>
      </c>
      <c r="K24" s="12">
        <v>624</v>
      </c>
      <c r="L24" s="12">
        <v>898</v>
      </c>
      <c r="M24" s="12">
        <v>805</v>
      </c>
      <c r="N24" s="12">
        <v>848</v>
      </c>
      <c r="O24" s="12">
        <v>763</v>
      </c>
      <c r="P24" s="12">
        <v>661</v>
      </c>
      <c r="Q24" s="12">
        <v>809</v>
      </c>
      <c r="R24" s="12">
        <v>411</v>
      </c>
      <c r="S24" s="12">
        <v>704</v>
      </c>
      <c r="T24" s="12">
        <v>686</v>
      </c>
      <c r="U24" s="12">
        <v>440</v>
      </c>
      <c r="V24" s="12">
        <v>753</v>
      </c>
      <c r="W24" s="12">
        <v>429</v>
      </c>
      <c r="X24" s="12">
        <v>887</v>
      </c>
      <c r="Y24" s="12">
        <v>747</v>
      </c>
      <c r="Z24" s="12">
        <v>719</v>
      </c>
      <c r="AA24" s="12">
        <v>799</v>
      </c>
      <c r="AB24" s="12">
        <v>555</v>
      </c>
      <c r="AC24" s="12">
        <v>729</v>
      </c>
      <c r="AD24" s="12">
        <v>740</v>
      </c>
      <c r="AE24" s="12">
        <v>886</v>
      </c>
      <c r="AF24" s="12">
        <v>671</v>
      </c>
    </row>
    <row r="25" spans="1:32">
      <c r="A25" s="19"/>
      <c r="B25" s="13" t="s">
        <v>948</v>
      </c>
      <c r="C25" s="14">
        <v>0.77</v>
      </c>
      <c r="D25" s="14">
        <v>0.85</v>
      </c>
      <c r="E25" s="14">
        <v>0.66</v>
      </c>
      <c r="F25" s="14">
        <v>0.65</v>
      </c>
      <c r="G25" s="14">
        <v>0.74</v>
      </c>
      <c r="H25" s="14">
        <v>0.82000000000000006</v>
      </c>
      <c r="I25" s="14">
        <v>0.81</v>
      </c>
      <c r="J25" s="14">
        <v>0.78</v>
      </c>
      <c r="K25" s="14">
        <v>0.62</v>
      </c>
      <c r="L25" s="14">
        <v>0.89</v>
      </c>
      <c r="M25" s="14">
        <v>0.8</v>
      </c>
      <c r="N25" s="14">
        <v>0.84</v>
      </c>
      <c r="O25" s="14">
        <v>0.76</v>
      </c>
      <c r="P25" s="14">
        <v>0.66</v>
      </c>
      <c r="Q25" s="14">
        <v>0.79</v>
      </c>
      <c r="R25" s="14">
        <v>0.82000000000000006</v>
      </c>
      <c r="S25" s="14">
        <v>0.70000000000000007</v>
      </c>
      <c r="T25" s="14">
        <v>0.67</v>
      </c>
      <c r="U25" s="14">
        <v>0.86</v>
      </c>
      <c r="V25" s="14">
        <v>0.73</v>
      </c>
      <c r="W25" s="14">
        <v>0.85</v>
      </c>
      <c r="X25" s="14">
        <v>0.88</v>
      </c>
      <c r="Y25" s="14">
        <v>0.75</v>
      </c>
      <c r="Z25" s="14">
        <v>0.71</v>
      </c>
      <c r="AA25" s="14">
        <v>0.77</v>
      </c>
      <c r="AB25" s="14">
        <v>0.54</v>
      </c>
      <c r="AC25" s="14">
        <v>0.72</v>
      </c>
      <c r="AD25" s="14">
        <v>0.74</v>
      </c>
      <c r="AE25" s="14">
        <v>0.89</v>
      </c>
      <c r="AF25" s="14">
        <v>0.65</v>
      </c>
    </row>
    <row r="26" spans="1:32">
      <c r="A26" s="19"/>
      <c r="B26" s="11" t="s">
        <v>949</v>
      </c>
      <c r="C26" s="12">
        <v>3052</v>
      </c>
      <c r="D26" s="12">
        <v>120</v>
      </c>
      <c r="E26" s="12">
        <v>127</v>
      </c>
      <c r="F26" s="12">
        <v>245</v>
      </c>
      <c r="G26" s="12">
        <v>191</v>
      </c>
      <c r="H26" s="12">
        <v>111</v>
      </c>
      <c r="I26" s="12">
        <v>148</v>
      </c>
      <c r="J26" s="12">
        <v>37</v>
      </c>
      <c r="K26" s="12">
        <v>231</v>
      </c>
      <c r="L26" s="12">
        <v>37</v>
      </c>
      <c r="M26" s="12">
        <v>50</v>
      </c>
      <c r="N26" s="12">
        <v>94</v>
      </c>
      <c r="O26" s="12">
        <v>78</v>
      </c>
      <c r="P26" s="12">
        <v>189</v>
      </c>
      <c r="Q26" s="12">
        <v>118</v>
      </c>
      <c r="R26" s="12">
        <v>28</v>
      </c>
      <c r="S26" s="12">
        <v>185</v>
      </c>
      <c r="T26" s="12">
        <v>131</v>
      </c>
      <c r="U26" s="12">
        <v>36</v>
      </c>
      <c r="V26" s="12">
        <v>154</v>
      </c>
      <c r="W26" s="12">
        <v>32</v>
      </c>
      <c r="X26" s="12">
        <v>115</v>
      </c>
      <c r="Y26" s="12">
        <v>154</v>
      </c>
      <c r="Z26" s="12">
        <v>125</v>
      </c>
      <c r="AA26" s="12">
        <v>41</v>
      </c>
      <c r="AB26" s="12">
        <v>252</v>
      </c>
      <c r="AC26" s="12">
        <v>112</v>
      </c>
      <c r="AD26" s="12">
        <v>116</v>
      </c>
      <c r="AE26" s="12">
        <v>70</v>
      </c>
      <c r="AF26" s="12">
        <v>307</v>
      </c>
    </row>
    <row r="27" spans="1:32">
      <c r="A27" s="19"/>
      <c r="B27" s="13" t="s">
        <v>950</v>
      </c>
      <c r="C27" s="14">
        <v>0.12</v>
      </c>
      <c r="D27" s="14">
        <v>0.12</v>
      </c>
      <c r="E27" s="14">
        <v>0.13</v>
      </c>
      <c r="F27" s="14">
        <v>0.23</v>
      </c>
      <c r="G27" s="14">
        <v>0.18</v>
      </c>
      <c r="H27" s="14">
        <v>0.09</v>
      </c>
      <c r="I27" s="14">
        <v>0.1</v>
      </c>
      <c r="J27" s="14">
        <v>0.12</v>
      </c>
      <c r="K27" s="14">
        <v>0.23</v>
      </c>
      <c r="L27" s="14">
        <v>0.04</v>
      </c>
      <c r="M27" s="14">
        <v>0.05</v>
      </c>
      <c r="N27" s="14">
        <v>0.09</v>
      </c>
      <c r="O27" s="14">
        <v>0.08</v>
      </c>
      <c r="P27" s="14">
        <v>0.19</v>
      </c>
      <c r="Q27" s="14">
        <v>0.11</v>
      </c>
      <c r="R27" s="14">
        <v>0.05</v>
      </c>
      <c r="S27" s="14">
        <v>0.19</v>
      </c>
      <c r="T27" s="14">
        <v>0.13</v>
      </c>
      <c r="U27" s="14">
        <v>7.0000000000000007E-2</v>
      </c>
      <c r="V27" s="14">
        <v>0.15</v>
      </c>
      <c r="W27" s="14">
        <v>0.06</v>
      </c>
      <c r="X27" s="14">
        <v>0.12</v>
      </c>
      <c r="Y27" s="14">
        <v>0.15</v>
      </c>
      <c r="Z27" s="14">
        <v>0.12</v>
      </c>
      <c r="AA27" s="14">
        <v>0.04</v>
      </c>
      <c r="AB27" s="14">
        <v>0.24</v>
      </c>
      <c r="AC27" s="14">
        <v>0.12</v>
      </c>
      <c r="AD27" s="14">
        <v>0.11</v>
      </c>
      <c r="AE27" s="14">
        <v>7.0000000000000007E-2</v>
      </c>
      <c r="AF27" s="14">
        <v>0.3</v>
      </c>
    </row>
  </sheetData>
  <mergeCells count="10">
    <mergeCell ref="H3:L3"/>
    <mergeCell ref="C8:AF8"/>
    <mergeCell ref="B3:F3"/>
    <mergeCell ref="B5:F5"/>
    <mergeCell ref="H5:L5"/>
    <mergeCell ref="B10:B11"/>
    <mergeCell ref="A24:A27"/>
    <mergeCell ref="H4:L4"/>
    <mergeCell ref="A10:A23"/>
    <mergeCell ref="B4:F4"/>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4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177</v>
      </c>
      <c r="C3" s="17"/>
      <c r="D3" s="17"/>
      <c r="E3" s="17"/>
      <c r="F3" s="17"/>
      <c r="H3" s="17" t="s">
        <v>178</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951</v>
      </c>
      <c r="C12" s="12">
        <v>14</v>
      </c>
      <c r="D12" s="12">
        <v>0</v>
      </c>
      <c r="E12" s="12">
        <v>4</v>
      </c>
      <c r="F12" s="12">
        <v>3</v>
      </c>
      <c r="G12" s="12">
        <v>1</v>
      </c>
      <c r="H12" s="12">
        <v>0</v>
      </c>
      <c r="I12" s="12">
        <v>0</v>
      </c>
      <c r="J12" s="12">
        <v>0</v>
      </c>
      <c r="K12" s="12">
        <v>13</v>
      </c>
      <c r="L12" s="12">
        <v>0</v>
      </c>
      <c r="M12" s="12">
        <v>0</v>
      </c>
      <c r="N12" s="12">
        <v>0</v>
      </c>
      <c r="O12" s="12">
        <v>1</v>
      </c>
      <c r="P12" s="12">
        <v>0</v>
      </c>
      <c r="Q12" s="12">
        <v>1</v>
      </c>
      <c r="R12" s="12">
        <v>2</v>
      </c>
      <c r="S12" s="12">
        <v>0</v>
      </c>
      <c r="T12" s="12">
        <v>2</v>
      </c>
      <c r="U12" s="12">
        <v>0</v>
      </c>
      <c r="V12" s="12">
        <v>2</v>
      </c>
      <c r="W12" s="12">
        <v>1</v>
      </c>
      <c r="X12" s="12">
        <v>1</v>
      </c>
      <c r="Y12" s="12">
        <v>0</v>
      </c>
      <c r="Z12" s="12">
        <v>0</v>
      </c>
      <c r="AA12" s="12">
        <v>0</v>
      </c>
      <c r="AB12" s="12">
        <v>0</v>
      </c>
      <c r="AC12" s="12">
        <v>2</v>
      </c>
      <c r="AD12" s="12">
        <v>1</v>
      </c>
      <c r="AE12" s="12">
        <v>1</v>
      </c>
      <c r="AF12" s="12">
        <v>0</v>
      </c>
    </row>
    <row r="13" spans="1:32">
      <c r="A13" s="19"/>
      <c r="B13" s="13" t="s">
        <v>952</v>
      </c>
      <c r="C13" s="15" t="s">
        <v>375</v>
      </c>
      <c r="D13" s="15" t="s">
        <v>375</v>
      </c>
      <c r="E13" s="15" t="s">
        <v>375</v>
      </c>
      <c r="F13" s="15" t="s">
        <v>375</v>
      </c>
      <c r="G13" s="15" t="s">
        <v>375</v>
      </c>
      <c r="H13" s="15" t="s">
        <v>375</v>
      </c>
      <c r="I13" s="15" t="s">
        <v>375</v>
      </c>
      <c r="J13" s="15" t="s">
        <v>375</v>
      </c>
      <c r="K13" s="14">
        <v>0.01</v>
      </c>
      <c r="L13" s="15" t="s">
        <v>375</v>
      </c>
      <c r="M13" s="15" t="s">
        <v>375</v>
      </c>
      <c r="N13" s="15" t="s">
        <v>375</v>
      </c>
      <c r="O13" s="15" t="s">
        <v>375</v>
      </c>
      <c r="P13" s="15" t="s">
        <v>375</v>
      </c>
      <c r="Q13" s="15" t="s">
        <v>375</v>
      </c>
      <c r="R13" s="15" t="s">
        <v>375</v>
      </c>
      <c r="S13" s="15" t="s">
        <v>375</v>
      </c>
      <c r="T13" s="15" t="s">
        <v>375</v>
      </c>
      <c r="U13" s="15" t="s">
        <v>375</v>
      </c>
      <c r="V13" s="15" t="s">
        <v>375</v>
      </c>
      <c r="W13" s="15" t="s">
        <v>375</v>
      </c>
      <c r="X13" s="15" t="s">
        <v>375</v>
      </c>
      <c r="Y13" s="15" t="s">
        <v>375</v>
      </c>
      <c r="Z13" s="15" t="s">
        <v>375</v>
      </c>
      <c r="AA13" s="15" t="s">
        <v>375</v>
      </c>
      <c r="AB13" s="15" t="s">
        <v>375</v>
      </c>
      <c r="AC13" s="15" t="s">
        <v>375</v>
      </c>
      <c r="AD13" s="15" t="s">
        <v>375</v>
      </c>
      <c r="AE13" s="15" t="s">
        <v>375</v>
      </c>
      <c r="AF13" s="15" t="s">
        <v>375</v>
      </c>
    </row>
    <row r="14" spans="1:32">
      <c r="A14" s="19"/>
      <c r="B14" s="11" t="s">
        <v>953</v>
      </c>
      <c r="C14" s="12">
        <v>128</v>
      </c>
      <c r="D14" s="12">
        <v>1</v>
      </c>
      <c r="E14" s="12">
        <v>13</v>
      </c>
      <c r="F14" s="12">
        <v>5</v>
      </c>
      <c r="G14" s="12">
        <v>3</v>
      </c>
      <c r="H14" s="12">
        <v>4</v>
      </c>
      <c r="I14" s="12">
        <v>5</v>
      </c>
      <c r="J14" s="12">
        <v>2</v>
      </c>
      <c r="K14" s="12">
        <v>45</v>
      </c>
      <c r="L14" s="12">
        <v>3</v>
      </c>
      <c r="M14" s="12">
        <v>0</v>
      </c>
      <c r="N14" s="12">
        <v>3</v>
      </c>
      <c r="O14" s="12">
        <v>4</v>
      </c>
      <c r="P14" s="12">
        <v>10</v>
      </c>
      <c r="Q14" s="12">
        <v>0</v>
      </c>
      <c r="R14" s="12">
        <v>3</v>
      </c>
      <c r="S14" s="12">
        <v>41</v>
      </c>
      <c r="T14" s="12">
        <v>22</v>
      </c>
      <c r="U14" s="12">
        <v>1</v>
      </c>
      <c r="V14" s="12">
        <v>18</v>
      </c>
      <c r="W14" s="12">
        <v>5</v>
      </c>
      <c r="X14" s="12">
        <v>4</v>
      </c>
      <c r="Y14" s="12">
        <v>2</v>
      </c>
      <c r="Z14" s="12">
        <v>12</v>
      </c>
      <c r="AA14" s="12">
        <v>3</v>
      </c>
      <c r="AB14" s="12">
        <v>2</v>
      </c>
      <c r="AC14" s="12">
        <v>7</v>
      </c>
      <c r="AD14" s="12">
        <v>9</v>
      </c>
      <c r="AE14" s="12">
        <v>16</v>
      </c>
      <c r="AF14" s="12">
        <v>14</v>
      </c>
    </row>
    <row r="15" spans="1:32">
      <c r="A15" s="19"/>
      <c r="B15" s="13" t="s">
        <v>954</v>
      </c>
      <c r="C15" s="14">
        <v>0.01</v>
      </c>
      <c r="D15" s="15" t="s">
        <v>375</v>
      </c>
      <c r="E15" s="14">
        <v>0.01</v>
      </c>
      <c r="F15" s="14">
        <v>0.01</v>
      </c>
      <c r="G15" s="15" t="s">
        <v>375</v>
      </c>
      <c r="H15" s="15" t="s">
        <v>375</v>
      </c>
      <c r="I15" s="15" t="s">
        <v>375</v>
      </c>
      <c r="J15" s="15" t="s">
        <v>375</v>
      </c>
      <c r="K15" s="14">
        <v>0.05</v>
      </c>
      <c r="L15" s="15" t="s">
        <v>375</v>
      </c>
      <c r="M15" s="15" t="s">
        <v>375</v>
      </c>
      <c r="N15" s="15" t="s">
        <v>375</v>
      </c>
      <c r="O15" s="15" t="s">
        <v>375</v>
      </c>
      <c r="P15" s="14">
        <v>0.01</v>
      </c>
      <c r="Q15" s="15" t="s">
        <v>375</v>
      </c>
      <c r="R15" s="14">
        <v>0.01</v>
      </c>
      <c r="S15" s="14">
        <v>0.04</v>
      </c>
      <c r="T15" s="14">
        <v>0.02</v>
      </c>
      <c r="U15" s="15" t="s">
        <v>375</v>
      </c>
      <c r="V15" s="14">
        <v>0.02</v>
      </c>
      <c r="W15" s="14">
        <v>0.01</v>
      </c>
      <c r="X15" s="15" t="s">
        <v>375</v>
      </c>
      <c r="Y15" s="15" t="s">
        <v>375</v>
      </c>
      <c r="Z15" s="14">
        <v>0.01</v>
      </c>
      <c r="AA15" s="15" t="s">
        <v>375</v>
      </c>
      <c r="AB15" s="15" t="s">
        <v>375</v>
      </c>
      <c r="AC15" s="14">
        <v>0.01</v>
      </c>
      <c r="AD15" s="14">
        <v>0.01</v>
      </c>
      <c r="AE15" s="14">
        <v>0.02</v>
      </c>
      <c r="AF15" s="14">
        <v>0.01</v>
      </c>
    </row>
    <row r="16" spans="1:32">
      <c r="A16" s="19"/>
      <c r="B16" s="11" t="s">
        <v>955</v>
      </c>
      <c r="C16" s="12">
        <v>576</v>
      </c>
      <c r="D16" s="12">
        <v>20</v>
      </c>
      <c r="E16" s="12">
        <v>23</v>
      </c>
      <c r="F16" s="12">
        <v>29</v>
      </c>
      <c r="G16" s="12">
        <v>16</v>
      </c>
      <c r="H16" s="12">
        <v>39</v>
      </c>
      <c r="I16" s="12">
        <v>50</v>
      </c>
      <c r="J16" s="12">
        <v>11</v>
      </c>
      <c r="K16" s="12">
        <v>53</v>
      </c>
      <c r="L16" s="12">
        <v>12</v>
      </c>
      <c r="M16" s="12">
        <v>4</v>
      </c>
      <c r="N16" s="12">
        <v>12</v>
      </c>
      <c r="O16" s="12">
        <v>17</v>
      </c>
      <c r="P16" s="12">
        <v>16</v>
      </c>
      <c r="Q16" s="12">
        <v>13</v>
      </c>
      <c r="R16" s="12">
        <v>10</v>
      </c>
      <c r="S16" s="12">
        <v>71</v>
      </c>
      <c r="T16" s="12">
        <v>60</v>
      </c>
      <c r="U16" s="12">
        <v>5</v>
      </c>
      <c r="V16" s="12">
        <v>31</v>
      </c>
      <c r="W16" s="12">
        <v>18</v>
      </c>
      <c r="X16" s="12">
        <v>25</v>
      </c>
      <c r="Y16" s="12">
        <v>26</v>
      </c>
      <c r="Z16" s="12">
        <v>21</v>
      </c>
      <c r="AA16" s="12">
        <v>6</v>
      </c>
      <c r="AB16" s="12">
        <v>18</v>
      </c>
      <c r="AC16" s="12">
        <v>33</v>
      </c>
      <c r="AD16" s="12">
        <v>41</v>
      </c>
      <c r="AE16" s="12">
        <v>70</v>
      </c>
      <c r="AF16" s="12">
        <v>47</v>
      </c>
    </row>
    <row r="17" spans="1:32">
      <c r="A17" s="19"/>
      <c r="B17" s="13" t="s">
        <v>956</v>
      </c>
      <c r="C17" s="14">
        <v>0.02</v>
      </c>
      <c r="D17" s="14">
        <v>0.02</v>
      </c>
      <c r="E17" s="14">
        <v>0.02</v>
      </c>
      <c r="F17" s="14">
        <v>0.03</v>
      </c>
      <c r="G17" s="14">
        <v>0.02</v>
      </c>
      <c r="H17" s="14">
        <v>0.03</v>
      </c>
      <c r="I17" s="14">
        <v>0.03</v>
      </c>
      <c r="J17" s="14">
        <v>0.04</v>
      </c>
      <c r="K17" s="14">
        <v>0.05</v>
      </c>
      <c r="L17" s="14">
        <v>0.01</v>
      </c>
      <c r="M17" s="15" t="s">
        <v>375</v>
      </c>
      <c r="N17" s="14">
        <v>0.01</v>
      </c>
      <c r="O17" s="14">
        <v>0.02</v>
      </c>
      <c r="P17" s="14">
        <v>0.02</v>
      </c>
      <c r="Q17" s="14">
        <v>0.01</v>
      </c>
      <c r="R17" s="14">
        <v>0.02</v>
      </c>
      <c r="S17" s="14">
        <v>7.0000000000000007E-2</v>
      </c>
      <c r="T17" s="14">
        <v>0.06</v>
      </c>
      <c r="U17" s="14">
        <v>0.01</v>
      </c>
      <c r="V17" s="14">
        <v>0.03</v>
      </c>
      <c r="W17" s="14">
        <v>0.04</v>
      </c>
      <c r="X17" s="14">
        <v>0.03</v>
      </c>
      <c r="Y17" s="14">
        <v>0.03</v>
      </c>
      <c r="Z17" s="14">
        <v>0.02</v>
      </c>
      <c r="AA17" s="14">
        <v>0.01</v>
      </c>
      <c r="AB17" s="14">
        <v>0.02</v>
      </c>
      <c r="AC17" s="14">
        <v>0.03</v>
      </c>
      <c r="AD17" s="14">
        <v>0.04</v>
      </c>
      <c r="AE17" s="14">
        <v>7.0000000000000007E-2</v>
      </c>
      <c r="AF17" s="14">
        <v>0.05</v>
      </c>
    </row>
    <row r="18" spans="1:32">
      <c r="A18" s="19"/>
      <c r="B18" s="11" t="s">
        <v>957</v>
      </c>
      <c r="C18" s="12">
        <v>258</v>
      </c>
      <c r="D18" s="12">
        <v>3</v>
      </c>
      <c r="E18" s="12">
        <v>6</v>
      </c>
      <c r="F18" s="12">
        <v>14</v>
      </c>
      <c r="G18" s="12">
        <v>4</v>
      </c>
      <c r="H18" s="12">
        <v>17</v>
      </c>
      <c r="I18" s="12">
        <v>19</v>
      </c>
      <c r="J18" s="12">
        <v>2</v>
      </c>
      <c r="K18" s="12">
        <v>12</v>
      </c>
      <c r="L18" s="12">
        <v>7</v>
      </c>
      <c r="M18" s="12">
        <v>0</v>
      </c>
      <c r="N18" s="12">
        <v>5</v>
      </c>
      <c r="O18" s="12">
        <v>9</v>
      </c>
      <c r="P18" s="12">
        <v>3</v>
      </c>
      <c r="Q18" s="12">
        <v>14</v>
      </c>
      <c r="R18" s="12">
        <v>5</v>
      </c>
      <c r="S18" s="12">
        <v>5</v>
      </c>
      <c r="T18" s="12">
        <v>6</v>
      </c>
      <c r="U18" s="12">
        <v>2</v>
      </c>
      <c r="V18" s="12">
        <v>22</v>
      </c>
      <c r="W18" s="12">
        <v>8</v>
      </c>
      <c r="X18" s="12">
        <v>7</v>
      </c>
      <c r="Y18" s="12">
        <v>16</v>
      </c>
      <c r="Z18" s="12">
        <v>13</v>
      </c>
      <c r="AA18" s="12">
        <v>5</v>
      </c>
      <c r="AB18" s="12">
        <v>1</v>
      </c>
      <c r="AC18" s="12">
        <v>11</v>
      </c>
      <c r="AD18" s="12">
        <v>19</v>
      </c>
      <c r="AE18" s="12">
        <v>13</v>
      </c>
      <c r="AF18" s="12">
        <v>14</v>
      </c>
    </row>
    <row r="19" spans="1:32">
      <c r="A19" s="19"/>
      <c r="B19" s="13" t="s">
        <v>958</v>
      </c>
      <c r="C19" s="14">
        <v>0.01</v>
      </c>
      <c r="D19" s="15" t="s">
        <v>375</v>
      </c>
      <c r="E19" s="14">
        <v>0.01</v>
      </c>
      <c r="F19" s="14">
        <v>0.01</v>
      </c>
      <c r="G19" s="15" t="s">
        <v>375</v>
      </c>
      <c r="H19" s="14">
        <v>0.02</v>
      </c>
      <c r="I19" s="14">
        <v>0.01</v>
      </c>
      <c r="J19" s="14">
        <v>0.01</v>
      </c>
      <c r="K19" s="14">
        <v>0.01</v>
      </c>
      <c r="L19" s="14">
        <v>0.01</v>
      </c>
      <c r="M19" s="15" t="s">
        <v>375</v>
      </c>
      <c r="N19" s="14">
        <v>0.01</v>
      </c>
      <c r="O19" s="14">
        <v>0.01</v>
      </c>
      <c r="P19" s="15" t="s">
        <v>375</v>
      </c>
      <c r="Q19" s="14">
        <v>0.01</v>
      </c>
      <c r="R19" s="14">
        <v>0.01</v>
      </c>
      <c r="S19" s="14">
        <v>0.01</v>
      </c>
      <c r="T19" s="14">
        <v>0.01</v>
      </c>
      <c r="U19" s="15" t="s">
        <v>375</v>
      </c>
      <c r="V19" s="14">
        <v>0.02</v>
      </c>
      <c r="W19" s="14">
        <v>0.02</v>
      </c>
      <c r="X19" s="14">
        <v>0.01</v>
      </c>
      <c r="Y19" s="14">
        <v>0.02</v>
      </c>
      <c r="Z19" s="14">
        <v>0.01</v>
      </c>
      <c r="AA19" s="15" t="s">
        <v>375</v>
      </c>
      <c r="AB19" s="15" t="s">
        <v>375</v>
      </c>
      <c r="AC19" s="14">
        <v>0.01</v>
      </c>
      <c r="AD19" s="14">
        <v>0.02</v>
      </c>
      <c r="AE19" s="14">
        <v>0.01</v>
      </c>
      <c r="AF19" s="14">
        <v>0.01</v>
      </c>
    </row>
    <row r="20" spans="1:32">
      <c r="A20" s="19"/>
      <c r="B20" s="11" t="s">
        <v>959</v>
      </c>
      <c r="C20" s="12">
        <v>1548</v>
      </c>
      <c r="D20" s="12">
        <v>96</v>
      </c>
      <c r="E20" s="12">
        <v>45</v>
      </c>
      <c r="F20" s="12">
        <v>85</v>
      </c>
      <c r="G20" s="12">
        <v>53</v>
      </c>
      <c r="H20" s="12">
        <v>90</v>
      </c>
      <c r="I20" s="12">
        <v>109</v>
      </c>
      <c r="J20" s="12">
        <v>20</v>
      </c>
      <c r="K20" s="12">
        <v>46</v>
      </c>
      <c r="L20" s="12">
        <v>90</v>
      </c>
      <c r="M20" s="12">
        <v>11</v>
      </c>
      <c r="N20" s="12">
        <v>44</v>
      </c>
      <c r="O20" s="12">
        <v>40</v>
      </c>
      <c r="P20" s="12">
        <v>28</v>
      </c>
      <c r="Q20" s="12">
        <v>47</v>
      </c>
      <c r="R20" s="12">
        <v>28</v>
      </c>
      <c r="S20" s="12">
        <v>87</v>
      </c>
      <c r="T20" s="12">
        <v>89</v>
      </c>
      <c r="U20" s="12">
        <v>45</v>
      </c>
      <c r="V20" s="12">
        <v>77</v>
      </c>
      <c r="W20" s="12">
        <v>37</v>
      </c>
      <c r="X20" s="12">
        <v>145</v>
      </c>
      <c r="Y20" s="12">
        <v>71</v>
      </c>
      <c r="Z20" s="12">
        <v>41</v>
      </c>
      <c r="AA20" s="12">
        <v>22</v>
      </c>
      <c r="AB20" s="12">
        <v>35</v>
      </c>
      <c r="AC20" s="12">
        <v>75</v>
      </c>
      <c r="AD20" s="12">
        <v>52</v>
      </c>
      <c r="AE20" s="12">
        <v>157</v>
      </c>
      <c r="AF20" s="12">
        <v>135</v>
      </c>
    </row>
    <row r="21" spans="1:32">
      <c r="A21" s="19"/>
      <c r="B21" s="13" t="s">
        <v>960</v>
      </c>
      <c r="C21" s="14">
        <v>0.06</v>
      </c>
      <c r="D21" s="14">
        <v>0.09</v>
      </c>
      <c r="E21" s="14">
        <v>0.04</v>
      </c>
      <c r="F21" s="14">
        <v>0.08</v>
      </c>
      <c r="G21" s="14">
        <v>0.05</v>
      </c>
      <c r="H21" s="14">
        <v>7.0000000000000007E-2</v>
      </c>
      <c r="I21" s="14">
        <v>7.0000000000000007E-2</v>
      </c>
      <c r="J21" s="14">
        <v>0.06</v>
      </c>
      <c r="K21" s="14">
        <v>0.05</v>
      </c>
      <c r="L21" s="14">
        <v>0.09</v>
      </c>
      <c r="M21" s="14">
        <v>0.01</v>
      </c>
      <c r="N21" s="14">
        <v>0.04</v>
      </c>
      <c r="O21" s="14">
        <v>0.04</v>
      </c>
      <c r="P21" s="14">
        <v>0.03</v>
      </c>
      <c r="Q21" s="14">
        <v>0.05</v>
      </c>
      <c r="R21" s="14">
        <v>0.06</v>
      </c>
      <c r="S21" s="14">
        <v>0.09</v>
      </c>
      <c r="T21" s="14">
        <v>0.09</v>
      </c>
      <c r="U21" s="14">
        <v>0.09</v>
      </c>
      <c r="V21" s="14">
        <v>0.08</v>
      </c>
      <c r="W21" s="14">
        <v>7.0000000000000007E-2</v>
      </c>
      <c r="X21" s="14">
        <v>0.14000000000000001</v>
      </c>
      <c r="Y21" s="14">
        <v>7.0000000000000007E-2</v>
      </c>
      <c r="Z21" s="14">
        <v>0.04</v>
      </c>
      <c r="AA21" s="14">
        <v>0.02</v>
      </c>
      <c r="AB21" s="14">
        <v>0.03</v>
      </c>
      <c r="AC21" s="14">
        <v>7.0000000000000007E-2</v>
      </c>
      <c r="AD21" s="14">
        <v>0.05</v>
      </c>
      <c r="AE21" s="14">
        <v>0.16</v>
      </c>
      <c r="AF21" s="14">
        <v>0.13</v>
      </c>
    </row>
    <row r="22" spans="1:32">
      <c r="A22" s="19"/>
      <c r="B22" s="11" t="s">
        <v>961</v>
      </c>
      <c r="C22" s="12">
        <v>1170</v>
      </c>
      <c r="D22" s="12">
        <v>50</v>
      </c>
      <c r="E22" s="12">
        <v>20</v>
      </c>
      <c r="F22" s="12">
        <v>57</v>
      </c>
      <c r="G22" s="12">
        <v>145</v>
      </c>
      <c r="H22" s="12">
        <v>41</v>
      </c>
      <c r="I22" s="12">
        <v>46</v>
      </c>
      <c r="J22" s="12">
        <v>6</v>
      </c>
      <c r="K22" s="12">
        <v>37</v>
      </c>
      <c r="L22" s="12">
        <v>89</v>
      </c>
      <c r="M22" s="12">
        <v>18</v>
      </c>
      <c r="N22" s="12">
        <v>32</v>
      </c>
      <c r="O22" s="12">
        <v>54</v>
      </c>
      <c r="P22" s="12">
        <v>22</v>
      </c>
      <c r="Q22" s="12">
        <v>34</v>
      </c>
      <c r="R22" s="12">
        <v>32</v>
      </c>
      <c r="S22" s="12">
        <v>62</v>
      </c>
      <c r="T22" s="12">
        <v>32</v>
      </c>
      <c r="U22" s="12">
        <v>28</v>
      </c>
      <c r="V22" s="12">
        <v>27</v>
      </c>
      <c r="W22" s="12">
        <v>32</v>
      </c>
      <c r="X22" s="12">
        <v>59</v>
      </c>
      <c r="Y22" s="12">
        <v>25</v>
      </c>
      <c r="Z22" s="12">
        <v>55</v>
      </c>
      <c r="AA22" s="12">
        <v>20</v>
      </c>
      <c r="AB22" s="12">
        <v>18</v>
      </c>
      <c r="AC22" s="12">
        <v>55</v>
      </c>
      <c r="AD22" s="12">
        <v>60</v>
      </c>
      <c r="AE22" s="12">
        <v>155</v>
      </c>
      <c r="AF22" s="12">
        <v>163</v>
      </c>
    </row>
    <row r="23" spans="1:32">
      <c r="A23" s="19"/>
      <c r="B23" s="13" t="s">
        <v>962</v>
      </c>
      <c r="C23" s="14">
        <v>0.04</v>
      </c>
      <c r="D23" s="14">
        <v>0.05</v>
      </c>
      <c r="E23" s="14">
        <v>0.02</v>
      </c>
      <c r="F23" s="14">
        <v>0.05</v>
      </c>
      <c r="G23" s="14">
        <v>0.14000000000000001</v>
      </c>
      <c r="H23" s="14">
        <v>0.03</v>
      </c>
      <c r="I23" s="14">
        <v>0.03</v>
      </c>
      <c r="J23" s="14">
        <v>0.02</v>
      </c>
      <c r="K23" s="14">
        <v>0.04</v>
      </c>
      <c r="L23" s="14">
        <v>0.09</v>
      </c>
      <c r="M23" s="14">
        <v>0.02</v>
      </c>
      <c r="N23" s="14">
        <v>0.03</v>
      </c>
      <c r="O23" s="14">
        <v>0.05</v>
      </c>
      <c r="P23" s="14">
        <v>0.02</v>
      </c>
      <c r="Q23" s="14">
        <v>0.03</v>
      </c>
      <c r="R23" s="14">
        <v>0.06</v>
      </c>
      <c r="S23" s="14">
        <v>0.06</v>
      </c>
      <c r="T23" s="14">
        <v>0.03</v>
      </c>
      <c r="U23" s="14">
        <v>0.06</v>
      </c>
      <c r="V23" s="14">
        <v>0.03</v>
      </c>
      <c r="W23" s="14">
        <v>0.06</v>
      </c>
      <c r="X23" s="14">
        <v>0.06</v>
      </c>
      <c r="Y23" s="14">
        <v>0.02</v>
      </c>
      <c r="Z23" s="14">
        <v>0.05</v>
      </c>
      <c r="AA23" s="14">
        <v>0.02</v>
      </c>
      <c r="AB23" s="14">
        <v>0.02</v>
      </c>
      <c r="AC23" s="14">
        <v>0.06</v>
      </c>
      <c r="AD23" s="14">
        <v>0.06</v>
      </c>
      <c r="AE23" s="14">
        <v>0.15</v>
      </c>
      <c r="AF23" s="14">
        <v>0.16</v>
      </c>
    </row>
    <row r="24" spans="1:32">
      <c r="A24" s="19"/>
      <c r="B24" s="11" t="s">
        <v>963</v>
      </c>
      <c r="C24" s="12">
        <v>3024</v>
      </c>
      <c r="D24" s="12">
        <v>145</v>
      </c>
      <c r="E24" s="12">
        <v>77</v>
      </c>
      <c r="F24" s="12">
        <v>55</v>
      </c>
      <c r="G24" s="12">
        <v>92</v>
      </c>
      <c r="H24" s="12">
        <v>206</v>
      </c>
      <c r="I24" s="12">
        <v>259</v>
      </c>
      <c r="J24" s="12">
        <v>53</v>
      </c>
      <c r="K24" s="12">
        <v>63</v>
      </c>
      <c r="L24" s="12">
        <v>146</v>
      </c>
      <c r="M24" s="12">
        <v>35</v>
      </c>
      <c r="N24" s="12">
        <v>135</v>
      </c>
      <c r="O24" s="12">
        <v>102</v>
      </c>
      <c r="P24" s="12">
        <v>86</v>
      </c>
      <c r="Q24" s="12">
        <v>118</v>
      </c>
      <c r="R24" s="12">
        <v>37</v>
      </c>
      <c r="S24" s="12">
        <v>155</v>
      </c>
      <c r="T24" s="12">
        <v>127</v>
      </c>
      <c r="U24" s="12">
        <v>77</v>
      </c>
      <c r="V24" s="12">
        <v>114</v>
      </c>
      <c r="W24" s="12">
        <v>47</v>
      </c>
      <c r="X24" s="12">
        <v>131</v>
      </c>
      <c r="Y24" s="12">
        <v>139</v>
      </c>
      <c r="Z24" s="12">
        <v>71</v>
      </c>
      <c r="AA24" s="12">
        <v>81</v>
      </c>
      <c r="AB24" s="12">
        <v>89</v>
      </c>
      <c r="AC24" s="12">
        <v>95</v>
      </c>
      <c r="AD24" s="12">
        <v>50</v>
      </c>
      <c r="AE24" s="12">
        <v>78</v>
      </c>
      <c r="AF24" s="12">
        <v>64</v>
      </c>
    </row>
    <row r="25" spans="1:32">
      <c r="A25" s="19"/>
      <c r="B25" s="13" t="s">
        <v>964</v>
      </c>
      <c r="C25" s="14">
        <v>0.12</v>
      </c>
      <c r="D25" s="14">
        <v>0.14000000000000001</v>
      </c>
      <c r="E25" s="14">
        <v>7.0000000000000007E-2</v>
      </c>
      <c r="F25" s="14">
        <v>0.05</v>
      </c>
      <c r="G25" s="14">
        <v>0.09</v>
      </c>
      <c r="H25" s="14">
        <v>0.17</v>
      </c>
      <c r="I25" s="14">
        <v>0.17</v>
      </c>
      <c r="J25" s="14">
        <v>0.18</v>
      </c>
      <c r="K25" s="14">
        <v>0.06</v>
      </c>
      <c r="L25" s="14">
        <v>0.14000000000000001</v>
      </c>
      <c r="M25" s="14">
        <v>0.03</v>
      </c>
      <c r="N25" s="14">
        <v>0.13</v>
      </c>
      <c r="O25" s="14">
        <v>0.1</v>
      </c>
      <c r="P25" s="14">
        <v>0.08</v>
      </c>
      <c r="Q25" s="14">
        <v>0.11</v>
      </c>
      <c r="R25" s="14">
        <v>7.0000000000000007E-2</v>
      </c>
      <c r="S25" s="14">
        <v>0.15</v>
      </c>
      <c r="T25" s="14">
        <v>0.12</v>
      </c>
      <c r="U25" s="14">
        <v>0.15</v>
      </c>
      <c r="V25" s="14">
        <v>0.11</v>
      </c>
      <c r="W25" s="14">
        <v>0.09</v>
      </c>
      <c r="X25" s="14">
        <v>0.13</v>
      </c>
      <c r="Y25" s="14">
        <v>0.14000000000000001</v>
      </c>
      <c r="Z25" s="14">
        <v>7.0000000000000007E-2</v>
      </c>
      <c r="AA25" s="14">
        <v>0.08</v>
      </c>
      <c r="AB25" s="14">
        <v>0.09</v>
      </c>
      <c r="AC25" s="14">
        <v>0.1</v>
      </c>
      <c r="AD25" s="14">
        <v>0.05</v>
      </c>
      <c r="AE25" s="14">
        <v>0.08</v>
      </c>
      <c r="AF25" s="14">
        <v>0.06</v>
      </c>
    </row>
    <row r="26" spans="1:32">
      <c r="A26" s="19"/>
      <c r="B26" s="11" t="s">
        <v>965</v>
      </c>
      <c r="C26" s="12">
        <v>3406</v>
      </c>
      <c r="D26" s="12">
        <v>107</v>
      </c>
      <c r="E26" s="12">
        <v>89</v>
      </c>
      <c r="F26" s="12">
        <v>259</v>
      </c>
      <c r="G26" s="12">
        <v>288</v>
      </c>
      <c r="H26" s="12">
        <v>83</v>
      </c>
      <c r="I26" s="12">
        <v>98</v>
      </c>
      <c r="J26" s="12">
        <v>14</v>
      </c>
      <c r="K26" s="12">
        <v>111</v>
      </c>
      <c r="L26" s="12">
        <v>146</v>
      </c>
      <c r="M26" s="12">
        <v>162</v>
      </c>
      <c r="N26" s="12">
        <v>157</v>
      </c>
      <c r="O26" s="12">
        <v>185</v>
      </c>
      <c r="P26" s="12">
        <v>132</v>
      </c>
      <c r="Q26" s="12">
        <v>104</v>
      </c>
      <c r="R26" s="12">
        <v>76</v>
      </c>
      <c r="S26" s="12">
        <v>90</v>
      </c>
      <c r="T26" s="12">
        <v>105</v>
      </c>
      <c r="U26" s="12">
        <v>79</v>
      </c>
      <c r="V26" s="12">
        <v>87</v>
      </c>
      <c r="W26" s="12">
        <v>32</v>
      </c>
      <c r="X26" s="12">
        <v>94</v>
      </c>
      <c r="Y26" s="12">
        <v>76</v>
      </c>
      <c r="Z26" s="12">
        <v>149</v>
      </c>
      <c r="AA26" s="12">
        <v>123</v>
      </c>
      <c r="AB26" s="12">
        <v>66</v>
      </c>
      <c r="AC26" s="12">
        <v>254</v>
      </c>
      <c r="AD26" s="12">
        <v>192</v>
      </c>
      <c r="AE26" s="12">
        <v>223</v>
      </c>
      <c r="AF26" s="12">
        <v>277</v>
      </c>
    </row>
    <row r="27" spans="1:32">
      <c r="A27" s="19"/>
      <c r="B27" s="13" t="s">
        <v>966</v>
      </c>
      <c r="C27" s="14">
        <v>0.13</v>
      </c>
      <c r="D27" s="14">
        <v>0.11</v>
      </c>
      <c r="E27" s="14">
        <v>0.09</v>
      </c>
      <c r="F27" s="14">
        <v>0.24</v>
      </c>
      <c r="G27" s="14">
        <v>0.28000000000000003</v>
      </c>
      <c r="H27" s="14">
        <v>7.0000000000000007E-2</v>
      </c>
      <c r="I27" s="14">
        <v>0.06</v>
      </c>
      <c r="J27" s="14">
        <v>0.05</v>
      </c>
      <c r="K27" s="14">
        <v>0.11</v>
      </c>
      <c r="L27" s="14">
        <v>0.15</v>
      </c>
      <c r="M27" s="14">
        <v>0.16</v>
      </c>
      <c r="N27" s="14">
        <v>0.16</v>
      </c>
      <c r="O27" s="14">
        <v>0.18</v>
      </c>
      <c r="P27" s="14">
        <v>0.13</v>
      </c>
      <c r="Q27" s="14">
        <v>0.1</v>
      </c>
      <c r="R27" s="14">
        <v>0.15</v>
      </c>
      <c r="S27" s="14">
        <v>0.09</v>
      </c>
      <c r="T27" s="14">
        <v>0.1</v>
      </c>
      <c r="U27" s="14">
        <v>0.15</v>
      </c>
      <c r="V27" s="14">
        <v>0.08</v>
      </c>
      <c r="W27" s="14">
        <v>0.06</v>
      </c>
      <c r="X27" s="14">
        <v>0.09</v>
      </c>
      <c r="Y27" s="14">
        <v>0.08</v>
      </c>
      <c r="Z27" s="14">
        <v>0.15</v>
      </c>
      <c r="AA27" s="14">
        <v>0.12</v>
      </c>
      <c r="AB27" s="14">
        <v>0.06</v>
      </c>
      <c r="AC27" s="14">
        <v>0.25</v>
      </c>
      <c r="AD27" s="14">
        <v>0.19</v>
      </c>
      <c r="AE27" s="14">
        <v>0.22</v>
      </c>
      <c r="AF27" s="14">
        <v>0.27</v>
      </c>
    </row>
    <row r="28" spans="1:32">
      <c r="A28" s="19"/>
      <c r="B28" s="11" t="s">
        <v>967</v>
      </c>
      <c r="C28" s="12">
        <v>4180</v>
      </c>
      <c r="D28" s="12">
        <v>223</v>
      </c>
      <c r="E28" s="12">
        <v>92</v>
      </c>
      <c r="F28" s="12">
        <v>62</v>
      </c>
      <c r="G28" s="12">
        <v>79</v>
      </c>
      <c r="H28" s="12">
        <v>244</v>
      </c>
      <c r="I28" s="12">
        <v>298</v>
      </c>
      <c r="J28" s="12">
        <v>55</v>
      </c>
      <c r="K28" s="12">
        <v>99</v>
      </c>
      <c r="L28" s="12">
        <v>284</v>
      </c>
      <c r="M28" s="12">
        <v>142</v>
      </c>
      <c r="N28" s="12">
        <v>271</v>
      </c>
      <c r="O28" s="12">
        <v>169</v>
      </c>
      <c r="P28" s="12">
        <v>108</v>
      </c>
      <c r="Q28" s="12">
        <v>106</v>
      </c>
      <c r="R28" s="12">
        <v>68</v>
      </c>
      <c r="S28" s="12">
        <v>186</v>
      </c>
      <c r="T28" s="12">
        <v>146</v>
      </c>
      <c r="U28" s="12">
        <v>117</v>
      </c>
      <c r="V28" s="12">
        <v>124</v>
      </c>
      <c r="W28" s="12">
        <v>105</v>
      </c>
      <c r="X28" s="12">
        <v>200</v>
      </c>
      <c r="Y28" s="12">
        <v>128</v>
      </c>
      <c r="Z28" s="12">
        <v>121</v>
      </c>
      <c r="AA28" s="12">
        <v>108</v>
      </c>
      <c r="AB28" s="12">
        <v>121</v>
      </c>
      <c r="AC28" s="12">
        <v>122</v>
      </c>
      <c r="AD28" s="12">
        <v>48</v>
      </c>
      <c r="AE28" s="12">
        <v>66</v>
      </c>
      <c r="AF28" s="12">
        <v>65</v>
      </c>
    </row>
    <row r="29" spans="1:32">
      <c r="A29" s="19"/>
      <c r="B29" s="13" t="s">
        <v>968</v>
      </c>
      <c r="C29" s="14">
        <v>0.16</v>
      </c>
      <c r="D29" s="14">
        <v>0.22</v>
      </c>
      <c r="E29" s="14">
        <v>0.09</v>
      </c>
      <c r="F29" s="14">
        <v>0.06</v>
      </c>
      <c r="G29" s="14">
        <v>0.08</v>
      </c>
      <c r="H29" s="14">
        <v>0.2</v>
      </c>
      <c r="I29" s="14">
        <v>0.2</v>
      </c>
      <c r="J29" s="14">
        <v>0.18</v>
      </c>
      <c r="K29" s="14">
        <v>0.1</v>
      </c>
      <c r="L29" s="14">
        <v>0.28000000000000003</v>
      </c>
      <c r="M29" s="14">
        <v>0.14000000000000001</v>
      </c>
      <c r="N29" s="14">
        <v>0.27</v>
      </c>
      <c r="O29" s="14">
        <v>0.17</v>
      </c>
      <c r="P29" s="14">
        <v>0.11</v>
      </c>
      <c r="Q29" s="14">
        <v>0.1</v>
      </c>
      <c r="R29" s="14">
        <v>0.14000000000000001</v>
      </c>
      <c r="S29" s="14">
        <v>0.19</v>
      </c>
      <c r="T29" s="14">
        <v>0.14000000000000001</v>
      </c>
      <c r="U29" s="14">
        <v>0.23</v>
      </c>
      <c r="V29" s="14">
        <v>0.12</v>
      </c>
      <c r="W29" s="14">
        <v>0.21</v>
      </c>
      <c r="X29" s="14">
        <v>0.2</v>
      </c>
      <c r="Y29" s="14">
        <v>0.13</v>
      </c>
      <c r="Z29" s="14">
        <v>0.12</v>
      </c>
      <c r="AA29" s="14">
        <v>0.1</v>
      </c>
      <c r="AB29" s="14">
        <v>0.12</v>
      </c>
      <c r="AC29" s="14">
        <v>0.12</v>
      </c>
      <c r="AD29" s="14">
        <v>0.05</v>
      </c>
      <c r="AE29" s="14">
        <v>7.0000000000000007E-2</v>
      </c>
      <c r="AF29" s="14">
        <v>0.06</v>
      </c>
    </row>
    <row r="30" spans="1:32">
      <c r="A30" s="19"/>
      <c r="B30" s="11" t="s">
        <v>969</v>
      </c>
      <c r="C30" s="12">
        <v>1060</v>
      </c>
      <c r="D30" s="12">
        <v>26</v>
      </c>
      <c r="E30" s="12">
        <v>21</v>
      </c>
      <c r="F30" s="12">
        <v>26</v>
      </c>
      <c r="G30" s="12">
        <v>9</v>
      </c>
      <c r="H30" s="12">
        <v>26</v>
      </c>
      <c r="I30" s="12">
        <v>30</v>
      </c>
      <c r="J30" s="12">
        <v>3</v>
      </c>
      <c r="K30" s="12">
        <v>20</v>
      </c>
      <c r="L30" s="12">
        <v>49</v>
      </c>
      <c r="M30" s="12">
        <v>132</v>
      </c>
      <c r="N30" s="12">
        <v>52</v>
      </c>
      <c r="O30" s="12">
        <v>58</v>
      </c>
      <c r="P30" s="12">
        <v>69</v>
      </c>
      <c r="Q30" s="12">
        <v>41</v>
      </c>
      <c r="R30" s="12">
        <v>46</v>
      </c>
      <c r="S30" s="12">
        <v>32</v>
      </c>
      <c r="T30" s="12">
        <v>13</v>
      </c>
      <c r="U30" s="12">
        <v>19</v>
      </c>
      <c r="V30" s="12">
        <v>35</v>
      </c>
      <c r="W30" s="12">
        <v>29</v>
      </c>
      <c r="X30" s="12">
        <v>21</v>
      </c>
      <c r="Y30" s="12">
        <v>22</v>
      </c>
      <c r="Z30" s="12">
        <v>60</v>
      </c>
      <c r="AA30" s="12">
        <v>22</v>
      </c>
      <c r="AB30" s="12">
        <v>46</v>
      </c>
      <c r="AC30" s="12">
        <v>42</v>
      </c>
      <c r="AD30" s="12">
        <v>43</v>
      </c>
      <c r="AE30" s="12">
        <v>14</v>
      </c>
      <c r="AF30" s="12">
        <v>12</v>
      </c>
    </row>
    <row r="31" spans="1:32">
      <c r="A31" s="19"/>
      <c r="B31" s="13" t="s">
        <v>970</v>
      </c>
      <c r="C31" s="14">
        <v>0.04</v>
      </c>
      <c r="D31" s="14">
        <v>0.03</v>
      </c>
      <c r="E31" s="14">
        <v>0.02</v>
      </c>
      <c r="F31" s="14">
        <v>0.02</v>
      </c>
      <c r="G31" s="14">
        <v>0.01</v>
      </c>
      <c r="H31" s="14">
        <v>0.02</v>
      </c>
      <c r="I31" s="14">
        <v>0.02</v>
      </c>
      <c r="J31" s="14">
        <v>0.01</v>
      </c>
      <c r="K31" s="14">
        <v>0.02</v>
      </c>
      <c r="L31" s="14">
        <v>0.05</v>
      </c>
      <c r="M31" s="14">
        <v>0.13</v>
      </c>
      <c r="N31" s="14">
        <v>0.05</v>
      </c>
      <c r="O31" s="14">
        <v>0.06</v>
      </c>
      <c r="P31" s="14">
        <v>7.0000000000000007E-2</v>
      </c>
      <c r="Q31" s="14">
        <v>0.04</v>
      </c>
      <c r="R31" s="14">
        <v>0.09</v>
      </c>
      <c r="S31" s="14">
        <v>0.03</v>
      </c>
      <c r="T31" s="14">
        <v>0.01</v>
      </c>
      <c r="U31" s="14">
        <v>0.04</v>
      </c>
      <c r="V31" s="14">
        <v>0.03</v>
      </c>
      <c r="W31" s="14">
        <v>0.06</v>
      </c>
      <c r="X31" s="14">
        <v>0.02</v>
      </c>
      <c r="Y31" s="14">
        <v>0.02</v>
      </c>
      <c r="Z31" s="14">
        <v>0.06</v>
      </c>
      <c r="AA31" s="14">
        <v>0.02</v>
      </c>
      <c r="AB31" s="14">
        <v>0.04</v>
      </c>
      <c r="AC31" s="14">
        <v>0.04</v>
      </c>
      <c r="AD31" s="14">
        <v>0.04</v>
      </c>
      <c r="AE31" s="14">
        <v>0.01</v>
      </c>
      <c r="AF31" s="14">
        <v>0.01</v>
      </c>
    </row>
    <row r="32" spans="1:32">
      <c r="A32" s="19"/>
      <c r="B32" s="11" t="s">
        <v>971</v>
      </c>
      <c r="C32" s="12">
        <v>4113</v>
      </c>
      <c r="D32" s="12">
        <v>87</v>
      </c>
      <c r="E32" s="12">
        <v>222</v>
      </c>
      <c r="F32" s="12">
        <v>114</v>
      </c>
      <c r="G32" s="12">
        <v>85</v>
      </c>
      <c r="H32" s="12">
        <v>102</v>
      </c>
      <c r="I32" s="12">
        <v>141</v>
      </c>
      <c r="J32" s="12">
        <v>39</v>
      </c>
      <c r="K32" s="12">
        <v>122</v>
      </c>
      <c r="L32" s="12">
        <v>78</v>
      </c>
      <c r="M32" s="12">
        <v>313</v>
      </c>
      <c r="N32" s="12">
        <v>186</v>
      </c>
      <c r="O32" s="12">
        <v>180</v>
      </c>
      <c r="P32" s="12">
        <v>204</v>
      </c>
      <c r="Q32" s="12">
        <v>212</v>
      </c>
      <c r="R32" s="12">
        <v>122</v>
      </c>
      <c r="S32" s="12">
        <v>112</v>
      </c>
      <c r="T32" s="12">
        <v>121</v>
      </c>
      <c r="U32" s="12">
        <v>57</v>
      </c>
      <c r="V32" s="12">
        <v>225</v>
      </c>
      <c r="W32" s="12">
        <v>64</v>
      </c>
      <c r="X32" s="12">
        <v>82</v>
      </c>
      <c r="Y32" s="12">
        <v>161</v>
      </c>
      <c r="Z32" s="12">
        <v>151</v>
      </c>
      <c r="AA32" s="12">
        <v>286</v>
      </c>
      <c r="AB32" s="12">
        <v>224</v>
      </c>
      <c r="AC32" s="12">
        <v>134</v>
      </c>
      <c r="AD32" s="12">
        <v>130</v>
      </c>
      <c r="AE32" s="12">
        <v>47</v>
      </c>
      <c r="AF32" s="12">
        <v>36</v>
      </c>
    </row>
    <row r="33" spans="1:32">
      <c r="A33" s="19"/>
      <c r="B33" s="13" t="s">
        <v>972</v>
      </c>
      <c r="C33" s="14">
        <v>0.16</v>
      </c>
      <c r="D33" s="14">
        <v>0.09</v>
      </c>
      <c r="E33" s="14">
        <v>0.21</v>
      </c>
      <c r="F33" s="14">
        <v>0.11</v>
      </c>
      <c r="G33" s="14">
        <v>0.08</v>
      </c>
      <c r="H33" s="14">
        <v>0.08</v>
      </c>
      <c r="I33" s="14">
        <v>0.09</v>
      </c>
      <c r="J33" s="14">
        <v>0.13</v>
      </c>
      <c r="K33" s="14">
        <v>0.12</v>
      </c>
      <c r="L33" s="14">
        <v>0.08</v>
      </c>
      <c r="M33" s="14">
        <v>0.31</v>
      </c>
      <c r="N33" s="14">
        <v>0.18</v>
      </c>
      <c r="O33" s="14">
        <v>0.18</v>
      </c>
      <c r="P33" s="14">
        <v>0.2</v>
      </c>
      <c r="Q33" s="14">
        <v>0.21</v>
      </c>
      <c r="R33" s="14">
        <v>0.24</v>
      </c>
      <c r="S33" s="14">
        <v>0.11</v>
      </c>
      <c r="T33" s="14">
        <v>0.12</v>
      </c>
      <c r="U33" s="14">
        <v>0.11</v>
      </c>
      <c r="V33" s="14">
        <v>0.22</v>
      </c>
      <c r="W33" s="14">
        <v>0.13</v>
      </c>
      <c r="X33" s="14">
        <v>0.08</v>
      </c>
      <c r="Y33" s="14">
        <v>0.16</v>
      </c>
      <c r="Z33" s="14">
        <v>0.15</v>
      </c>
      <c r="AA33" s="14">
        <v>0.28000000000000003</v>
      </c>
      <c r="AB33" s="14">
        <v>0.21</v>
      </c>
      <c r="AC33" s="14">
        <v>0.13</v>
      </c>
      <c r="AD33" s="14">
        <v>0.13</v>
      </c>
      <c r="AE33" s="14">
        <v>0.05</v>
      </c>
      <c r="AF33" s="14">
        <v>0.04</v>
      </c>
    </row>
    <row r="34" spans="1:32">
      <c r="A34" s="19"/>
      <c r="B34" s="11" t="s">
        <v>973</v>
      </c>
      <c r="C34" s="12">
        <v>300</v>
      </c>
      <c r="D34" s="12">
        <v>18</v>
      </c>
      <c r="E34" s="12">
        <v>17</v>
      </c>
      <c r="F34" s="12">
        <v>11</v>
      </c>
      <c r="G34" s="12">
        <v>6</v>
      </c>
      <c r="H34" s="12">
        <v>10</v>
      </c>
      <c r="I34" s="12">
        <v>13</v>
      </c>
      <c r="J34" s="12">
        <v>3</v>
      </c>
      <c r="K34" s="12">
        <v>11</v>
      </c>
      <c r="L34" s="12">
        <v>0</v>
      </c>
      <c r="M34" s="12">
        <v>3</v>
      </c>
      <c r="N34" s="12">
        <v>1</v>
      </c>
      <c r="O34" s="12">
        <v>8</v>
      </c>
      <c r="P34" s="12">
        <v>8</v>
      </c>
      <c r="Q34" s="12">
        <v>8</v>
      </c>
      <c r="R34" s="12">
        <v>1</v>
      </c>
      <c r="S34" s="12">
        <v>2</v>
      </c>
      <c r="T34" s="12">
        <v>6</v>
      </c>
      <c r="U34" s="12">
        <v>4</v>
      </c>
      <c r="V34" s="12">
        <v>11</v>
      </c>
      <c r="W34" s="12">
        <v>7</v>
      </c>
      <c r="X34" s="12">
        <v>8</v>
      </c>
      <c r="Y34" s="12">
        <v>10</v>
      </c>
      <c r="Z34" s="12">
        <v>20</v>
      </c>
      <c r="AA34" s="12">
        <v>5</v>
      </c>
      <c r="AB34" s="12">
        <v>74</v>
      </c>
      <c r="AC34" s="12">
        <v>2</v>
      </c>
      <c r="AD34" s="12">
        <v>7</v>
      </c>
      <c r="AE34" s="12">
        <v>4</v>
      </c>
      <c r="AF34" s="12">
        <v>25</v>
      </c>
    </row>
    <row r="35" spans="1:32">
      <c r="A35" s="19"/>
      <c r="B35" s="13" t="s">
        <v>974</v>
      </c>
      <c r="C35" s="14">
        <v>0.01</v>
      </c>
      <c r="D35" s="14">
        <v>0.02</v>
      </c>
      <c r="E35" s="14">
        <v>0.02</v>
      </c>
      <c r="F35" s="14">
        <v>0.01</v>
      </c>
      <c r="G35" s="14">
        <v>0.01</v>
      </c>
      <c r="H35" s="14">
        <v>0.01</v>
      </c>
      <c r="I35" s="14">
        <v>0.01</v>
      </c>
      <c r="J35" s="14">
        <v>0.01</v>
      </c>
      <c r="K35" s="14">
        <v>0.01</v>
      </c>
      <c r="L35" s="15" t="s">
        <v>375</v>
      </c>
      <c r="M35" s="15" t="s">
        <v>375</v>
      </c>
      <c r="N35" s="15" t="s">
        <v>375</v>
      </c>
      <c r="O35" s="14">
        <v>0.01</v>
      </c>
      <c r="P35" s="14">
        <v>0.01</v>
      </c>
      <c r="Q35" s="14">
        <v>0.01</v>
      </c>
      <c r="R35" s="15" t="s">
        <v>375</v>
      </c>
      <c r="S35" s="15" t="s">
        <v>375</v>
      </c>
      <c r="T35" s="14">
        <v>0.01</v>
      </c>
      <c r="U35" s="14">
        <v>0.01</v>
      </c>
      <c r="V35" s="14">
        <v>0.01</v>
      </c>
      <c r="W35" s="14">
        <v>0.01</v>
      </c>
      <c r="X35" s="14">
        <v>0.01</v>
      </c>
      <c r="Y35" s="14">
        <v>0.01</v>
      </c>
      <c r="Z35" s="14">
        <v>0.02</v>
      </c>
      <c r="AA35" s="15" t="s">
        <v>375</v>
      </c>
      <c r="AB35" s="14">
        <v>7.0000000000000007E-2</v>
      </c>
      <c r="AC35" s="15" t="s">
        <v>375</v>
      </c>
      <c r="AD35" s="14">
        <v>0.01</v>
      </c>
      <c r="AE35" s="15" t="s">
        <v>375</v>
      </c>
      <c r="AF35" s="14">
        <v>0.02</v>
      </c>
    </row>
    <row r="36" spans="1:32">
      <c r="A36" s="19"/>
      <c r="B36" s="11" t="s">
        <v>975</v>
      </c>
      <c r="C36" s="12">
        <v>3252</v>
      </c>
      <c r="D36" s="12">
        <v>134</v>
      </c>
      <c r="E36" s="12">
        <v>192</v>
      </c>
      <c r="F36" s="12">
        <v>197</v>
      </c>
      <c r="G36" s="12">
        <v>128</v>
      </c>
      <c r="H36" s="12">
        <v>140</v>
      </c>
      <c r="I36" s="12">
        <v>189</v>
      </c>
      <c r="J36" s="12">
        <v>50</v>
      </c>
      <c r="K36" s="12">
        <v>191</v>
      </c>
      <c r="L36" s="12">
        <v>68</v>
      </c>
      <c r="M36" s="12">
        <v>86</v>
      </c>
      <c r="N36" s="12">
        <v>59</v>
      </c>
      <c r="O36" s="12">
        <v>92</v>
      </c>
      <c r="P36" s="12">
        <v>178</v>
      </c>
      <c r="Q36" s="12">
        <v>144</v>
      </c>
      <c r="R36" s="12">
        <v>30</v>
      </c>
      <c r="S36" s="12">
        <v>89</v>
      </c>
      <c r="T36" s="12">
        <v>197</v>
      </c>
      <c r="U36" s="12">
        <v>40</v>
      </c>
      <c r="V36" s="12">
        <v>170</v>
      </c>
      <c r="W36" s="12">
        <v>65</v>
      </c>
      <c r="X36" s="12">
        <v>103</v>
      </c>
      <c r="Y36" s="12">
        <v>177</v>
      </c>
      <c r="Z36" s="12">
        <v>176</v>
      </c>
      <c r="AA36" s="12">
        <v>179</v>
      </c>
      <c r="AB36" s="12">
        <v>163</v>
      </c>
      <c r="AC36" s="12">
        <v>140</v>
      </c>
      <c r="AD36" s="12">
        <v>223</v>
      </c>
      <c r="AE36" s="12">
        <v>51</v>
      </c>
      <c r="AF36" s="12">
        <v>84</v>
      </c>
    </row>
    <row r="37" spans="1:32">
      <c r="A37" s="19"/>
      <c r="B37" s="13" t="s">
        <v>976</v>
      </c>
      <c r="C37" s="14">
        <v>0.12</v>
      </c>
      <c r="D37" s="14">
        <v>0.13</v>
      </c>
      <c r="E37" s="14">
        <v>0.18</v>
      </c>
      <c r="F37" s="14">
        <v>0.19</v>
      </c>
      <c r="G37" s="14">
        <v>0.13</v>
      </c>
      <c r="H37" s="14">
        <v>0.11</v>
      </c>
      <c r="I37" s="14">
        <v>0.12</v>
      </c>
      <c r="J37" s="14">
        <v>0.17</v>
      </c>
      <c r="K37" s="14">
        <v>0.19</v>
      </c>
      <c r="L37" s="14">
        <v>7.0000000000000007E-2</v>
      </c>
      <c r="M37" s="14">
        <v>0.09</v>
      </c>
      <c r="N37" s="14">
        <v>0.06</v>
      </c>
      <c r="O37" s="14">
        <v>0.09</v>
      </c>
      <c r="P37" s="14">
        <v>0.18</v>
      </c>
      <c r="Q37" s="14">
        <v>0.14000000000000001</v>
      </c>
      <c r="R37" s="14">
        <v>0.06</v>
      </c>
      <c r="S37" s="14">
        <v>0.09</v>
      </c>
      <c r="T37" s="14">
        <v>0.19</v>
      </c>
      <c r="U37" s="14">
        <v>0.08</v>
      </c>
      <c r="V37" s="14">
        <v>0.17</v>
      </c>
      <c r="W37" s="14">
        <v>0.13</v>
      </c>
      <c r="X37" s="14">
        <v>0.1</v>
      </c>
      <c r="Y37" s="14">
        <v>0.18</v>
      </c>
      <c r="Z37" s="14">
        <v>0.17</v>
      </c>
      <c r="AA37" s="14">
        <v>0.17</v>
      </c>
      <c r="AB37" s="14">
        <v>0.16</v>
      </c>
      <c r="AC37" s="14">
        <v>0.14000000000000001</v>
      </c>
      <c r="AD37" s="14">
        <v>0.22</v>
      </c>
      <c r="AE37" s="14">
        <v>0.05</v>
      </c>
      <c r="AF37" s="14">
        <v>0.08</v>
      </c>
    </row>
    <row r="38" spans="1:32">
      <c r="A38" s="19"/>
      <c r="B38" s="11" t="s">
        <v>977</v>
      </c>
      <c r="C38" s="12">
        <v>1374</v>
      </c>
      <c r="D38" s="12">
        <v>64</v>
      </c>
      <c r="E38" s="12">
        <v>86</v>
      </c>
      <c r="F38" s="12">
        <v>52</v>
      </c>
      <c r="G38" s="12">
        <v>60</v>
      </c>
      <c r="H38" s="12">
        <v>61</v>
      </c>
      <c r="I38" s="12">
        <v>84</v>
      </c>
      <c r="J38" s="12">
        <v>23</v>
      </c>
      <c r="K38" s="12">
        <v>100</v>
      </c>
      <c r="L38" s="12">
        <v>18</v>
      </c>
      <c r="M38" s="12">
        <v>35</v>
      </c>
      <c r="N38" s="12">
        <v>18</v>
      </c>
      <c r="O38" s="12">
        <v>47</v>
      </c>
      <c r="P38" s="12">
        <v>54</v>
      </c>
      <c r="Q38" s="12">
        <v>70</v>
      </c>
      <c r="R38" s="12">
        <v>18</v>
      </c>
      <c r="S38" s="12">
        <v>38</v>
      </c>
      <c r="T38" s="12">
        <v>53</v>
      </c>
      <c r="U38" s="12">
        <v>16</v>
      </c>
      <c r="V38" s="12">
        <v>24</v>
      </c>
      <c r="W38" s="12">
        <v>19</v>
      </c>
      <c r="X38" s="12">
        <v>75</v>
      </c>
      <c r="Y38" s="12">
        <v>74</v>
      </c>
      <c r="Z38" s="12">
        <v>59</v>
      </c>
      <c r="AA38" s="12">
        <v>43</v>
      </c>
      <c r="AB38" s="12">
        <v>78</v>
      </c>
      <c r="AC38" s="12">
        <v>10</v>
      </c>
      <c r="AD38" s="12">
        <v>54</v>
      </c>
      <c r="AE38" s="12">
        <v>56</v>
      </c>
      <c r="AF38" s="12">
        <v>55</v>
      </c>
    </row>
    <row r="39" spans="1:32">
      <c r="A39" s="19"/>
      <c r="B39" s="13" t="s">
        <v>978</v>
      </c>
      <c r="C39" s="14">
        <v>0.05</v>
      </c>
      <c r="D39" s="14">
        <v>0.06</v>
      </c>
      <c r="E39" s="14">
        <v>0.08</v>
      </c>
      <c r="F39" s="14">
        <v>0.05</v>
      </c>
      <c r="G39" s="14">
        <v>0.06</v>
      </c>
      <c r="H39" s="14">
        <v>0.05</v>
      </c>
      <c r="I39" s="14">
        <v>0.06</v>
      </c>
      <c r="J39" s="14">
        <v>0.08</v>
      </c>
      <c r="K39" s="14">
        <v>0.1</v>
      </c>
      <c r="L39" s="14">
        <v>0.02</v>
      </c>
      <c r="M39" s="14">
        <v>0.04</v>
      </c>
      <c r="N39" s="14">
        <v>0.02</v>
      </c>
      <c r="O39" s="14">
        <v>0.05</v>
      </c>
      <c r="P39" s="14">
        <v>0.05</v>
      </c>
      <c r="Q39" s="14">
        <v>7.0000000000000007E-2</v>
      </c>
      <c r="R39" s="14">
        <v>0.04</v>
      </c>
      <c r="S39" s="14">
        <v>0.04</v>
      </c>
      <c r="T39" s="14">
        <v>0.05</v>
      </c>
      <c r="U39" s="14">
        <v>0.03</v>
      </c>
      <c r="V39" s="14">
        <v>0.02</v>
      </c>
      <c r="W39" s="14">
        <v>0.04</v>
      </c>
      <c r="X39" s="14">
        <v>0.08</v>
      </c>
      <c r="Y39" s="14">
        <v>7.0000000000000007E-2</v>
      </c>
      <c r="Z39" s="14">
        <v>0.06</v>
      </c>
      <c r="AA39" s="14">
        <v>0.04</v>
      </c>
      <c r="AB39" s="14">
        <v>7.0000000000000007E-2</v>
      </c>
      <c r="AC39" s="14">
        <v>0.01</v>
      </c>
      <c r="AD39" s="14">
        <v>0.05</v>
      </c>
      <c r="AE39" s="14">
        <v>0.06</v>
      </c>
      <c r="AF39" s="14">
        <v>0.05</v>
      </c>
    </row>
    <row r="40" spans="1:32">
      <c r="A40" s="19"/>
      <c r="B40" s="11" t="s">
        <v>979</v>
      </c>
      <c r="C40" s="12">
        <v>1684</v>
      </c>
      <c r="D40" s="12">
        <v>46</v>
      </c>
      <c r="E40" s="12">
        <v>112</v>
      </c>
      <c r="F40" s="12">
        <v>82</v>
      </c>
      <c r="G40" s="12">
        <v>37</v>
      </c>
      <c r="H40" s="12">
        <v>162</v>
      </c>
      <c r="I40" s="12">
        <v>177</v>
      </c>
      <c r="J40" s="12">
        <v>14</v>
      </c>
      <c r="K40" s="12">
        <v>61</v>
      </c>
      <c r="L40" s="12">
        <v>15</v>
      </c>
      <c r="M40" s="12">
        <v>57</v>
      </c>
      <c r="N40" s="12">
        <v>14</v>
      </c>
      <c r="O40" s="12">
        <v>20</v>
      </c>
      <c r="P40" s="12">
        <v>79</v>
      </c>
      <c r="Q40" s="12">
        <v>110</v>
      </c>
      <c r="R40" s="12">
        <v>6</v>
      </c>
      <c r="S40" s="12">
        <v>14</v>
      </c>
      <c r="T40" s="12">
        <v>36</v>
      </c>
      <c r="U40" s="12">
        <v>18</v>
      </c>
      <c r="V40" s="12">
        <v>42</v>
      </c>
      <c r="W40" s="12">
        <v>15</v>
      </c>
      <c r="X40" s="12">
        <v>50</v>
      </c>
      <c r="Y40" s="12">
        <v>55</v>
      </c>
      <c r="Z40" s="12">
        <v>48</v>
      </c>
      <c r="AA40" s="12">
        <v>99</v>
      </c>
      <c r="AB40" s="12">
        <v>78</v>
      </c>
      <c r="AC40" s="12">
        <v>19</v>
      </c>
      <c r="AD40" s="12">
        <v>70</v>
      </c>
      <c r="AE40" s="12">
        <v>35</v>
      </c>
      <c r="AF40" s="12">
        <v>25</v>
      </c>
    </row>
    <row r="41" spans="1:32">
      <c r="A41" s="19"/>
      <c r="B41" s="13" t="s">
        <v>980</v>
      </c>
      <c r="C41" s="14">
        <v>0.06</v>
      </c>
      <c r="D41" s="14">
        <v>0.04</v>
      </c>
      <c r="E41" s="14">
        <v>0.11</v>
      </c>
      <c r="F41" s="14">
        <v>0.08</v>
      </c>
      <c r="G41" s="14">
        <v>0.04</v>
      </c>
      <c r="H41" s="14">
        <v>0.13</v>
      </c>
      <c r="I41" s="14">
        <v>0.12</v>
      </c>
      <c r="J41" s="14">
        <v>0.05</v>
      </c>
      <c r="K41" s="14">
        <v>0.06</v>
      </c>
      <c r="L41" s="14">
        <v>0.01</v>
      </c>
      <c r="M41" s="14">
        <v>0.06</v>
      </c>
      <c r="N41" s="14">
        <v>0.02</v>
      </c>
      <c r="O41" s="14">
        <v>0.02</v>
      </c>
      <c r="P41" s="14">
        <v>0.08</v>
      </c>
      <c r="Q41" s="14">
        <v>0.11</v>
      </c>
      <c r="R41" s="14">
        <v>0.01</v>
      </c>
      <c r="S41" s="14">
        <v>0.01</v>
      </c>
      <c r="T41" s="14">
        <v>0.04</v>
      </c>
      <c r="U41" s="14">
        <v>0.04</v>
      </c>
      <c r="V41" s="14">
        <v>0.04</v>
      </c>
      <c r="W41" s="14">
        <v>0.03</v>
      </c>
      <c r="X41" s="14">
        <v>0.05</v>
      </c>
      <c r="Y41" s="14">
        <v>0.05</v>
      </c>
      <c r="Z41" s="14">
        <v>0.05</v>
      </c>
      <c r="AA41" s="14">
        <v>0.1</v>
      </c>
      <c r="AB41" s="14">
        <v>0.08</v>
      </c>
      <c r="AC41" s="14">
        <v>0.02</v>
      </c>
      <c r="AD41" s="14">
        <v>7.0000000000000007E-2</v>
      </c>
      <c r="AE41" s="14">
        <v>0.03</v>
      </c>
      <c r="AF41" s="14">
        <v>0.03</v>
      </c>
    </row>
    <row r="42" spans="1:32">
      <c r="A42" s="19"/>
      <c r="B42" s="11" t="s">
        <v>386</v>
      </c>
      <c r="C42" s="12">
        <v>365</v>
      </c>
      <c r="D42" s="12">
        <v>1</v>
      </c>
      <c r="E42" s="12">
        <v>26</v>
      </c>
      <c r="F42" s="12">
        <v>11</v>
      </c>
      <c r="G42" s="12">
        <v>12</v>
      </c>
      <c r="H42" s="12">
        <v>7</v>
      </c>
      <c r="I42" s="12">
        <v>10</v>
      </c>
      <c r="J42" s="12">
        <v>3</v>
      </c>
      <c r="K42" s="12">
        <v>22</v>
      </c>
      <c r="L42" s="12">
        <v>1</v>
      </c>
      <c r="M42" s="12">
        <v>8</v>
      </c>
      <c r="N42" s="12">
        <v>22</v>
      </c>
      <c r="O42" s="12">
        <v>17</v>
      </c>
      <c r="P42" s="12">
        <v>7</v>
      </c>
      <c r="Q42" s="12">
        <v>9</v>
      </c>
      <c r="R42" s="12">
        <v>18</v>
      </c>
      <c r="S42" s="12">
        <v>21</v>
      </c>
      <c r="T42" s="12">
        <v>8</v>
      </c>
      <c r="U42" s="12">
        <v>1</v>
      </c>
      <c r="V42" s="12">
        <v>18</v>
      </c>
      <c r="W42" s="12">
        <v>18</v>
      </c>
      <c r="X42" s="12">
        <v>4</v>
      </c>
      <c r="Y42" s="12">
        <v>22</v>
      </c>
      <c r="Z42" s="12">
        <v>19</v>
      </c>
      <c r="AA42" s="12">
        <v>36</v>
      </c>
      <c r="AB42" s="12">
        <v>28</v>
      </c>
      <c r="AC42" s="12">
        <v>5</v>
      </c>
      <c r="AD42" s="12">
        <v>5</v>
      </c>
      <c r="AE42" s="12">
        <v>16</v>
      </c>
      <c r="AF42" s="12">
        <v>16</v>
      </c>
    </row>
    <row r="43" spans="1:32">
      <c r="A43" s="19"/>
      <c r="B43" s="13" t="s">
        <v>399</v>
      </c>
      <c r="C43" s="14">
        <v>0.01</v>
      </c>
      <c r="D43" s="15" t="s">
        <v>375</v>
      </c>
      <c r="E43" s="14">
        <v>0.03</v>
      </c>
      <c r="F43" s="14">
        <v>0.01</v>
      </c>
      <c r="G43" s="14">
        <v>0.01</v>
      </c>
      <c r="H43" s="14">
        <v>0.01</v>
      </c>
      <c r="I43" s="14">
        <v>0.01</v>
      </c>
      <c r="J43" s="14">
        <v>0.01</v>
      </c>
      <c r="K43" s="14">
        <v>0.02</v>
      </c>
      <c r="L43" s="15" t="s">
        <v>375</v>
      </c>
      <c r="M43" s="14">
        <v>0.01</v>
      </c>
      <c r="N43" s="14">
        <v>0.02</v>
      </c>
      <c r="O43" s="14">
        <v>0.02</v>
      </c>
      <c r="P43" s="14">
        <v>0.01</v>
      </c>
      <c r="Q43" s="14">
        <v>0.01</v>
      </c>
      <c r="R43" s="14">
        <v>0.04</v>
      </c>
      <c r="S43" s="14">
        <v>0.02</v>
      </c>
      <c r="T43" s="14">
        <v>0.01</v>
      </c>
      <c r="U43" s="15" t="s">
        <v>375</v>
      </c>
      <c r="V43" s="14">
        <v>0.02</v>
      </c>
      <c r="W43" s="14">
        <v>0.04</v>
      </c>
      <c r="X43" s="15" t="s">
        <v>375</v>
      </c>
      <c r="Y43" s="14">
        <v>0.02</v>
      </c>
      <c r="Z43" s="14">
        <v>0.02</v>
      </c>
      <c r="AA43" s="14">
        <v>0.04</v>
      </c>
      <c r="AB43" s="14">
        <v>0.03</v>
      </c>
      <c r="AC43" s="14">
        <v>0.01</v>
      </c>
      <c r="AD43" s="14">
        <v>0.01</v>
      </c>
      <c r="AE43" s="14">
        <v>0.02</v>
      </c>
      <c r="AF43" s="14">
        <v>0.02</v>
      </c>
    </row>
    <row r="44" spans="1:32">
      <c r="A44" s="19"/>
      <c r="B44" s="11" t="s">
        <v>981</v>
      </c>
      <c r="C44" s="12">
        <v>15364</v>
      </c>
      <c r="D44" s="12">
        <v>671</v>
      </c>
      <c r="E44" s="12">
        <v>390</v>
      </c>
      <c r="F44" s="12">
        <v>595</v>
      </c>
      <c r="G44" s="12">
        <v>690</v>
      </c>
      <c r="H44" s="12">
        <v>750</v>
      </c>
      <c r="I44" s="12">
        <v>914</v>
      </c>
      <c r="J44" s="12">
        <v>166</v>
      </c>
      <c r="K44" s="12">
        <v>499</v>
      </c>
      <c r="L44" s="12">
        <v>826</v>
      </c>
      <c r="M44" s="12">
        <v>504</v>
      </c>
      <c r="N44" s="12">
        <v>711</v>
      </c>
      <c r="O44" s="12">
        <v>639</v>
      </c>
      <c r="P44" s="12">
        <v>474</v>
      </c>
      <c r="Q44" s="12">
        <v>478</v>
      </c>
      <c r="R44" s="12">
        <v>307</v>
      </c>
      <c r="S44" s="12">
        <v>729</v>
      </c>
      <c r="T44" s="12">
        <v>602</v>
      </c>
      <c r="U44" s="12">
        <v>373</v>
      </c>
      <c r="V44" s="12">
        <v>537</v>
      </c>
      <c r="W44" s="12">
        <v>314</v>
      </c>
      <c r="X44" s="12">
        <v>687</v>
      </c>
      <c r="Y44" s="12">
        <v>505</v>
      </c>
      <c r="Z44" s="12">
        <v>543</v>
      </c>
      <c r="AA44" s="12">
        <v>390</v>
      </c>
      <c r="AB44" s="12">
        <v>396</v>
      </c>
      <c r="AC44" s="12">
        <v>696</v>
      </c>
      <c r="AD44" s="12">
        <v>515</v>
      </c>
      <c r="AE44" s="12">
        <v>793</v>
      </c>
      <c r="AF44" s="12">
        <v>791</v>
      </c>
    </row>
    <row r="45" spans="1:32">
      <c r="A45" s="19"/>
      <c r="B45" s="13" t="s">
        <v>982</v>
      </c>
      <c r="C45" s="14">
        <v>0.59</v>
      </c>
      <c r="D45" s="14">
        <v>0.66</v>
      </c>
      <c r="E45" s="14">
        <v>0.37</v>
      </c>
      <c r="F45" s="14">
        <v>0.55000000000000004</v>
      </c>
      <c r="G45" s="14">
        <v>0.67</v>
      </c>
      <c r="H45" s="14">
        <v>0.61</v>
      </c>
      <c r="I45" s="14">
        <v>0.59</v>
      </c>
      <c r="J45" s="14">
        <v>0.55000000000000004</v>
      </c>
      <c r="K45" s="14">
        <v>0.5</v>
      </c>
      <c r="L45" s="14">
        <v>0.82000000000000006</v>
      </c>
      <c r="M45" s="14">
        <v>0.49</v>
      </c>
      <c r="N45" s="14">
        <v>0.70000000000000007</v>
      </c>
      <c r="O45" s="14">
        <v>0.63</v>
      </c>
      <c r="P45" s="14">
        <v>0.47</v>
      </c>
      <c r="Q45" s="14">
        <v>0.45</v>
      </c>
      <c r="R45" s="14">
        <v>0.61</v>
      </c>
      <c r="S45" s="14">
        <v>0.73</v>
      </c>
      <c r="T45" s="14">
        <v>0.57999999999999996</v>
      </c>
      <c r="U45" s="14">
        <v>0.73</v>
      </c>
      <c r="V45" s="14">
        <v>0.52</v>
      </c>
      <c r="W45" s="14">
        <v>0.62</v>
      </c>
      <c r="X45" s="14">
        <v>0.68</v>
      </c>
      <c r="Y45" s="14">
        <v>0.51</v>
      </c>
      <c r="Z45" s="14">
        <v>0.53</v>
      </c>
      <c r="AA45" s="14">
        <v>0.37</v>
      </c>
      <c r="AB45" s="14">
        <v>0.38</v>
      </c>
      <c r="AC45" s="14">
        <v>0.69000000000000006</v>
      </c>
      <c r="AD45" s="14">
        <v>0.51</v>
      </c>
      <c r="AE45" s="14">
        <v>0.79</v>
      </c>
      <c r="AF45" s="14">
        <v>0.76</v>
      </c>
    </row>
  </sheetData>
  <mergeCells count="10">
    <mergeCell ref="H3:L3"/>
    <mergeCell ref="C8:AF8"/>
    <mergeCell ref="B3:F3"/>
    <mergeCell ref="B5:F5"/>
    <mergeCell ref="A10:A43"/>
    <mergeCell ref="H5:L5"/>
    <mergeCell ref="B10:B11"/>
    <mergeCell ref="H4:L4"/>
    <mergeCell ref="A44:A45"/>
    <mergeCell ref="B4:F4"/>
  </mergeCells>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983</v>
      </c>
      <c r="C3" s="17"/>
      <c r="D3" s="17"/>
      <c r="E3" s="17"/>
      <c r="F3" s="17"/>
      <c r="H3" s="17" t="s">
        <v>984</v>
      </c>
      <c r="I3" s="17"/>
      <c r="J3" s="17"/>
      <c r="K3" s="17"/>
      <c r="L3" s="17"/>
    </row>
    <row r="4" spans="1:32" ht="27" customHeight="1">
      <c r="B4" s="17" t="s">
        <v>985</v>
      </c>
      <c r="C4" s="17"/>
      <c r="D4" s="17"/>
      <c r="E4" s="17"/>
      <c r="F4" s="17"/>
      <c r="H4" s="17" t="s">
        <v>986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987</v>
      </c>
      <c r="C12" s="12">
        <v>13917</v>
      </c>
      <c r="D12" s="12">
        <v>574</v>
      </c>
      <c r="E12" s="12">
        <v>586</v>
      </c>
      <c r="F12" s="12">
        <v>533</v>
      </c>
      <c r="G12" s="12">
        <v>425</v>
      </c>
      <c r="H12" s="12">
        <v>516</v>
      </c>
      <c r="I12" s="12">
        <v>662</v>
      </c>
      <c r="J12" s="12">
        <v>146</v>
      </c>
      <c r="K12" s="12">
        <v>402</v>
      </c>
      <c r="L12" s="12">
        <v>692</v>
      </c>
      <c r="M12" s="12">
        <v>472</v>
      </c>
      <c r="N12" s="12">
        <v>733</v>
      </c>
      <c r="O12" s="12">
        <v>718</v>
      </c>
      <c r="P12" s="12">
        <v>393</v>
      </c>
      <c r="Q12" s="12">
        <v>522</v>
      </c>
      <c r="R12" s="12">
        <v>350</v>
      </c>
      <c r="S12" s="12">
        <v>596</v>
      </c>
      <c r="T12" s="12">
        <v>577</v>
      </c>
      <c r="U12" s="12">
        <v>418</v>
      </c>
      <c r="V12" s="12">
        <v>355</v>
      </c>
      <c r="W12" s="12">
        <v>299</v>
      </c>
      <c r="X12" s="12">
        <v>367</v>
      </c>
      <c r="Y12" s="12">
        <v>417</v>
      </c>
      <c r="Z12" s="12">
        <v>413</v>
      </c>
      <c r="AA12" s="12">
        <v>655</v>
      </c>
      <c r="AB12" s="12">
        <v>353</v>
      </c>
      <c r="AC12" s="12">
        <v>625</v>
      </c>
      <c r="AD12" s="12">
        <v>481</v>
      </c>
      <c r="AE12" s="12">
        <v>532</v>
      </c>
      <c r="AF12" s="12">
        <v>447</v>
      </c>
    </row>
    <row r="13" spans="1:32">
      <c r="A13" s="19"/>
      <c r="B13" s="13" t="s">
        <v>988</v>
      </c>
      <c r="C13" s="14">
        <v>0.53</v>
      </c>
      <c r="D13" s="14">
        <v>0.56000000000000005</v>
      </c>
      <c r="E13" s="14">
        <v>0.56000000000000005</v>
      </c>
      <c r="F13" s="14">
        <v>0.5</v>
      </c>
      <c r="G13" s="14">
        <v>0.42</v>
      </c>
      <c r="H13" s="14">
        <v>0.42</v>
      </c>
      <c r="I13" s="14">
        <v>0.43</v>
      </c>
      <c r="J13" s="14">
        <v>0.49</v>
      </c>
      <c r="K13" s="14">
        <v>0.4</v>
      </c>
      <c r="L13" s="14">
        <v>0.69000000000000006</v>
      </c>
      <c r="M13" s="14">
        <v>0.47</v>
      </c>
      <c r="N13" s="14">
        <v>0.72</v>
      </c>
      <c r="O13" s="14">
        <v>0.72</v>
      </c>
      <c r="P13" s="14">
        <v>0.39</v>
      </c>
      <c r="Q13" s="14">
        <v>0.51</v>
      </c>
      <c r="R13" s="14">
        <v>0.70000000000000007</v>
      </c>
      <c r="S13" s="14">
        <v>0.59</v>
      </c>
      <c r="T13" s="14">
        <v>0.56000000000000005</v>
      </c>
      <c r="U13" s="14">
        <v>0.82000000000000006</v>
      </c>
      <c r="V13" s="14">
        <v>0.35</v>
      </c>
      <c r="W13" s="14">
        <v>0.6</v>
      </c>
      <c r="X13" s="14">
        <v>0.36</v>
      </c>
      <c r="Y13" s="14">
        <v>0.41</v>
      </c>
      <c r="Z13" s="14">
        <v>0.41</v>
      </c>
      <c r="AA13" s="14">
        <v>0.63</v>
      </c>
      <c r="AB13" s="14">
        <v>0.34</v>
      </c>
      <c r="AC13" s="14">
        <v>0.62</v>
      </c>
      <c r="AD13" s="14">
        <v>0.48</v>
      </c>
      <c r="AE13" s="14">
        <v>0.53</v>
      </c>
      <c r="AF13" s="14">
        <v>0.43</v>
      </c>
    </row>
    <row r="14" spans="1:32">
      <c r="A14" s="19"/>
      <c r="B14" s="11" t="s">
        <v>989</v>
      </c>
      <c r="C14" s="12">
        <v>8559</v>
      </c>
      <c r="D14" s="12">
        <v>325</v>
      </c>
      <c r="E14" s="12">
        <v>316</v>
      </c>
      <c r="F14" s="12">
        <v>360</v>
      </c>
      <c r="G14" s="12">
        <v>327</v>
      </c>
      <c r="H14" s="12">
        <v>401</v>
      </c>
      <c r="I14" s="12">
        <v>489</v>
      </c>
      <c r="J14" s="12">
        <v>88</v>
      </c>
      <c r="K14" s="12">
        <v>414</v>
      </c>
      <c r="L14" s="12">
        <v>251</v>
      </c>
      <c r="M14" s="12">
        <v>425</v>
      </c>
      <c r="N14" s="12">
        <v>218</v>
      </c>
      <c r="O14" s="12">
        <v>223</v>
      </c>
      <c r="P14" s="12">
        <v>385</v>
      </c>
      <c r="Q14" s="12">
        <v>406</v>
      </c>
      <c r="R14" s="12">
        <v>113</v>
      </c>
      <c r="S14" s="12">
        <v>289</v>
      </c>
      <c r="T14" s="12">
        <v>365</v>
      </c>
      <c r="U14" s="12">
        <v>65</v>
      </c>
      <c r="V14" s="12">
        <v>415</v>
      </c>
      <c r="W14" s="12">
        <v>147</v>
      </c>
      <c r="X14" s="12">
        <v>434</v>
      </c>
      <c r="Y14" s="12">
        <v>388</v>
      </c>
      <c r="Z14" s="12">
        <v>415</v>
      </c>
      <c r="AA14" s="12">
        <v>300</v>
      </c>
      <c r="AB14" s="12">
        <v>342</v>
      </c>
      <c r="AC14" s="12">
        <v>298</v>
      </c>
      <c r="AD14" s="12">
        <v>422</v>
      </c>
      <c r="AE14" s="12">
        <v>353</v>
      </c>
      <c r="AF14" s="12">
        <v>402</v>
      </c>
    </row>
    <row r="15" spans="1:32">
      <c r="A15" s="19"/>
      <c r="B15" s="13" t="s">
        <v>990</v>
      </c>
      <c r="C15" s="14">
        <v>0.32</v>
      </c>
      <c r="D15" s="14">
        <v>0.32</v>
      </c>
      <c r="E15" s="14">
        <v>0.3</v>
      </c>
      <c r="F15" s="14">
        <v>0.34</v>
      </c>
      <c r="G15" s="14">
        <v>0.32</v>
      </c>
      <c r="H15" s="14">
        <v>0.33</v>
      </c>
      <c r="I15" s="14">
        <v>0.32</v>
      </c>
      <c r="J15" s="14">
        <v>0.3</v>
      </c>
      <c r="K15" s="14">
        <v>0.41</v>
      </c>
      <c r="L15" s="14">
        <v>0.25</v>
      </c>
      <c r="M15" s="14">
        <v>0.42</v>
      </c>
      <c r="N15" s="14">
        <v>0.22</v>
      </c>
      <c r="O15" s="14">
        <v>0.22</v>
      </c>
      <c r="P15" s="14">
        <v>0.39</v>
      </c>
      <c r="Q15" s="14">
        <v>0.39</v>
      </c>
      <c r="R15" s="14">
        <v>0.22</v>
      </c>
      <c r="S15" s="14">
        <v>0.28999999999999998</v>
      </c>
      <c r="T15" s="14">
        <v>0.36</v>
      </c>
      <c r="U15" s="14">
        <v>0.13</v>
      </c>
      <c r="V15" s="14">
        <v>0.4</v>
      </c>
      <c r="W15" s="14">
        <v>0.28999999999999998</v>
      </c>
      <c r="X15" s="14">
        <v>0.43</v>
      </c>
      <c r="Y15" s="14">
        <v>0.39</v>
      </c>
      <c r="Z15" s="14">
        <v>0.41</v>
      </c>
      <c r="AA15" s="14">
        <v>0.28999999999999998</v>
      </c>
      <c r="AB15" s="14">
        <v>0.33</v>
      </c>
      <c r="AC15" s="14">
        <v>0.3</v>
      </c>
      <c r="AD15" s="14">
        <v>0.42</v>
      </c>
      <c r="AE15" s="14">
        <v>0.35</v>
      </c>
      <c r="AF15" s="14">
        <v>0.39</v>
      </c>
    </row>
    <row r="16" spans="1:32">
      <c r="A16" s="19"/>
      <c r="B16" s="11" t="s">
        <v>991</v>
      </c>
      <c r="C16" s="12">
        <v>2699</v>
      </c>
      <c r="D16" s="12">
        <v>94</v>
      </c>
      <c r="E16" s="12">
        <v>86</v>
      </c>
      <c r="F16" s="12">
        <v>116</v>
      </c>
      <c r="G16" s="12">
        <v>217</v>
      </c>
      <c r="H16" s="12">
        <v>173</v>
      </c>
      <c r="I16" s="12">
        <v>219</v>
      </c>
      <c r="J16" s="12">
        <v>45</v>
      </c>
      <c r="K16" s="12">
        <v>142</v>
      </c>
      <c r="L16" s="12">
        <v>35</v>
      </c>
      <c r="M16" s="12">
        <v>86</v>
      </c>
      <c r="N16" s="12">
        <v>42</v>
      </c>
      <c r="O16" s="12">
        <v>31</v>
      </c>
      <c r="P16" s="12">
        <v>160</v>
      </c>
      <c r="Q16" s="12">
        <v>88</v>
      </c>
      <c r="R16" s="12">
        <v>14</v>
      </c>
      <c r="S16" s="12">
        <v>92</v>
      </c>
      <c r="T16" s="12">
        <v>55</v>
      </c>
      <c r="U16" s="12">
        <v>16</v>
      </c>
      <c r="V16" s="12">
        <v>183</v>
      </c>
      <c r="W16" s="12">
        <v>40</v>
      </c>
      <c r="X16" s="12">
        <v>187</v>
      </c>
      <c r="Y16" s="12">
        <v>128</v>
      </c>
      <c r="Z16" s="12">
        <v>141</v>
      </c>
      <c r="AA16" s="12">
        <v>46</v>
      </c>
      <c r="AB16" s="12">
        <v>212</v>
      </c>
      <c r="AC16" s="12">
        <v>68</v>
      </c>
      <c r="AD16" s="12">
        <v>71</v>
      </c>
      <c r="AE16" s="12">
        <v>93</v>
      </c>
      <c r="AF16" s="12">
        <v>155</v>
      </c>
    </row>
    <row r="17" spans="1:32">
      <c r="A17" s="19"/>
      <c r="B17" s="13" t="s">
        <v>992</v>
      </c>
      <c r="C17" s="14">
        <v>0.1</v>
      </c>
      <c r="D17" s="14">
        <v>0.09</v>
      </c>
      <c r="E17" s="14">
        <v>0.08</v>
      </c>
      <c r="F17" s="14">
        <v>0.11</v>
      </c>
      <c r="G17" s="14">
        <v>0.21</v>
      </c>
      <c r="H17" s="14">
        <v>0.14000000000000001</v>
      </c>
      <c r="I17" s="14">
        <v>0.14000000000000001</v>
      </c>
      <c r="J17" s="14">
        <v>0.15</v>
      </c>
      <c r="K17" s="14">
        <v>0.14000000000000001</v>
      </c>
      <c r="L17" s="14">
        <v>0.03</v>
      </c>
      <c r="M17" s="14">
        <v>0.09</v>
      </c>
      <c r="N17" s="14">
        <v>0.04</v>
      </c>
      <c r="O17" s="14">
        <v>0.03</v>
      </c>
      <c r="P17" s="14">
        <v>0.16</v>
      </c>
      <c r="Q17" s="14">
        <v>0.09</v>
      </c>
      <c r="R17" s="14">
        <v>0.03</v>
      </c>
      <c r="S17" s="14">
        <v>0.09</v>
      </c>
      <c r="T17" s="14">
        <v>0.05</v>
      </c>
      <c r="U17" s="14">
        <v>0.03</v>
      </c>
      <c r="V17" s="14">
        <v>0.18</v>
      </c>
      <c r="W17" s="14">
        <v>0.08</v>
      </c>
      <c r="X17" s="14">
        <v>0.19</v>
      </c>
      <c r="Y17" s="14">
        <v>0.13</v>
      </c>
      <c r="Z17" s="14">
        <v>0.14000000000000001</v>
      </c>
      <c r="AA17" s="14">
        <v>0.04</v>
      </c>
      <c r="AB17" s="14">
        <v>0.2</v>
      </c>
      <c r="AC17" s="14">
        <v>7.0000000000000007E-2</v>
      </c>
      <c r="AD17" s="14">
        <v>7.0000000000000007E-2</v>
      </c>
      <c r="AE17" s="14">
        <v>0.09</v>
      </c>
      <c r="AF17" s="14">
        <v>0.15</v>
      </c>
    </row>
    <row r="18" spans="1:32">
      <c r="A18" s="19"/>
      <c r="B18" s="11" t="s">
        <v>993</v>
      </c>
      <c r="C18" s="12">
        <v>829</v>
      </c>
      <c r="D18" s="12">
        <v>24</v>
      </c>
      <c r="E18" s="12">
        <v>38</v>
      </c>
      <c r="F18" s="12">
        <v>33</v>
      </c>
      <c r="G18" s="12">
        <v>37</v>
      </c>
      <c r="H18" s="12">
        <v>100</v>
      </c>
      <c r="I18" s="12">
        <v>115</v>
      </c>
      <c r="J18" s="12">
        <v>15</v>
      </c>
      <c r="K18" s="12">
        <v>30</v>
      </c>
      <c r="L18" s="12">
        <v>14</v>
      </c>
      <c r="M18" s="12">
        <v>14</v>
      </c>
      <c r="N18" s="12">
        <v>8</v>
      </c>
      <c r="O18" s="12">
        <v>7</v>
      </c>
      <c r="P18" s="12">
        <v>32</v>
      </c>
      <c r="Q18" s="12">
        <v>9</v>
      </c>
      <c r="R18" s="12">
        <v>10</v>
      </c>
      <c r="S18" s="12">
        <v>20</v>
      </c>
      <c r="T18" s="12">
        <v>15</v>
      </c>
      <c r="U18" s="12">
        <v>7</v>
      </c>
      <c r="V18" s="12">
        <v>63</v>
      </c>
      <c r="W18" s="12">
        <v>14</v>
      </c>
      <c r="X18" s="12">
        <v>21</v>
      </c>
      <c r="Y18" s="12">
        <v>50</v>
      </c>
      <c r="Z18" s="12">
        <v>33</v>
      </c>
      <c r="AA18" s="12">
        <v>10</v>
      </c>
      <c r="AB18" s="12">
        <v>90</v>
      </c>
      <c r="AC18" s="12">
        <v>13</v>
      </c>
      <c r="AD18" s="12">
        <v>22</v>
      </c>
      <c r="AE18" s="12">
        <v>13</v>
      </c>
      <c r="AF18" s="12">
        <v>22</v>
      </c>
    </row>
    <row r="19" spans="1:32">
      <c r="A19" s="19"/>
      <c r="B19" s="13" t="s">
        <v>994</v>
      </c>
      <c r="C19" s="14">
        <v>0.03</v>
      </c>
      <c r="D19" s="14">
        <v>0.02</v>
      </c>
      <c r="E19" s="14">
        <v>0.04</v>
      </c>
      <c r="F19" s="14">
        <v>0.03</v>
      </c>
      <c r="G19" s="14">
        <v>0.04</v>
      </c>
      <c r="H19" s="14">
        <v>0.08</v>
      </c>
      <c r="I19" s="14">
        <v>0.08</v>
      </c>
      <c r="J19" s="14">
        <v>0.05</v>
      </c>
      <c r="K19" s="14">
        <v>0.03</v>
      </c>
      <c r="L19" s="14">
        <v>0.01</v>
      </c>
      <c r="M19" s="14">
        <v>0.01</v>
      </c>
      <c r="N19" s="14">
        <v>0.01</v>
      </c>
      <c r="O19" s="14">
        <v>0.01</v>
      </c>
      <c r="P19" s="14">
        <v>0.03</v>
      </c>
      <c r="Q19" s="14">
        <v>0.01</v>
      </c>
      <c r="R19" s="14">
        <v>0.02</v>
      </c>
      <c r="S19" s="14">
        <v>0.02</v>
      </c>
      <c r="T19" s="14">
        <v>0.02</v>
      </c>
      <c r="U19" s="14">
        <v>0.01</v>
      </c>
      <c r="V19" s="14">
        <v>0.06</v>
      </c>
      <c r="W19" s="14">
        <v>0.03</v>
      </c>
      <c r="X19" s="14">
        <v>0.02</v>
      </c>
      <c r="Y19" s="14">
        <v>0.05</v>
      </c>
      <c r="Z19" s="14">
        <v>0.03</v>
      </c>
      <c r="AA19" s="14">
        <v>0.01</v>
      </c>
      <c r="AB19" s="14">
        <v>0.09</v>
      </c>
      <c r="AC19" s="14">
        <v>0.01</v>
      </c>
      <c r="AD19" s="14">
        <v>0.02</v>
      </c>
      <c r="AE19" s="14">
        <v>0.02</v>
      </c>
      <c r="AF19" s="14">
        <v>0.02</v>
      </c>
    </row>
    <row r="20" spans="1:32">
      <c r="A20" s="19"/>
      <c r="B20" s="11" t="s">
        <v>386</v>
      </c>
      <c r="C20" s="12">
        <v>450</v>
      </c>
      <c r="D20" s="12">
        <v>5</v>
      </c>
      <c r="E20" s="12">
        <v>20</v>
      </c>
      <c r="F20" s="12">
        <v>22</v>
      </c>
      <c r="G20" s="12">
        <v>9</v>
      </c>
      <c r="H20" s="12">
        <v>40</v>
      </c>
      <c r="I20" s="12">
        <v>42</v>
      </c>
      <c r="J20" s="12">
        <v>3</v>
      </c>
      <c r="K20" s="12">
        <v>18</v>
      </c>
      <c r="L20" s="12">
        <v>15</v>
      </c>
      <c r="M20" s="12">
        <v>10</v>
      </c>
      <c r="N20" s="12">
        <v>10</v>
      </c>
      <c r="O20" s="12">
        <v>24</v>
      </c>
      <c r="P20" s="12">
        <v>34</v>
      </c>
      <c r="Q20" s="12">
        <v>5</v>
      </c>
      <c r="R20" s="12">
        <v>14</v>
      </c>
      <c r="S20" s="12">
        <v>6</v>
      </c>
      <c r="T20" s="12">
        <v>12</v>
      </c>
      <c r="U20" s="12">
        <v>2</v>
      </c>
      <c r="V20" s="12">
        <v>10</v>
      </c>
      <c r="W20" s="12">
        <v>2</v>
      </c>
      <c r="X20" s="12">
        <v>1</v>
      </c>
      <c r="Y20" s="12">
        <v>21</v>
      </c>
      <c r="Z20" s="12">
        <v>14</v>
      </c>
      <c r="AA20" s="12">
        <v>27</v>
      </c>
      <c r="AB20" s="12">
        <v>44</v>
      </c>
      <c r="AC20" s="12">
        <v>0</v>
      </c>
      <c r="AD20" s="12">
        <v>7</v>
      </c>
      <c r="AE20" s="12">
        <v>10</v>
      </c>
      <c r="AF20" s="12">
        <v>5</v>
      </c>
    </row>
    <row r="21" spans="1:32">
      <c r="A21" s="19"/>
      <c r="B21" s="13" t="s">
        <v>399</v>
      </c>
      <c r="C21" s="14">
        <v>0.02</v>
      </c>
      <c r="D21" s="14">
        <v>0.01</v>
      </c>
      <c r="E21" s="14">
        <v>0.02</v>
      </c>
      <c r="F21" s="14">
        <v>0.02</v>
      </c>
      <c r="G21" s="14">
        <v>0.01</v>
      </c>
      <c r="H21" s="14">
        <v>0.03</v>
      </c>
      <c r="I21" s="14">
        <v>0.03</v>
      </c>
      <c r="J21" s="14">
        <v>0.01</v>
      </c>
      <c r="K21" s="14">
        <v>0.02</v>
      </c>
      <c r="L21" s="14">
        <v>0.02</v>
      </c>
      <c r="M21" s="14">
        <v>0.01</v>
      </c>
      <c r="N21" s="14">
        <v>0.01</v>
      </c>
      <c r="O21" s="14">
        <v>0.02</v>
      </c>
      <c r="P21" s="14">
        <v>0.03</v>
      </c>
      <c r="Q21" s="15" t="s">
        <v>375</v>
      </c>
      <c r="R21" s="14">
        <v>0.03</v>
      </c>
      <c r="S21" s="14">
        <v>0.01</v>
      </c>
      <c r="T21" s="14">
        <v>0.01</v>
      </c>
      <c r="U21" s="14">
        <v>0.01</v>
      </c>
      <c r="V21" s="14">
        <v>0.01</v>
      </c>
      <c r="W21" s="15" t="s">
        <v>375</v>
      </c>
      <c r="X21" s="15" t="s">
        <v>375</v>
      </c>
      <c r="Y21" s="14">
        <v>0.02</v>
      </c>
      <c r="Z21" s="14">
        <v>0.01</v>
      </c>
      <c r="AA21" s="14">
        <v>0.03</v>
      </c>
      <c r="AB21" s="14">
        <v>0.04</v>
      </c>
      <c r="AC21" s="15" t="s">
        <v>375</v>
      </c>
      <c r="AD21" s="14">
        <v>0.01</v>
      </c>
      <c r="AE21" s="14">
        <v>0.01</v>
      </c>
      <c r="AF21" s="14">
        <v>0.01</v>
      </c>
    </row>
    <row r="22" spans="1:32">
      <c r="A22" s="19"/>
      <c r="B22" s="11" t="s">
        <v>916</v>
      </c>
      <c r="C22" s="12">
        <v>22476</v>
      </c>
      <c r="D22" s="12">
        <v>899</v>
      </c>
      <c r="E22" s="12">
        <v>902</v>
      </c>
      <c r="F22" s="12">
        <v>893</v>
      </c>
      <c r="G22" s="12">
        <v>752</v>
      </c>
      <c r="H22" s="12">
        <v>917</v>
      </c>
      <c r="I22" s="12">
        <v>1151</v>
      </c>
      <c r="J22" s="12">
        <v>234</v>
      </c>
      <c r="K22" s="12">
        <v>816</v>
      </c>
      <c r="L22" s="12">
        <v>943</v>
      </c>
      <c r="M22" s="12">
        <v>897</v>
      </c>
      <c r="N22" s="12">
        <v>951</v>
      </c>
      <c r="O22" s="12">
        <v>941</v>
      </c>
      <c r="P22" s="12">
        <v>778</v>
      </c>
      <c r="Q22" s="12">
        <v>928</v>
      </c>
      <c r="R22" s="12">
        <v>463</v>
      </c>
      <c r="S22" s="12">
        <v>885</v>
      </c>
      <c r="T22" s="12">
        <v>942</v>
      </c>
      <c r="U22" s="12">
        <v>483</v>
      </c>
      <c r="V22" s="12">
        <v>770</v>
      </c>
      <c r="W22" s="12">
        <v>446</v>
      </c>
      <c r="X22" s="12">
        <v>801</v>
      </c>
      <c r="Y22" s="12">
        <v>805</v>
      </c>
      <c r="Z22" s="12">
        <v>828</v>
      </c>
      <c r="AA22" s="12">
        <v>955</v>
      </c>
      <c r="AB22" s="12">
        <v>695</v>
      </c>
      <c r="AC22" s="12">
        <v>923</v>
      </c>
      <c r="AD22" s="12">
        <v>903</v>
      </c>
      <c r="AE22" s="12">
        <v>885</v>
      </c>
      <c r="AF22" s="12">
        <v>849</v>
      </c>
    </row>
    <row r="23" spans="1:32">
      <c r="A23" s="19"/>
      <c r="B23" s="13" t="s">
        <v>917</v>
      </c>
      <c r="C23" s="14">
        <v>0.85</v>
      </c>
      <c r="D23" s="14">
        <v>0.88</v>
      </c>
      <c r="E23" s="14">
        <v>0.86</v>
      </c>
      <c r="F23" s="14">
        <v>0.84</v>
      </c>
      <c r="G23" s="14">
        <v>0.74</v>
      </c>
      <c r="H23" s="14">
        <v>0.75</v>
      </c>
      <c r="I23" s="14">
        <v>0.75</v>
      </c>
      <c r="J23" s="14">
        <v>0.79</v>
      </c>
      <c r="K23" s="14">
        <v>0.81</v>
      </c>
      <c r="L23" s="14">
        <v>0.94000000000000006</v>
      </c>
      <c r="M23" s="14">
        <v>0.89</v>
      </c>
      <c r="N23" s="14">
        <v>0.94000000000000006</v>
      </c>
      <c r="O23" s="14">
        <v>0.94000000000000006</v>
      </c>
      <c r="P23" s="14">
        <v>0.78</v>
      </c>
      <c r="Q23" s="14">
        <v>0.9</v>
      </c>
      <c r="R23" s="14">
        <v>0.92</v>
      </c>
      <c r="S23" s="14">
        <v>0.88</v>
      </c>
      <c r="T23" s="14">
        <v>0.92</v>
      </c>
      <c r="U23" s="14">
        <v>0.95000000000000007</v>
      </c>
      <c r="V23" s="14">
        <v>0.75</v>
      </c>
      <c r="W23" s="14">
        <v>0.89</v>
      </c>
      <c r="X23" s="14">
        <v>0.79</v>
      </c>
      <c r="Y23" s="14">
        <v>0.8</v>
      </c>
      <c r="Z23" s="14">
        <v>0.82000000000000006</v>
      </c>
      <c r="AA23" s="14">
        <v>0.92</v>
      </c>
      <c r="AB23" s="14">
        <v>0.67</v>
      </c>
      <c r="AC23" s="14">
        <v>0.92</v>
      </c>
      <c r="AD23" s="14">
        <v>0.9</v>
      </c>
      <c r="AE23" s="14">
        <v>0.88</v>
      </c>
      <c r="AF23" s="14">
        <v>0.82000000000000006</v>
      </c>
    </row>
    <row r="24" spans="1:32">
      <c r="A24" s="19"/>
      <c r="B24" s="11" t="s">
        <v>912</v>
      </c>
      <c r="C24" s="12">
        <v>3528</v>
      </c>
      <c r="D24" s="12">
        <v>118</v>
      </c>
      <c r="E24" s="12">
        <v>124</v>
      </c>
      <c r="F24" s="12">
        <v>149</v>
      </c>
      <c r="G24" s="12">
        <v>254</v>
      </c>
      <c r="H24" s="12">
        <v>273</v>
      </c>
      <c r="I24" s="12">
        <v>334</v>
      </c>
      <c r="J24" s="12">
        <v>60</v>
      </c>
      <c r="K24" s="12">
        <v>172</v>
      </c>
      <c r="L24" s="12">
        <v>49</v>
      </c>
      <c r="M24" s="12">
        <v>100</v>
      </c>
      <c r="N24" s="12">
        <v>50</v>
      </c>
      <c r="O24" s="12">
        <v>38</v>
      </c>
      <c r="P24" s="12">
        <v>192</v>
      </c>
      <c r="Q24" s="12">
        <v>97</v>
      </c>
      <c r="R24" s="12">
        <v>24</v>
      </c>
      <c r="S24" s="12">
        <v>112</v>
      </c>
      <c r="T24" s="12">
        <v>70</v>
      </c>
      <c r="U24" s="12">
        <v>23</v>
      </c>
      <c r="V24" s="12">
        <v>246</v>
      </c>
      <c r="W24" s="12">
        <v>54</v>
      </c>
      <c r="X24" s="12">
        <v>208</v>
      </c>
      <c r="Y24" s="12">
        <v>178</v>
      </c>
      <c r="Z24" s="12">
        <v>174</v>
      </c>
      <c r="AA24" s="12">
        <v>56</v>
      </c>
      <c r="AB24" s="12">
        <v>302</v>
      </c>
      <c r="AC24" s="12">
        <v>81</v>
      </c>
      <c r="AD24" s="12">
        <v>93</v>
      </c>
      <c r="AE24" s="12">
        <v>106</v>
      </c>
      <c r="AF24" s="12">
        <v>177</v>
      </c>
    </row>
    <row r="25" spans="1:32">
      <c r="A25" s="19"/>
      <c r="B25" s="13" t="s">
        <v>995</v>
      </c>
      <c r="C25" s="14">
        <v>0.13</v>
      </c>
      <c r="D25" s="14">
        <v>0.11</v>
      </c>
      <c r="E25" s="14">
        <v>0.12</v>
      </c>
      <c r="F25" s="14">
        <v>0.14000000000000001</v>
      </c>
      <c r="G25" s="14">
        <v>0.25</v>
      </c>
      <c r="H25" s="14">
        <v>0.22</v>
      </c>
      <c r="I25" s="14">
        <v>0.22</v>
      </c>
      <c r="J25" s="14">
        <v>0.2</v>
      </c>
      <c r="K25" s="14">
        <v>0.17</v>
      </c>
      <c r="L25" s="14">
        <v>0.04</v>
      </c>
      <c r="M25" s="14">
        <v>0.1</v>
      </c>
      <c r="N25" s="14">
        <v>0.05</v>
      </c>
      <c r="O25" s="14">
        <v>0.04</v>
      </c>
      <c r="P25" s="14">
        <v>0.19</v>
      </c>
      <c r="Q25" s="14">
        <v>0.1</v>
      </c>
      <c r="R25" s="14">
        <v>0.05</v>
      </c>
      <c r="S25" s="14">
        <v>0.11</v>
      </c>
      <c r="T25" s="14">
        <v>7.0000000000000007E-2</v>
      </c>
      <c r="U25" s="14">
        <v>0.04</v>
      </c>
      <c r="V25" s="14">
        <v>0.24</v>
      </c>
      <c r="W25" s="14">
        <v>0.11</v>
      </c>
      <c r="X25" s="14">
        <v>0.21</v>
      </c>
      <c r="Y25" s="14">
        <v>0.18</v>
      </c>
      <c r="Z25" s="14">
        <v>0.17</v>
      </c>
      <c r="AA25" s="14">
        <v>0.05</v>
      </c>
      <c r="AB25" s="14">
        <v>0.28999999999999998</v>
      </c>
      <c r="AC25" s="14">
        <v>0.08</v>
      </c>
      <c r="AD25" s="14">
        <v>0.09</v>
      </c>
      <c r="AE25" s="14">
        <v>0.11</v>
      </c>
      <c r="AF25" s="14">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996</v>
      </c>
      <c r="C3" s="17"/>
      <c r="D3" s="17"/>
      <c r="E3" s="17"/>
      <c r="F3" s="17"/>
      <c r="H3" s="17" t="s">
        <v>997</v>
      </c>
      <c r="I3" s="17"/>
      <c r="J3" s="17"/>
      <c r="K3" s="17"/>
      <c r="L3" s="17"/>
    </row>
    <row r="4" spans="1:32" ht="27" customHeight="1">
      <c r="B4" s="17" t="s">
        <v>998</v>
      </c>
      <c r="C4" s="17"/>
      <c r="D4" s="17"/>
      <c r="E4" s="17"/>
      <c r="F4" s="17"/>
      <c r="H4" s="17" t="s">
        <v>999</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987</v>
      </c>
      <c r="C12" s="12">
        <v>14208</v>
      </c>
      <c r="D12" s="12">
        <v>578</v>
      </c>
      <c r="E12" s="12">
        <v>571</v>
      </c>
      <c r="F12" s="12">
        <v>566</v>
      </c>
      <c r="G12" s="12">
        <v>523</v>
      </c>
      <c r="H12" s="12">
        <v>546</v>
      </c>
      <c r="I12" s="12">
        <v>691</v>
      </c>
      <c r="J12" s="12">
        <v>146</v>
      </c>
      <c r="K12" s="12">
        <v>425</v>
      </c>
      <c r="L12" s="12">
        <v>684</v>
      </c>
      <c r="M12" s="12">
        <v>499</v>
      </c>
      <c r="N12" s="12">
        <v>741</v>
      </c>
      <c r="O12" s="12">
        <v>703</v>
      </c>
      <c r="P12" s="12">
        <v>417</v>
      </c>
      <c r="Q12" s="12">
        <v>553</v>
      </c>
      <c r="R12" s="12">
        <v>352</v>
      </c>
      <c r="S12" s="12">
        <v>597</v>
      </c>
      <c r="T12" s="12">
        <v>598</v>
      </c>
      <c r="U12" s="12">
        <v>423</v>
      </c>
      <c r="V12" s="12">
        <v>353</v>
      </c>
      <c r="W12" s="12">
        <v>273</v>
      </c>
      <c r="X12" s="12">
        <v>432</v>
      </c>
      <c r="Y12" s="12">
        <v>379</v>
      </c>
      <c r="Z12" s="12">
        <v>380</v>
      </c>
      <c r="AA12" s="12">
        <v>680</v>
      </c>
      <c r="AB12" s="12">
        <v>350</v>
      </c>
      <c r="AC12" s="12">
        <v>663</v>
      </c>
      <c r="AD12" s="12">
        <v>536</v>
      </c>
      <c r="AE12" s="12">
        <v>584</v>
      </c>
      <c r="AF12" s="12">
        <v>484</v>
      </c>
    </row>
    <row r="13" spans="1:32">
      <c r="A13" s="19"/>
      <c r="B13" s="13" t="s">
        <v>988</v>
      </c>
      <c r="C13" s="14">
        <v>0.54</v>
      </c>
      <c r="D13" s="14">
        <v>0.56000000000000005</v>
      </c>
      <c r="E13" s="14">
        <v>0.54</v>
      </c>
      <c r="F13" s="14">
        <v>0.53</v>
      </c>
      <c r="G13" s="14">
        <v>0.52</v>
      </c>
      <c r="H13" s="14">
        <v>0.44</v>
      </c>
      <c r="I13" s="14">
        <v>0.45</v>
      </c>
      <c r="J13" s="14">
        <v>0.49</v>
      </c>
      <c r="K13" s="14">
        <v>0.42</v>
      </c>
      <c r="L13" s="14">
        <v>0.68</v>
      </c>
      <c r="M13" s="14">
        <v>0.49</v>
      </c>
      <c r="N13" s="14">
        <v>0.73</v>
      </c>
      <c r="O13" s="14">
        <v>0.70000000000000007</v>
      </c>
      <c r="P13" s="14">
        <v>0.42</v>
      </c>
      <c r="Q13" s="14">
        <v>0.54</v>
      </c>
      <c r="R13" s="14">
        <v>0.70000000000000007</v>
      </c>
      <c r="S13" s="14">
        <v>0.59</v>
      </c>
      <c r="T13" s="14">
        <v>0.57999999999999996</v>
      </c>
      <c r="U13" s="14">
        <v>0.83000000000000007</v>
      </c>
      <c r="V13" s="14">
        <v>0.34</v>
      </c>
      <c r="W13" s="14">
        <v>0.55000000000000004</v>
      </c>
      <c r="X13" s="14">
        <v>0.43</v>
      </c>
      <c r="Y13" s="14">
        <v>0.38</v>
      </c>
      <c r="Z13" s="14">
        <v>0.37</v>
      </c>
      <c r="AA13" s="14">
        <v>0.66</v>
      </c>
      <c r="AB13" s="14">
        <v>0.34</v>
      </c>
      <c r="AC13" s="14">
        <v>0.66</v>
      </c>
      <c r="AD13" s="14">
        <v>0.53</v>
      </c>
      <c r="AE13" s="14">
        <v>0.57999999999999996</v>
      </c>
      <c r="AF13" s="14">
        <v>0.47</v>
      </c>
    </row>
    <row r="14" spans="1:32">
      <c r="A14" s="19"/>
      <c r="B14" s="11" t="s">
        <v>989</v>
      </c>
      <c r="C14" s="12">
        <v>9252</v>
      </c>
      <c r="D14" s="12">
        <v>357</v>
      </c>
      <c r="E14" s="12">
        <v>346</v>
      </c>
      <c r="F14" s="12">
        <v>375</v>
      </c>
      <c r="G14" s="12">
        <v>335</v>
      </c>
      <c r="H14" s="12">
        <v>461</v>
      </c>
      <c r="I14" s="12">
        <v>563</v>
      </c>
      <c r="J14" s="12">
        <v>102</v>
      </c>
      <c r="K14" s="12">
        <v>426</v>
      </c>
      <c r="L14" s="12">
        <v>258</v>
      </c>
      <c r="M14" s="12">
        <v>431</v>
      </c>
      <c r="N14" s="12">
        <v>238</v>
      </c>
      <c r="O14" s="12">
        <v>255</v>
      </c>
      <c r="P14" s="12">
        <v>395</v>
      </c>
      <c r="Q14" s="12">
        <v>399</v>
      </c>
      <c r="R14" s="12">
        <v>109</v>
      </c>
      <c r="S14" s="12">
        <v>317</v>
      </c>
      <c r="T14" s="12">
        <v>374</v>
      </c>
      <c r="U14" s="12">
        <v>63</v>
      </c>
      <c r="V14" s="12">
        <v>478</v>
      </c>
      <c r="W14" s="12">
        <v>169</v>
      </c>
      <c r="X14" s="12">
        <v>443</v>
      </c>
      <c r="Y14" s="12">
        <v>491</v>
      </c>
      <c r="Z14" s="12">
        <v>475</v>
      </c>
      <c r="AA14" s="12">
        <v>271</v>
      </c>
      <c r="AB14" s="12">
        <v>368</v>
      </c>
      <c r="AC14" s="12">
        <v>283</v>
      </c>
      <c r="AD14" s="12">
        <v>387</v>
      </c>
      <c r="AE14" s="12">
        <v>342</v>
      </c>
      <c r="AF14" s="12">
        <v>432</v>
      </c>
    </row>
    <row r="15" spans="1:32">
      <c r="A15" s="19"/>
      <c r="B15" s="13" t="s">
        <v>990</v>
      </c>
      <c r="C15" s="14">
        <v>0.35</v>
      </c>
      <c r="D15" s="14">
        <v>0.35</v>
      </c>
      <c r="E15" s="14">
        <v>0.33</v>
      </c>
      <c r="F15" s="14">
        <v>0.35</v>
      </c>
      <c r="G15" s="14">
        <v>0.33</v>
      </c>
      <c r="H15" s="14">
        <v>0.38</v>
      </c>
      <c r="I15" s="14">
        <v>0.37</v>
      </c>
      <c r="J15" s="14">
        <v>0.34</v>
      </c>
      <c r="K15" s="14">
        <v>0.42</v>
      </c>
      <c r="L15" s="14">
        <v>0.26</v>
      </c>
      <c r="M15" s="14">
        <v>0.43</v>
      </c>
      <c r="N15" s="14">
        <v>0.23</v>
      </c>
      <c r="O15" s="14">
        <v>0.25</v>
      </c>
      <c r="P15" s="14">
        <v>0.39</v>
      </c>
      <c r="Q15" s="14">
        <v>0.39</v>
      </c>
      <c r="R15" s="14">
        <v>0.22</v>
      </c>
      <c r="S15" s="14">
        <v>0.32</v>
      </c>
      <c r="T15" s="14">
        <v>0.37</v>
      </c>
      <c r="U15" s="14">
        <v>0.13</v>
      </c>
      <c r="V15" s="14">
        <v>0.47</v>
      </c>
      <c r="W15" s="14">
        <v>0.34</v>
      </c>
      <c r="X15" s="14">
        <v>0.44</v>
      </c>
      <c r="Y15" s="14">
        <v>0.49</v>
      </c>
      <c r="Z15" s="14">
        <v>0.47</v>
      </c>
      <c r="AA15" s="14">
        <v>0.26</v>
      </c>
      <c r="AB15" s="14">
        <v>0.35</v>
      </c>
      <c r="AC15" s="14">
        <v>0.28000000000000003</v>
      </c>
      <c r="AD15" s="14">
        <v>0.39</v>
      </c>
      <c r="AE15" s="14">
        <v>0.34</v>
      </c>
      <c r="AF15" s="14">
        <v>0.42</v>
      </c>
    </row>
    <row r="16" spans="1:32">
      <c r="A16" s="19"/>
      <c r="B16" s="11" t="s">
        <v>991</v>
      </c>
      <c r="C16" s="12">
        <v>1960</v>
      </c>
      <c r="D16" s="12">
        <v>68</v>
      </c>
      <c r="E16" s="12">
        <v>83</v>
      </c>
      <c r="F16" s="12">
        <v>74</v>
      </c>
      <c r="G16" s="12">
        <v>123</v>
      </c>
      <c r="H16" s="12">
        <v>110</v>
      </c>
      <c r="I16" s="12">
        <v>149</v>
      </c>
      <c r="J16" s="12">
        <v>39</v>
      </c>
      <c r="K16" s="12">
        <v>121</v>
      </c>
      <c r="L16" s="12">
        <v>38</v>
      </c>
      <c r="M16" s="12">
        <v>58</v>
      </c>
      <c r="N16" s="12">
        <v>18</v>
      </c>
      <c r="O16" s="12">
        <v>18</v>
      </c>
      <c r="P16" s="12">
        <v>124</v>
      </c>
      <c r="Q16" s="12">
        <v>65</v>
      </c>
      <c r="R16" s="12">
        <v>12</v>
      </c>
      <c r="S16" s="12">
        <v>69</v>
      </c>
      <c r="T16" s="12">
        <v>31</v>
      </c>
      <c r="U16" s="12">
        <v>17</v>
      </c>
      <c r="V16" s="12">
        <v>136</v>
      </c>
      <c r="W16" s="12">
        <v>47</v>
      </c>
      <c r="X16" s="12">
        <v>124</v>
      </c>
      <c r="Y16" s="12">
        <v>80</v>
      </c>
      <c r="Z16" s="12">
        <v>127</v>
      </c>
      <c r="AA16" s="12">
        <v>45</v>
      </c>
      <c r="AB16" s="12">
        <v>204</v>
      </c>
      <c r="AC16" s="12">
        <v>53</v>
      </c>
      <c r="AD16" s="12">
        <v>61</v>
      </c>
      <c r="AE16" s="12">
        <v>57</v>
      </c>
      <c r="AF16" s="12">
        <v>103</v>
      </c>
    </row>
    <row r="17" spans="1:32">
      <c r="A17" s="19"/>
      <c r="B17" s="13" t="s">
        <v>992</v>
      </c>
      <c r="C17" s="14">
        <v>7.0000000000000007E-2</v>
      </c>
      <c r="D17" s="14">
        <v>7.0000000000000007E-2</v>
      </c>
      <c r="E17" s="14">
        <v>0.08</v>
      </c>
      <c r="F17" s="14">
        <v>7.0000000000000007E-2</v>
      </c>
      <c r="G17" s="14">
        <v>0.12</v>
      </c>
      <c r="H17" s="14">
        <v>0.09</v>
      </c>
      <c r="I17" s="14">
        <v>0.1</v>
      </c>
      <c r="J17" s="14">
        <v>0.13</v>
      </c>
      <c r="K17" s="14">
        <v>0.12</v>
      </c>
      <c r="L17" s="14">
        <v>0.04</v>
      </c>
      <c r="M17" s="14">
        <v>0.06</v>
      </c>
      <c r="N17" s="14">
        <v>0.02</v>
      </c>
      <c r="O17" s="14">
        <v>0.02</v>
      </c>
      <c r="P17" s="14">
        <v>0.12</v>
      </c>
      <c r="Q17" s="14">
        <v>0.06</v>
      </c>
      <c r="R17" s="14">
        <v>0.02</v>
      </c>
      <c r="S17" s="14">
        <v>7.0000000000000007E-2</v>
      </c>
      <c r="T17" s="14">
        <v>0.03</v>
      </c>
      <c r="U17" s="14">
        <v>0.03</v>
      </c>
      <c r="V17" s="14">
        <v>0.13</v>
      </c>
      <c r="W17" s="14">
        <v>0.09</v>
      </c>
      <c r="X17" s="14">
        <v>0.12</v>
      </c>
      <c r="Y17" s="14">
        <v>0.08</v>
      </c>
      <c r="Z17" s="14">
        <v>0.13</v>
      </c>
      <c r="AA17" s="14">
        <v>0.04</v>
      </c>
      <c r="AB17" s="14">
        <v>0.2</v>
      </c>
      <c r="AC17" s="14">
        <v>0.05</v>
      </c>
      <c r="AD17" s="14">
        <v>0.06</v>
      </c>
      <c r="AE17" s="14">
        <v>0.06</v>
      </c>
      <c r="AF17" s="14">
        <v>0.1</v>
      </c>
    </row>
    <row r="18" spans="1:32">
      <c r="A18" s="19"/>
      <c r="B18" s="11" t="s">
        <v>993</v>
      </c>
      <c r="C18" s="12">
        <v>608</v>
      </c>
      <c r="D18" s="12">
        <v>12</v>
      </c>
      <c r="E18" s="12">
        <v>29</v>
      </c>
      <c r="F18" s="12">
        <v>23</v>
      </c>
      <c r="G18" s="12">
        <v>25</v>
      </c>
      <c r="H18" s="12">
        <v>77</v>
      </c>
      <c r="I18" s="12">
        <v>86</v>
      </c>
      <c r="J18" s="12">
        <v>9</v>
      </c>
      <c r="K18" s="12">
        <v>18</v>
      </c>
      <c r="L18" s="12">
        <v>11</v>
      </c>
      <c r="M18" s="12">
        <v>10</v>
      </c>
      <c r="N18" s="12">
        <v>8</v>
      </c>
      <c r="O18" s="12">
        <v>4</v>
      </c>
      <c r="P18" s="12">
        <v>35</v>
      </c>
      <c r="Q18" s="12">
        <v>8</v>
      </c>
      <c r="R18" s="12">
        <v>13</v>
      </c>
      <c r="S18" s="12">
        <v>12</v>
      </c>
      <c r="T18" s="12">
        <v>11</v>
      </c>
      <c r="U18" s="12">
        <v>4</v>
      </c>
      <c r="V18" s="12">
        <v>50</v>
      </c>
      <c r="W18" s="12">
        <v>11</v>
      </c>
      <c r="X18" s="12">
        <v>9</v>
      </c>
      <c r="Y18" s="12">
        <v>37</v>
      </c>
      <c r="Z18" s="12">
        <v>20</v>
      </c>
      <c r="AA18" s="12">
        <v>11</v>
      </c>
      <c r="AB18" s="12">
        <v>78</v>
      </c>
      <c r="AC18" s="12">
        <v>6</v>
      </c>
      <c r="AD18" s="12">
        <v>14</v>
      </c>
      <c r="AE18" s="12">
        <v>9</v>
      </c>
      <c r="AF18" s="12">
        <v>7</v>
      </c>
    </row>
    <row r="19" spans="1:32">
      <c r="A19" s="19"/>
      <c r="B19" s="13" t="s">
        <v>994</v>
      </c>
      <c r="C19" s="14">
        <v>0.02</v>
      </c>
      <c r="D19" s="14">
        <v>0.01</v>
      </c>
      <c r="E19" s="14">
        <v>0.03</v>
      </c>
      <c r="F19" s="14">
        <v>0.02</v>
      </c>
      <c r="G19" s="14">
        <v>0.02</v>
      </c>
      <c r="H19" s="14">
        <v>0.06</v>
      </c>
      <c r="I19" s="14">
        <v>0.06</v>
      </c>
      <c r="J19" s="14">
        <v>0.03</v>
      </c>
      <c r="K19" s="14">
        <v>0.02</v>
      </c>
      <c r="L19" s="14">
        <v>0.01</v>
      </c>
      <c r="M19" s="14">
        <v>0.01</v>
      </c>
      <c r="N19" s="14">
        <v>0.01</v>
      </c>
      <c r="O19" s="14">
        <v>0.01</v>
      </c>
      <c r="P19" s="14">
        <v>0.04</v>
      </c>
      <c r="Q19" s="14">
        <v>0.01</v>
      </c>
      <c r="R19" s="14">
        <v>0.03</v>
      </c>
      <c r="S19" s="14">
        <v>0.01</v>
      </c>
      <c r="T19" s="14">
        <v>0.01</v>
      </c>
      <c r="U19" s="14">
        <v>0.01</v>
      </c>
      <c r="V19" s="14">
        <v>0.05</v>
      </c>
      <c r="W19" s="14">
        <v>0.02</v>
      </c>
      <c r="X19" s="14">
        <v>0.01</v>
      </c>
      <c r="Y19" s="14">
        <v>0.04</v>
      </c>
      <c r="Z19" s="14">
        <v>0.02</v>
      </c>
      <c r="AA19" s="14">
        <v>0.01</v>
      </c>
      <c r="AB19" s="14">
        <v>7.0000000000000007E-2</v>
      </c>
      <c r="AC19" s="14">
        <v>0.01</v>
      </c>
      <c r="AD19" s="14">
        <v>0.01</v>
      </c>
      <c r="AE19" s="14">
        <v>0.01</v>
      </c>
      <c r="AF19" s="14">
        <v>0.01</v>
      </c>
    </row>
    <row r="20" spans="1:32">
      <c r="A20" s="19"/>
      <c r="B20" s="11" t="s">
        <v>386</v>
      </c>
      <c r="C20" s="12">
        <v>425</v>
      </c>
      <c r="D20" s="12">
        <v>7</v>
      </c>
      <c r="E20" s="12">
        <v>17</v>
      </c>
      <c r="F20" s="12">
        <v>26</v>
      </c>
      <c r="G20" s="12">
        <v>10</v>
      </c>
      <c r="H20" s="12">
        <v>36</v>
      </c>
      <c r="I20" s="12">
        <v>38</v>
      </c>
      <c r="J20" s="12">
        <v>2</v>
      </c>
      <c r="K20" s="12">
        <v>16</v>
      </c>
      <c r="L20" s="12">
        <v>15</v>
      </c>
      <c r="M20" s="12">
        <v>9</v>
      </c>
      <c r="N20" s="12">
        <v>7</v>
      </c>
      <c r="O20" s="12">
        <v>23</v>
      </c>
      <c r="P20" s="12">
        <v>32</v>
      </c>
      <c r="Q20" s="12">
        <v>6</v>
      </c>
      <c r="R20" s="12">
        <v>15</v>
      </c>
      <c r="S20" s="12">
        <v>9</v>
      </c>
      <c r="T20" s="12">
        <v>9</v>
      </c>
      <c r="U20" s="12">
        <v>1</v>
      </c>
      <c r="V20" s="12">
        <v>9</v>
      </c>
      <c r="W20" s="12">
        <v>1</v>
      </c>
      <c r="X20" s="12">
        <v>3</v>
      </c>
      <c r="Y20" s="12">
        <v>16</v>
      </c>
      <c r="Z20" s="12">
        <v>14</v>
      </c>
      <c r="AA20" s="12">
        <v>29</v>
      </c>
      <c r="AB20" s="12">
        <v>41</v>
      </c>
      <c r="AC20" s="12">
        <v>0</v>
      </c>
      <c r="AD20" s="12">
        <v>5</v>
      </c>
      <c r="AE20" s="12">
        <v>10</v>
      </c>
      <c r="AF20" s="12">
        <v>6</v>
      </c>
    </row>
    <row r="21" spans="1:32">
      <c r="A21" s="19"/>
      <c r="B21" s="13" t="s">
        <v>399</v>
      </c>
      <c r="C21" s="14">
        <v>0.02</v>
      </c>
      <c r="D21" s="14">
        <v>0.01</v>
      </c>
      <c r="E21" s="14">
        <v>0.02</v>
      </c>
      <c r="F21" s="14">
        <v>0.03</v>
      </c>
      <c r="G21" s="14">
        <v>0.01</v>
      </c>
      <c r="H21" s="14">
        <v>0.03</v>
      </c>
      <c r="I21" s="14">
        <v>0.02</v>
      </c>
      <c r="J21" s="14">
        <v>0.01</v>
      </c>
      <c r="K21" s="14">
        <v>0.02</v>
      </c>
      <c r="L21" s="14">
        <v>0.01</v>
      </c>
      <c r="M21" s="14">
        <v>0.01</v>
      </c>
      <c r="N21" s="14">
        <v>0.01</v>
      </c>
      <c r="O21" s="14">
        <v>0.02</v>
      </c>
      <c r="P21" s="14">
        <v>0.03</v>
      </c>
      <c r="Q21" s="15" t="s">
        <v>375</v>
      </c>
      <c r="R21" s="14">
        <v>0.03</v>
      </c>
      <c r="S21" s="14">
        <v>0.01</v>
      </c>
      <c r="T21" s="14">
        <v>0.01</v>
      </c>
      <c r="U21" s="15" t="s">
        <v>375</v>
      </c>
      <c r="V21" s="14">
        <v>0.01</v>
      </c>
      <c r="W21" s="15" t="s">
        <v>375</v>
      </c>
      <c r="X21" s="15" t="s">
        <v>375</v>
      </c>
      <c r="Y21" s="14">
        <v>0.01</v>
      </c>
      <c r="Z21" s="14">
        <v>0.01</v>
      </c>
      <c r="AA21" s="14">
        <v>0.03</v>
      </c>
      <c r="AB21" s="14">
        <v>0.04</v>
      </c>
      <c r="AC21" s="15" t="s">
        <v>375</v>
      </c>
      <c r="AD21" s="14">
        <v>0.01</v>
      </c>
      <c r="AE21" s="14">
        <v>0.01</v>
      </c>
      <c r="AF21" s="15" t="s">
        <v>375</v>
      </c>
    </row>
    <row r="22" spans="1:32">
      <c r="A22" s="19"/>
      <c r="B22" s="11" t="s">
        <v>916</v>
      </c>
      <c r="C22" s="12">
        <v>23460</v>
      </c>
      <c r="D22" s="12">
        <v>935</v>
      </c>
      <c r="E22" s="12">
        <v>917</v>
      </c>
      <c r="F22" s="12">
        <v>941</v>
      </c>
      <c r="G22" s="12">
        <v>858</v>
      </c>
      <c r="H22" s="12">
        <v>1007</v>
      </c>
      <c r="I22" s="12">
        <v>1254</v>
      </c>
      <c r="J22" s="12">
        <v>248</v>
      </c>
      <c r="K22" s="12">
        <v>851</v>
      </c>
      <c r="L22" s="12">
        <v>942</v>
      </c>
      <c r="M22" s="12">
        <v>930</v>
      </c>
      <c r="N22" s="12">
        <v>979</v>
      </c>
      <c r="O22" s="12">
        <v>958</v>
      </c>
      <c r="P22" s="12">
        <v>812</v>
      </c>
      <c r="Q22" s="12">
        <v>952</v>
      </c>
      <c r="R22" s="12">
        <v>461</v>
      </c>
      <c r="S22" s="12">
        <v>914</v>
      </c>
      <c r="T22" s="12">
        <v>972</v>
      </c>
      <c r="U22" s="12">
        <v>486</v>
      </c>
      <c r="V22" s="12">
        <v>831</v>
      </c>
      <c r="W22" s="12">
        <v>442</v>
      </c>
      <c r="X22" s="12">
        <v>875</v>
      </c>
      <c r="Y22" s="12">
        <v>870</v>
      </c>
      <c r="Z22" s="12">
        <v>855</v>
      </c>
      <c r="AA22" s="12">
        <v>951</v>
      </c>
      <c r="AB22" s="12">
        <v>718</v>
      </c>
      <c r="AC22" s="12">
        <v>946</v>
      </c>
      <c r="AD22" s="12">
        <v>923</v>
      </c>
      <c r="AE22" s="12">
        <v>926</v>
      </c>
      <c r="AF22" s="12">
        <v>916</v>
      </c>
    </row>
    <row r="23" spans="1:32">
      <c r="A23" s="19"/>
      <c r="B23" s="13" t="s">
        <v>917</v>
      </c>
      <c r="C23" s="14">
        <v>0.89</v>
      </c>
      <c r="D23" s="14">
        <v>0.91</v>
      </c>
      <c r="E23" s="14">
        <v>0.87</v>
      </c>
      <c r="F23" s="14">
        <v>0.88</v>
      </c>
      <c r="G23" s="14">
        <v>0.85</v>
      </c>
      <c r="H23" s="14">
        <v>0.82000000000000006</v>
      </c>
      <c r="I23" s="14">
        <v>0.82000000000000006</v>
      </c>
      <c r="J23" s="14">
        <v>0.83000000000000007</v>
      </c>
      <c r="K23" s="14">
        <v>0.84</v>
      </c>
      <c r="L23" s="14">
        <v>0.94000000000000006</v>
      </c>
      <c r="M23" s="14">
        <v>0.92</v>
      </c>
      <c r="N23" s="14">
        <v>0.96</v>
      </c>
      <c r="O23" s="14">
        <v>0.95000000000000007</v>
      </c>
      <c r="P23" s="14">
        <v>0.81</v>
      </c>
      <c r="Q23" s="14">
        <v>0.93</v>
      </c>
      <c r="R23" s="14">
        <v>0.92</v>
      </c>
      <c r="S23" s="14">
        <v>0.91</v>
      </c>
      <c r="T23" s="14">
        <v>0.95000000000000007</v>
      </c>
      <c r="U23" s="14">
        <v>0.96</v>
      </c>
      <c r="V23" s="14">
        <v>0.81</v>
      </c>
      <c r="W23" s="14">
        <v>0.89</v>
      </c>
      <c r="X23" s="14">
        <v>0.87</v>
      </c>
      <c r="Y23" s="14">
        <v>0.87</v>
      </c>
      <c r="Z23" s="14">
        <v>0.84</v>
      </c>
      <c r="AA23" s="14">
        <v>0.92</v>
      </c>
      <c r="AB23" s="14">
        <v>0.69000000000000006</v>
      </c>
      <c r="AC23" s="14">
        <v>0.94000000000000006</v>
      </c>
      <c r="AD23" s="14">
        <v>0.92</v>
      </c>
      <c r="AE23" s="14">
        <v>0.92</v>
      </c>
      <c r="AF23" s="14">
        <v>0.89</v>
      </c>
    </row>
    <row r="24" spans="1:32">
      <c r="A24" s="19"/>
      <c r="B24" s="11" t="s">
        <v>912</v>
      </c>
      <c r="C24" s="12">
        <v>2568</v>
      </c>
      <c r="D24" s="12">
        <v>80</v>
      </c>
      <c r="E24" s="12">
        <v>112</v>
      </c>
      <c r="F24" s="12">
        <v>97</v>
      </c>
      <c r="G24" s="12">
        <v>148</v>
      </c>
      <c r="H24" s="12">
        <v>187</v>
      </c>
      <c r="I24" s="12">
        <v>235</v>
      </c>
      <c r="J24" s="12">
        <v>48</v>
      </c>
      <c r="K24" s="12">
        <v>139</v>
      </c>
      <c r="L24" s="12">
        <v>49</v>
      </c>
      <c r="M24" s="12">
        <v>68</v>
      </c>
      <c r="N24" s="12">
        <v>26</v>
      </c>
      <c r="O24" s="12">
        <v>22</v>
      </c>
      <c r="P24" s="12">
        <v>159</v>
      </c>
      <c r="Q24" s="12">
        <v>73</v>
      </c>
      <c r="R24" s="12">
        <v>25</v>
      </c>
      <c r="S24" s="12">
        <v>81</v>
      </c>
      <c r="T24" s="12">
        <v>42</v>
      </c>
      <c r="U24" s="12">
        <v>21</v>
      </c>
      <c r="V24" s="12">
        <v>186</v>
      </c>
      <c r="W24" s="12">
        <v>58</v>
      </c>
      <c r="X24" s="12">
        <v>133</v>
      </c>
      <c r="Y24" s="12">
        <v>117</v>
      </c>
      <c r="Z24" s="12">
        <v>147</v>
      </c>
      <c r="AA24" s="12">
        <v>56</v>
      </c>
      <c r="AB24" s="12">
        <v>282</v>
      </c>
      <c r="AC24" s="12">
        <v>59</v>
      </c>
      <c r="AD24" s="12">
        <v>75</v>
      </c>
      <c r="AE24" s="12">
        <v>66</v>
      </c>
      <c r="AF24" s="12">
        <v>110</v>
      </c>
    </row>
    <row r="25" spans="1:32">
      <c r="A25" s="19"/>
      <c r="B25" s="13" t="s">
        <v>995</v>
      </c>
      <c r="C25" s="14">
        <v>0.09</v>
      </c>
      <c r="D25" s="14">
        <v>0.08</v>
      </c>
      <c r="E25" s="14">
        <v>0.11</v>
      </c>
      <c r="F25" s="14">
        <v>0.09</v>
      </c>
      <c r="G25" s="14">
        <v>0.14000000000000001</v>
      </c>
      <c r="H25" s="14">
        <v>0.15</v>
      </c>
      <c r="I25" s="14">
        <v>0.16</v>
      </c>
      <c r="J25" s="14">
        <v>0.16</v>
      </c>
      <c r="K25" s="14">
        <v>0.14000000000000001</v>
      </c>
      <c r="L25" s="14">
        <v>0.05</v>
      </c>
      <c r="M25" s="14">
        <v>7.0000000000000007E-2</v>
      </c>
      <c r="N25" s="14">
        <v>0.03</v>
      </c>
      <c r="O25" s="14">
        <v>0.03</v>
      </c>
      <c r="P25" s="14">
        <v>0.16</v>
      </c>
      <c r="Q25" s="14">
        <v>7.0000000000000007E-2</v>
      </c>
      <c r="R25" s="14">
        <v>0.05</v>
      </c>
      <c r="S25" s="14">
        <v>0.08</v>
      </c>
      <c r="T25" s="14">
        <v>0.04</v>
      </c>
      <c r="U25" s="14">
        <v>0.04</v>
      </c>
      <c r="V25" s="14">
        <v>0.18</v>
      </c>
      <c r="W25" s="14">
        <v>0.11</v>
      </c>
      <c r="X25" s="14">
        <v>0.13</v>
      </c>
      <c r="Y25" s="14">
        <v>0.12</v>
      </c>
      <c r="Z25" s="14">
        <v>0.15</v>
      </c>
      <c r="AA25" s="14">
        <v>0.05</v>
      </c>
      <c r="AB25" s="14">
        <v>0.27</v>
      </c>
      <c r="AC25" s="14">
        <v>0.06</v>
      </c>
      <c r="AD25" s="14">
        <v>7.0000000000000007E-2</v>
      </c>
      <c r="AE25" s="14">
        <v>7.0000000000000007E-2</v>
      </c>
      <c r="AF25" s="14">
        <v>0.11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1000</v>
      </c>
      <c r="C3" s="17"/>
      <c r="D3" s="17"/>
      <c r="E3" s="17"/>
      <c r="F3" s="17"/>
      <c r="H3" s="17" t="s">
        <v>1001</v>
      </c>
      <c r="I3" s="17"/>
      <c r="J3" s="17"/>
      <c r="K3" s="17"/>
      <c r="L3" s="17"/>
    </row>
    <row r="4" spans="1:32" ht="27" customHeight="1">
      <c r="B4" s="17" t="s">
        <v>1002</v>
      </c>
      <c r="C4" s="17"/>
      <c r="D4" s="17"/>
      <c r="E4" s="17"/>
      <c r="F4" s="17"/>
      <c r="H4" s="17" t="s">
        <v>1003</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987</v>
      </c>
      <c r="C12" s="12">
        <v>11471</v>
      </c>
      <c r="D12" s="12">
        <v>456</v>
      </c>
      <c r="E12" s="12">
        <v>419</v>
      </c>
      <c r="F12" s="12">
        <v>386</v>
      </c>
      <c r="G12" s="12">
        <v>366</v>
      </c>
      <c r="H12" s="12">
        <v>474</v>
      </c>
      <c r="I12" s="12">
        <v>573</v>
      </c>
      <c r="J12" s="12">
        <v>99</v>
      </c>
      <c r="K12" s="12">
        <v>272</v>
      </c>
      <c r="L12" s="12">
        <v>595</v>
      </c>
      <c r="M12" s="12">
        <v>408</v>
      </c>
      <c r="N12" s="12">
        <v>610</v>
      </c>
      <c r="O12" s="12">
        <v>531</v>
      </c>
      <c r="P12" s="12">
        <v>345</v>
      </c>
      <c r="Q12" s="12">
        <v>506</v>
      </c>
      <c r="R12" s="12">
        <v>264</v>
      </c>
      <c r="S12" s="12">
        <v>496</v>
      </c>
      <c r="T12" s="12">
        <v>500</v>
      </c>
      <c r="U12" s="12">
        <v>331</v>
      </c>
      <c r="V12" s="12">
        <v>272</v>
      </c>
      <c r="W12" s="12">
        <v>200</v>
      </c>
      <c r="X12" s="12">
        <v>357</v>
      </c>
      <c r="Y12" s="12">
        <v>322</v>
      </c>
      <c r="Z12" s="12">
        <v>314</v>
      </c>
      <c r="AA12" s="12">
        <v>475</v>
      </c>
      <c r="AB12" s="12">
        <v>295</v>
      </c>
      <c r="AC12" s="12">
        <v>557</v>
      </c>
      <c r="AD12" s="12">
        <v>415</v>
      </c>
      <c r="AE12" s="12">
        <v>326</v>
      </c>
      <c r="AF12" s="12">
        <v>362</v>
      </c>
    </row>
    <row r="13" spans="1:32">
      <c r="A13" s="19"/>
      <c r="B13" s="13" t="s">
        <v>988</v>
      </c>
      <c r="C13" s="14">
        <v>0.43</v>
      </c>
      <c r="D13" s="14">
        <v>0.45</v>
      </c>
      <c r="E13" s="14">
        <v>0.4</v>
      </c>
      <c r="F13" s="14">
        <v>0.36</v>
      </c>
      <c r="G13" s="14">
        <v>0.36</v>
      </c>
      <c r="H13" s="14">
        <v>0.38</v>
      </c>
      <c r="I13" s="14">
        <v>0.38</v>
      </c>
      <c r="J13" s="14">
        <v>0.33</v>
      </c>
      <c r="K13" s="14">
        <v>0.27</v>
      </c>
      <c r="L13" s="14">
        <v>0.59</v>
      </c>
      <c r="M13" s="14">
        <v>0.41</v>
      </c>
      <c r="N13" s="14">
        <v>0.6</v>
      </c>
      <c r="O13" s="14">
        <v>0.53</v>
      </c>
      <c r="P13" s="14">
        <v>0.34</v>
      </c>
      <c r="Q13" s="14">
        <v>0.49</v>
      </c>
      <c r="R13" s="14">
        <v>0.53</v>
      </c>
      <c r="S13" s="14">
        <v>0.49</v>
      </c>
      <c r="T13" s="14">
        <v>0.49</v>
      </c>
      <c r="U13" s="14">
        <v>0.65</v>
      </c>
      <c r="V13" s="14">
        <v>0.27</v>
      </c>
      <c r="W13" s="14">
        <v>0.4</v>
      </c>
      <c r="X13" s="14">
        <v>0.35</v>
      </c>
      <c r="Y13" s="14">
        <v>0.32</v>
      </c>
      <c r="Z13" s="14">
        <v>0.31</v>
      </c>
      <c r="AA13" s="14">
        <v>0.46</v>
      </c>
      <c r="AB13" s="14">
        <v>0.28000000000000003</v>
      </c>
      <c r="AC13" s="14">
        <v>0.55000000000000004</v>
      </c>
      <c r="AD13" s="14">
        <v>0.41</v>
      </c>
      <c r="AE13" s="14">
        <v>0.33</v>
      </c>
      <c r="AF13" s="14">
        <v>0.35</v>
      </c>
    </row>
    <row r="14" spans="1:32">
      <c r="A14" s="19"/>
      <c r="B14" s="11" t="s">
        <v>989</v>
      </c>
      <c r="C14" s="12">
        <v>9795</v>
      </c>
      <c r="D14" s="12">
        <v>381</v>
      </c>
      <c r="E14" s="12">
        <v>384</v>
      </c>
      <c r="F14" s="12">
        <v>385</v>
      </c>
      <c r="G14" s="12">
        <v>352</v>
      </c>
      <c r="H14" s="12">
        <v>427</v>
      </c>
      <c r="I14" s="12">
        <v>540</v>
      </c>
      <c r="J14" s="12">
        <v>113</v>
      </c>
      <c r="K14" s="12">
        <v>403</v>
      </c>
      <c r="L14" s="12">
        <v>294</v>
      </c>
      <c r="M14" s="12">
        <v>407</v>
      </c>
      <c r="N14" s="12">
        <v>285</v>
      </c>
      <c r="O14" s="12">
        <v>331</v>
      </c>
      <c r="P14" s="12">
        <v>404</v>
      </c>
      <c r="Q14" s="12">
        <v>403</v>
      </c>
      <c r="R14" s="12">
        <v>162</v>
      </c>
      <c r="S14" s="12">
        <v>331</v>
      </c>
      <c r="T14" s="12">
        <v>409</v>
      </c>
      <c r="U14" s="12">
        <v>117</v>
      </c>
      <c r="V14" s="12">
        <v>455</v>
      </c>
      <c r="W14" s="12">
        <v>169</v>
      </c>
      <c r="X14" s="12">
        <v>412</v>
      </c>
      <c r="Y14" s="12">
        <v>416</v>
      </c>
      <c r="Z14" s="12">
        <v>492</v>
      </c>
      <c r="AA14" s="12">
        <v>455</v>
      </c>
      <c r="AB14" s="12">
        <v>395</v>
      </c>
      <c r="AC14" s="12">
        <v>329</v>
      </c>
      <c r="AD14" s="12">
        <v>450</v>
      </c>
      <c r="AE14" s="12">
        <v>391</v>
      </c>
      <c r="AF14" s="12">
        <v>400</v>
      </c>
    </row>
    <row r="15" spans="1:32">
      <c r="A15" s="19"/>
      <c r="B15" s="13" t="s">
        <v>990</v>
      </c>
      <c r="C15" s="14">
        <v>0.37</v>
      </c>
      <c r="D15" s="14">
        <v>0.37</v>
      </c>
      <c r="E15" s="14">
        <v>0.37</v>
      </c>
      <c r="F15" s="14">
        <v>0.36</v>
      </c>
      <c r="G15" s="14">
        <v>0.35</v>
      </c>
      <c r="H15" s="14">
        <v>0.35</v>
      </c>
      <c r="I15" s="14">
        <v>0.35</v>
      </c>
      <c r="J15" s="14">
        <v>0.38</v>
      </c>
      <c r="K15" s="14">
        <v>0.4</v>
      </c>
      <c r="L15" s="14">
        <v>0.28999999999999998</v>
      </c>
      <c r="M15" s="14">
        <v>0.4</v>
      </c>
      <c r="N15" s="14">
        <v>0.28000000000000003</v>
      </c>
      <c r="O15" s="14">
        <v>0.33</v>
      </c>
      <c r="P15" s="14">
        <v>0.4</v>
      </c>
      <c r="Q15" s="14">
        <v>0.39</v>
      </c>
      <c r="R15" s="14">
        <v>0.33</v>
      </c>
      <c r="S15" s="14">
        <v>0.33</v>
      </c>
      <c r="T15" s="14">
        <v>0.4</v>
      </c>
      <c r="U15" s="14">
        <v>0.23</v>
      </c>
      <c r="V15" s="14">
        <v>0.44</v>
      </c>
      <c r="W15" s="14">
        <v>0.34</v>
      </c>
      <c r="X15" s="14">
        <v>0.41</v>
      </c>
      <c r="Y15" s="14">
        <v>0.42</v>
      </c>
      <c r="Z15" s="14">
        <v>0.48</v>
      </c>
      <c r="AA15" s="14">
        <v>0.44</v>
      </c>
      <c r="AB15" s="14">
        <v>0.38</v>
      </c>
      <c r="AC15" s="14">
        <v>0.33</v>
      </c>
      <c r="AD15" s="14">
        <v>0.45</v>
      </c>
      <c r="AE15" s="14">
        <v>0.39</v>
      </c>
      <c r="AF15" s="14">
        <v>0.39</v>
      </c>
    </row>
    <row r="16" spans="1:32">
      <c r="A16" s="19"/>
      <c r="B16" s="11" t="s">
        <v>991</v>
      </c>
      <c r="C16" s="12">
        <v>3577</v>
      </c>
      <c r="D16" s="12">
        <v>149</v>
      </c>
      <c r="E16" s="12">
        <v>135</v>
      </c>
      <c r="F16" s="12">
        <v>202</v>
      </c>
      <c r="G16" s="12">
        <v>228</v>
      </c>
      <c r="H16" s="12">
        <v>191</v>
      </c>
      <c r="I16" s="12">
        <v>255</v>
      </c>
      <c r="J16" s="12">
        <v>64</v>
      </c>
      <c r="K16" s="12">
        <v>228</v>
      </c>
      <c r="L16" s="12">
        <v>83</v>
      </c>
      <c r="M16" s="12">
        <v>147</v>
      </c>
      <c r="N16" s="12">
        <v>84</v>
      </c>
      <c r="O16" s="12">
        <v>90</v>
      </c>
      <c r="P16" s="12">
        <v>168</v>
      </c>
      <c r="Q16" s="12">
        <v>94</v>
      </c>
      <c r="R16" s="12">
        <v>47</v>
      </c>
      <c r="S16" s="12">
        <v>120</v>
      </c>
      <c r="T16" s="12">
        <v>70</v>
      </c>
      <c r="U16" s="12">
        <v>47</v>
      </c>
      <c r="V16" s="12">
        <v>206</v>
      </c>
      <c r="W16" s="12">
        <v>100</v>
      </c>
      <c r="X16" s="12">
        <v>211</v>
      </c>
      <c r="Y16" s="12">
        <v>160</v>
      </c>
      <c r="Z16" s="12">
        <v>161</v>
      </c>
      <c r="AA16" s="12">
        <v>56</v>
      </c>
      <c r="AB16" s="12">
        <v>212</v>
      </c>
      <c r="AC16" s="12">
        <v>98</v>
      </c>
      <c r="AD16" s="12">
        <v>104</v>
      </c>
      <c r="AE16" s="12">
        <v>238</v>
      </c>
      <c r="AF16" s="12">
        <v>225</v>
      </c>
    </row>
    <row r="17" spans="1:32">
      <c r="A17" s="19"/>
      <c r="B17" s="13" t="s">
        <v>992</v>
      </c>
      <c r="C17" s="14">
        <v>0.14000000000000001</v>
      </c>
      <c r="D17" s="14">
        <v>0.14000000000000001</v>
      </c>
      <c r="E17" s="14">
        <v>0.13</v>
      </c>
      <c r="F17" s="14">
        <v>0.19</v>
      </c>
      <c r="G17" s="14">
        <v>0.22</v>
      </c>
      <c r="H17" s="14">
        <v>0.16</v>
      </c>
      <c r="I17" s="14">
        <v>0.17</v>
      </c>
      <c r="J17" s="14">
        <v>0.22</v>
      </c>
      <c r="K17" s="14">
        <v>0.23</v>
      </c>
      <c r="L17" s="14">
        <v>0.08</v>
      </c>
      <c r="M17" s="14">
        <v>0.15</v>
      </c>
      <c r="N17" s="14">
        <v>0.08</v>
      </c>
      <c r="O17" s="14">
        <v>0.09</v>
      </c>
      <c r="P17" s="14">
        <v>0.17</v>
      </c>
      <c r="Q17" s="14">
        <v>0.09</v>
      </c>
      <c r="R17" s="14">
        <v>0.09</v>
      </c>
      <c r="S17" s="14">
        <v>0.12</v>
      </c>
      <c r="T17" s="14">
        <v>7.0000000000000007E-2</v>
      </c>
      <c r="U17" s="14">
        <v>0.09</v>
      </c>
      <c r="V17" s="14">
        <v>0.2</v>
      </c>
      <c r="W17" s="14">
        <v>0.2</v>
      </c>
      <c r="X17" s="14">
        <v>0.21</v>
      </c>
      <c r="Y17" s="14">
        <v>0.16</v>
      </c>
      <c r="Z17" s="14">
        <v>0.16</v>
      </c>
      <c r="AA17" s="14">
        <v>0.05</v>
      </c>
      <c r="AB17" s="14">
        <v>0.2</v>
      </c>
      <c r="AC17" s="14">
        <v>0.1</v>
      </c>
      <c r="AD17" s="14">
        <v>0.1</v>
      </c>
      <c r="AE17" s="14">
        <v>0.24</v>
      </c>
      <c r="AF17" s="14">
        <v>0.22</v>
      </c>
    </row>
    <row r="18" spans="1:32">
      <c r="A18" s="19"/>
      <c r="B18" s="11" t="s">
        <v>993</v>
      </c>
      <c r="C18" s="12">
        <v>1009</v>
      </c>
      <c r="D18" s="12">
        <v>27</v>
      </c>
      <c r="E18" s="12">
        <v>41</v>
      </c>
      <c r="F18" s="12">
        <v>54</v>
      </c>
      <c r="G18" s="12">
        <v>53</v>
      </c>
      <c r="H18" s="12">
        <v>96</v>
      </c>
      <c r="I18" s="12">
        <v>111</v>
      </c>
      <c r="J18" s="12">
        <v>15</v>
      </c>
      <c r="K18" s="12">
        <v>48</v>
      </c>
      <c r="L18" s="12">
        <v>16</v>
      </c>
      <c r="M18" s="12">
        <v>23</v>
      </c>
      <c r="N18" s="12">
        <v>15</v>
      </c>
      <c r="O18" s="12">
        <v>20</v>
      </c>
      <c r="P18" s="12">
        <v>46</v>
      </c>
      <c r="Q18" s="12">
        <v>22</v>
      </c>
      <c r="R18" s="12">
        <v>12</v>
      </c>
      <c r="S18" s="12">
        <v>38</v>
      </c>
      <c r="T18" s="12">
        <v>30</v>
      </c>
      <c r="U18" s="12">
        <v>11</v>
      </c>
      <c r="V18" s="12">
        <v>72</v>
      </c>
      <c r="W18" s="12">
        <v>31</v>
      </c>
      <c r="X18" s="12">
        <v>30</v>
      </c>
      <c r="Y18" s="12">
        <v>82</v>
      </c>
      <c r="Z18" s="12">
        <v>30</v>
      </c>
      <c r="AA18" s="12">
        <v>11</v>
      </c>
      <c r="AB18" s="12">
        <v>92</v>
      </c>
      <c r="AC18" s="12">
        <v>21</v>
      </c>
      <c r="AD18" s="12">
        <v>26</v>
      </c>
      <c r="AE18" s="12">
        <v>35</v>
      </c>
      <c r="AF18" s="12">
        <v>35</v>
      </c>
    </row>
    <row r="19" spans="1:32">
      <c r="A19" s="19"/>
      <c r="B19" s="13" t="s">
        <v>994</v>
      </c>
      <c r="C19" s="14">
        <v>0.04</v>
      </c>
      <c r="D19" s="14">
        <v>0.03</v>
      </c>
      <c r="E19" s="14">
        <v>0.04</v>
      </c>
      <c r="F19" s="14">
        <v>0.05</v>
      </c>
      <c r="G19" s="14">
        <v>0.05</v>
      </c>
      <c r="H19" s="14">
        <v>0.08</v>
      </c>
      <c r="I19" s="14">
        <v>7.0000000000000007E-2</v>
      </c>
      <c r="J19" s="14">
        <v>0.05</v>
      </c>
      <c r="K19" s="14">
        <v>0.05</v>
      </c>
      <c r="L19" s="14">
        <v>0.02</v>
      </c>
      <c r="M19" s="14">
        <v>0.02</v>
      </c>
      <c r="N19" s="14">
        <v>0.02</v>
      </c>
      <c r="O19" s="14">
        <v>0.02</v>
      </c>
      <c r="P19" s="14">
        <v>0.05</v>
      </c>
      <c r="Q19" s="14">
        <v>0.02</v>
      </c>
      <c r="R19" s="14">
        <v>0.02</v>
      </c>
      <c r="S19" s="14">
        <v>0.04</v>
      </c>
      <c r="T19" s="14">
        <v>0.03</v>
      </c>
      <c r="U19" s="14">
        <v>0.02</v>
      </c>
      <c r="V19" s="14">
        <v>7.0000000000000007E-2</v>
      </c>
      <c r="W19" s="14">
        <v>0.06</v>
      </c>
      <c r="X19" s="14">
        <v>0.03</v>
      </c>
      <c r="Y19" s="14">
        <v>0.08</v>
      </c>
      <c r="Z19" s="14">
        <v>0.03</v>
      </c>
      <c r="AA19" s="14">
        <v>0.01</v>
      </c>
      <c r="AB19" s="14">
        <v>0.09</v>
      </c>
      <c r="AC19" s="14">
        <v>0.02</v>
      </c>
      <c r="AD19" s="14">
        <v>0.03</v>
      </c>
      <c r="AE19" s="14">
        <v>0.03</v>
      </c>
      <c r="AF19" s="14">
        <v>0.03</v>
      </c>
    </row>
    <row r="20" spans="1:32">
      <c r="A20" s="19"/>
      <c r="B20" s="11" t="s">
        <v>386</v>
      </c>
      <c r="C20" s="12">
        <v>601</v>
      </c>
      <c r="D20" s="12">
        <v>8</v>
      </c>
      <c r="E20" s="12">
        <v>68</v>
      </c>
      <c r="F20" s="12">
        <v>37</v>
      </c>
      <c r="G20" s="12">
        <v>16</v>
      </c>
      <c r="H20" s="12">
        <v>42</v>
      </c>
      <c r="I20" s="12">
        <v>48</v>
      </c>
      <c r="J20" s="12">
        <v>6</v>
      </c>
      <c r="K20" s="12">
        <v>55</v>
      </c>
      <c r="L20" s="12">
        <v>18</v>
      </c>
      <c r="M20" s="12">
        <v>22</v>
      </c>
      <c r="N20" s="12">
        <v>17</v>
      </c>
      <c r="O20" s="12">
        <v>32</v>
      </c>
      <c r="P20" s="12">
        <v>40</v>
      </c>
      <c r="Q20" s="12">
        <v>7</v>
      </c>
      <c r="R20" s="12">
        <v>17</v>
      </c>
      <c r="S20" s="12">
        <v>19</v>
      </c>
      <c r="T20" s="12">
        <v>14</v>
      </c>
      <c r="U20" s="12">
        <v>2</v>
      </c>
      <c r="V20" s="12">
        <v>20</v>
      </c>
      <c r="W20" s="12">
        <v>3</v>
      </c>
      <c r="X20" s="12">
        <v>1</v>
      </c>
      <c r="Y20" s="12">
        <v>23</v>
      </c>
      <c r="Z20" s="12">
        <v>19</v>
      </c>
      <c r="AA20" s="12">
        <v>41</v>
      </c>
      <c r="AB20" s="12">
        <v>48</v>
      </c>
      <c r="AC20" s="12">
        <v>0</v>
      </c>
      <c r="AD20" s="12">
        <v>9</v>
      </c>
      <c r="AE20" s="12">
        <v>11</v>
      </c>
      <c r="AF20" s="12">
        <v>9</v>
      </c>
    </row>
    <row r="21" spans="1:32">
      <c r="A21" s="19"/>
      <c r="B21" s="13" t="s">
        <v>399</v>
      </c>
      <c r="C21" s="14">
        <v>0.02</v>
      </c>
      <c r="D21" s="14">
        <v>0.01</v>
      </c>
      <c r="E21" s="14">
        <v>0.06</v>
      </c>
      <c r="F21" s="14">
        <v>0.04</v>
      </c>
      <c r="G21" s="14">
        <v>0.02</v>
      </c>
      <c r="H21" s="14">
        <v>0.03</v>
      </c>
      <c r="I21" s="14">
        <v>0.03</v>
      </c>
      <c r="J21" s="14">
        <v>0.02</v>
      </c>
      <c r="K21" s="14">
        <v>0.05</v>
      </c>
      <c r="L21" s="14">
        <v>0.02</v>
      </c>
      <c r="M21" s="14">
        <v>0.02</v>
      </c>
      <c r="N21" s="14">
        <v>0.02</v>
      </c>
      <c r="O21" s="14">
        <v>0.03</v>
      </c>
      <c r="P21" s="14">
        <v>0.04</v>
      </c>
      <c r="Q21" s="14">
        <v>0.01</v>
      </c>
      <c r="R21" s="14">
        <v>0.03</v>
      </c>
      <c r="S21" s="14">
        <v>0.02</v>
      </c>
      <c r="T21" s="14">
        <v>0.01</v>
      </c>
      <c r="U21" s="14">
        <v>0.01</v>
      </c>
      <c r="V21" s="14">
        <v>0.02</v>
      </c>
      <c r="W21" s="15" t="s">
        <v>375</v>
      </c>
      <c r="X21" s="15" t="s">
        <v>375</v>
      </c>
      <c r="Y21" s="14">
        <v>0.02</v>
      </c>
      <c r="Z21" s="14">
        <v>0.02</v>
      </c>
      <c r="AA21" s="14">
        <v>0.04</v>
      </c>
      <c r="AB21" s="14">
        <v>0.05</v>
      </c>
      <c r="AC21" s="15" t="s">
        <v>375</v>
      </c>
      <c r="AD21" s="14">
        <v>0.01</v>
      </c>
      <c r="AE21" s="14">
        <v>0.01</v>
      </c>
      <c r="AF21" s="14">
        <v>0.01</v>
      </c>
    </row>
    <row r="22" spans="1:32">
      <c r="A22" s="19"/>
      <c r="B22" s="11" t="s">
        <v>916</v>
      </c>
      <c r="C22" s="12">
        <v>21266</v>
      </c>
      <c r="D22" s="12">
        <v>837</v>
      </c>
      <c r="E22" s="12">
        <v>803</v>
      </c>
      <c r="F22" s="12">
        <v>771</v>
      </c>
      <c r="G22" s="12">
        <v>718</v>
      </c>
      <c r="H22" s="12">
        <v>901</v>
      </c>
      <c r="I22" s="12">
        <v>1113</v>
      </c>
      <c r="J22" s="12">
        <v>212</v>
      </c>
      <c r="K22" s="12">
        <v>675</v>
      </c>
      <c r="L22" s="12">
        <v>889</v>
      </c>
      <c r="M22" s="12">
        <v>815</v>
      </c>
      <c r="N22" s="12">
        <v>895</v>
      </c>
      <c r="O22" s="12">
        <v>862</v>
      </c>
      <c r="P22" s="12">
        <v>749</v>
      </c>
      <c r="Q22" s="12">
        <v>909</v>
      </c>
      <c r="R22" s="12">
        <v>426</v>
      </c>
      <c r="S22" s="12">
        <v>827</v>
      </c>
      <c r="T22" s="12">
        <v>909</v>
      </c>
      <c r="U22" s="12">
        <v>448</v>
      </c>
      <c r="V22" s="12">
        <v>727</v>
      </c>
      <c r="W22" s="12">
        <v>369</v>
      </c>
      <c r="X22" s="12">
        <v>769</v>
      </c>
      <c r="Y22" s="12">
        <v>738</v>
      </c>
      <c r="Z22" s="12">
        <v>806</v>
      </c>
      <c r="AA22" s="12">
        <v>930</v>
      </c>
      <c r="AB22" s="12">
        <v>690</v>
      </c>
      <c r="AC22" s="12">
        <v>886</v>
      </c>
      <c r="AD22" s="12">
        <v>865</v>
      </c>
      <c r="AE22" s="12">
        <v>717</v>
      </c>
      <c r="AF22" s="12">
        <v>762</v>
      </c>
    </row>
    <row r="23" spans="1:32">
      <c r="A23" s="19"/>
      <c r="B23" s="13" t="s">
        <v>917</v>
      </c>
      <c r="C23" s="14">
        <v>0.8</v>
      </c>
      <c r="D23" s="14">
        <v>0.82000000000000006</v>
      </c>
      <c r="E23" s="14">
        <v>0.77</v>
      </c>
      <c r="F23" s="14">
        <v>0.72</v>
      </c>
      <c r="G23" s="14">
        <v>0.71</v>
      </c>
      <c r="H23" s="14">
        <v>0.73</v>
      </c>
      <c r="I23" s="14">
        <v>0.73</v>
      </c>
      <c r="J23" s="14">
        <v>0.71</v>
      </c>
      <c r="K23" s="14">
        <v>0.67</v>
      </c>
      <c r="L23" s="14">
        <v>0.88</v>
      </c>
      <c r="M23" s="14">
        <v>0.81</v>
      </c>
      <c r="N23" s="14">
        <v>0.88</v>
      </c>
      <c r="O23" s="14">
        <v>0.86</v>
      </c>
      <c r="P23" s="14">
        <v>0.74</v>
      </c>
      <c r="Q23" s="14">
        <v>0.88</v>
      </c>
      <c r="R23" s="14">
        <v>0.86</v>
      </c>
      <c r="S23" s="14">
        <v>0.82000000000000006</v>
      </c>
      <c r="T23" s="14">
        <v>0.89</v>
      </c>
      <c r="U23" s="14">
        <v>0.88</v>
      </c>
      <c r="V23" s="14">
        <v>0.71</v>
      </c>
      <c r="W23" s="14">
        <v>0.74</v>
      </c>
      <c r="X23" s="14">
        <v>0.76</v>
      </c>
      <c r="Y23" s="14">
        <v>0.74</v>
      </c>
      <c r="Z23" s="14">
        <v>0.79</v>
      </c>
      <c r="AA23" s="14">
        <v>0.9</v>
      </c>
      <c r="AB23" s="14">
        <v>0.66</v>
      </c>
      <c r="AC23" s="14">
        <v>0.88</v>
      </c>
      <c r="AD23" s="14">
        <v>0.86</v>
      </c>
      <c r="AE23" s="14">
        <v>0.72</v>
      </c>
      <c r="AF23" s="14">
        <v>0.74</v>
      </c>
    </row>
    <row r="24" spans="1:32">
      <c r="A24" s="19"/>
      <c r="B24" s="11" t="s">
        <v>912</v>
      </c>
      <c r="C24" s="12">
        <v>4586</v>
      </c>
      <c r="D24" s="12">
        <v>176</v>
      </c>
      <c r="E24" s="12">
        <v>176</v>
      </c>
      <c r="F24" s="12">
        <v>256</v>
      </c>
      <c r="G24" s="12">
        <v>281</v>
      </c>
      <c r="H24" s="12">
        <v>287</v>
      </c>
      <c r="I24" s="12">
        <v>366</v>
      </c>
      <c r="J24" s="12">
        <v>79</v>
      </c>
      <c r="K24" s="12">
        <v>276</v>
      </c>
      <c r="L24" s="12">
        <v>99</v>
      </c>
      <c r="M24" s="12">
        <v>170</v>
      </c>
      <c r="N24" s="12">
        <v>99</v>
      </c>
      <c r="O24" s="12">
        <v>110</v>
      </c>
      <c r="P24" s="12">
        <v>214</v>
      </c>
      <c r="Q24" s="12">
        <v>116</v>
      </c>
      <c r="R24" s="12">
        <v>59</v>
      </c>
      <c r="S24" s="12">
        <v>158</v>
      </c>
      <c r="T24" s="12">
        <v>100</v>
      </c>
      <c r="U24" s="12">
        <v>58</v>
      </c>
      <c r="V24" s="12">
        <v>278</v>
      </c>
      <c r="W24" s="12">
        <v>131</v>
      </c>
      <c r="X24" s="12">
        <v>241</v>
      </c>
      <c r="Y24" s="12">
        <v>242</v>
      </c>
      <c r="Z24" s="12">
        <v>191</v>
      </c>
      <c r="AA24" s="12">
        <v>67</v>
      </c>
      <c r="AB24" s="12">
        <v>304</v>
      </c>
      <c r="AC24" s="12">
        <v>119</v>
      </c>
      <c r="AD24" s="12">
        <v>130</v>
      </c>
      <c r="AE24" s="12">
        <v>273</v>
      </c>
      <c r="AF24" s="12">
        <v>260</v>
      </c>
    </row>
    <row r="25" spans="1:32">
      <c r="A25" s="19"/>
      <c r="B25" s="13" t="s">
        <v>995</v>
      </c>
      <c r="C25" s="14">
        <v>0.18</v>
      </c>
      <c r="D25" s="14">
        <v>0.17</v>
      </c>
      <c r="E25" s="14">
        <v>0.17</v>
      </c>
      <c r="F25" s="14">
        <v>0.24</v>
      </c>
      <c r="G25" s="14">
        <v>0.27</v>
      </c>
      <c r="H25" s="14">
        <v>0.24</v>
      </c>
      <c r="I25" s="14">
        <v>0.24</v>
      </c>
      <c r="J25" s="14">
        <v>0.27</v>
      </c>
      <c r="K25" s="14">
        <v>0.28000000000000003</v>
      </c>
      <c r="L25" s="14">
        <v>0.1</v>
      </c>
      <c r="M25" s="14">
        <v>0.17</v>
      </c>
      <c r="N25" s="14">
        <v>0.1</v>
      </c>
      <c r="O25" s="14">
        <v>0.11</v>
      </c>
      <c r="P25" s="14">
        <v>0.22</v>
      </c>
      <c r="Q25" s="14">
        <v>0.11</v>
      </c>
      <c r="R25" s="14">
        <v>0.11</v>
      </c>
      <c r="S25" s="14">
        <v>0.16</v>
      </c>
      <c r="T25" s="14">
        <v>0.1</v>
      </c>
      <c r="U25" s="14">
        <v>0.11</v>
      </c>
      <c r="V25" s="14">
        <v>0.27</v>
      </c>
      <c r="W25" s="14">
        <v>0.26</v>
      </c>
      <c r="X25" s="14">
        <v>0.24</v>
      </c>
      <c r="Y25" s="14">
        <v>0.24</v>
      </c>
      <c r="Z25" s="14">
        <v>0.19</v>
      </c>
      <c r="AA25" s="14">
        <v>0.06</v>
      </c>
      <c r="AB25" s="14">
        <v>0.28999999999999998</v>
      </c>
      <c r="AC25" s="14">
        <v>0.12</v>
      </c>
      <c r="AD25" s="14">
        <v>0.13</v>
      </c>
      <c r="AE25" s="14">
        <v>0.27</v>
      </c>
      <c r="AF25" s="14">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1004</v>
      </c>
      <c r="C3" s="17"/>
      <c r="D3" s="17"/>
      <c r="E3" s="17"/>
      <c r="F3" s="17"/>
      <c r="H3" s="17" t="s">
        <v>1005</v>
      </c>
      <c r="I3" s="17"/>
      <c r="J3" s="17"/>
      <c r="K3" s="17"/>
      <c r="L3" s="17"/>
    </row>
    <row r="4" spans="1:32" ht="27" customHeight="1">
      <c r="B4" s="17" t="s">
        <v>1006</v>
      </c>
      <c r="C4" s="17"/>
      <c r="D4" s="17"/>
      <c r="E4" s="17"/>
      <c r="F4" s="17"/>
      <c r="H4" s="17" t="s">
        <v>1007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987</v>
      </c>
      <c r="C12" s="12">
        <v>12716</v>
      </c>
      <c r="D12" s="12">
        <v>485</v>
      </c>
      <c r="E12" s="12">
        <v>542</v>
      </c>
      <c r="F12" s="12">
        <v>522</v>
      </c>
      <c r="G12" s="12">
        <v>388</v>
      </c>
      <c r="H12" s="12">
        <v>408</v>
      </c>
      <c r="I12" s="12">
        <v>540</v>
      </c>
      <c r="J12" s="12">
        <v>132</v>
      </c>
      <c r="K12" s="12">
        <v>346</v>
      </c>
      <c r="L12" s="12">
        <v>579</v>
      </c>
      <c r="M12" s="12">
        <v>457</v>
      </c>
      <c r="N12" s="12">
        <v>747</v>
      </c>
      <c r="O12" s="12">
        <v>579</v>
      </c>
      <c r="P12" s="12">
        <v>375</v>
      </c>
      <c r="Q12" s="12">
        <v>520</v>
      </c>
      <c r="R12" s="12">
        <v>250</v>
      </c>
      <c r="S12" s="12">
        <v>602</v>
      </c>
      <c r="T12" s="12">
        <v>553</v>
      </c>
      <c r="U12" s="12">
        <v>357</v>
      </c>
      <c r="V12" s="12">
        <v>326</v>
      </c>
      <c r="W12" s="12">
        <v>222</v>
      </c>
      <c r="X12" s="12">
        <v>347</v>
      </c>
      <c r="Y12" s="12">
        <v>310</v>
      </c>
      <c r="Z12" s="12">
        <v>386</v>
      </c>
      <c r="AA12" s="12">
        <v>664</v>
      </c>
      <c r="AB12" s="12">
        <v>350</v>
      </c>
      <c r="AC12" s="12">
        <v>624</v>
      </c>
      <c r="AD12" s="12">
        <v>526</v>
      </c>
      <c r="AE12" s="12">
        <v>474</v>
      </c>
      <c r="AF12" s="12">
        <v>498</v>
      </c>
    </row>
    <row r="13" spans="1:32">
      <c r="A13" s="19"/>
      <c r="B13" s="13" t="s">
        <v>988</v>
      </c>
      <c r="C13" s="14">
        <v>0.48</v>
      </c>
      <c r="D13" s="14">
        <v>0.48</v>
      </c>
      <c r="E13" s="14">
        <v>0.52</v>
      </c>
      <c r="F13" s="14">
        <v>0.49</v>
      </c>
      <c r="G13" s="14">
        <v>0.38</v>
      </c>
      <c r="H13" s="14">
        <v>0.33</v>
      </c>
      <c r="I13" s="14">
        <v>0.35</v>
      </c>
      <c r="J13" s="14">
        <v>0.45</v>
      </c>
      <c r="K13" s="14">
        <v>0.34</v>
      </c>
      <c r="L13" s="14">
        <v>0.57999999999999996</v>
      </c>
      <c r="M13" s="14">
        <v>0.45</v>
      </c>
      <c r="N13" s="14">
        <v>0.74</v>
      </c>
      <c r="O13" s="14">
        <v>0.57999999999999996</v>
      </c>
      <c r="P13" s="14">
        <v>0.37</v>
      </c>
      <c r="Q13" s="14">
        <v>0.5</v>
      </c>
      <c r="R13" s="14">
        <v>0.5</v>
      </c>
      <c r="S13" s="14">
        <v>0.6</v>
      </c>
      <c r="T13" s="14">
        <v>0.54</v>
      </c>
      <c r="U13" s="14">
        <v>0.70000000000000007</v>
      </c>
      <c r="V13" s="14">
        <v>0.32</v>
      </c>
      <c r="W13" s="14">
        <v>0.44</v>
      </c>
      <c r="X13" s="14">
        <v>0.34</v>
      </c>
      <c r="Y13" s="14">
        <v>0.31</v>
      </c>
      <c r="Z13" s="14">
        <v>0.38</v>
      </c>
      <c r="AA13" s="14">
        <v>0.64</v>
      </c>
      <c r="AB13" s="14">
        <v>0.34</v>
      </c>
      <c r="AC13" s="14">
        <v>0.62</v>
      </c>
      <c r="AD13" s="14">
        <v>0.52</v>
      </c>
      <c r="AE13" s="14">
        <v>0.47</v>
      </c>
      <c r="AF13" s="14">
        <v>0.48</v>
      </c>
    </row>
    <row r="14" spans="1:32">
      <c r="A14" s="19"/>
      <c r="B14" s="11" t="s">
        <v>989</v>
      </c>
      <c r="C14" s="12">
        <v>9339</v>
      </c>
      <c r="D14" s="12">
        <v>377</v>
      </c>
      <c r="E14" s="12">
        <v>354</v>
      </c>
      <c r="F14" s="12">
        <v>391</v>
      </c>
      <c r="G14" s="12">
        <v>347</v>
      </c>
      <c r="H14" s="12">
        <v>457</v>
      </c>
      <c r="I14" s="12">
        <v>544</v>
      </c>
      <c r="J14" s="12">
        <v>86</v>
      </c>
      <c r="K14" s="12">
        <v>439</v>
      </c>
      <c r="L14" s="12">
        <v>317</v>
      </c>
      <c r="M14" s="12">
        <v>390</v>
      </c>
      <c r="N14" s="12">
        <v>202</v>
      </c>
      <c r="O14" s="12">
        <v>323</v>
      </c>
      <c r="P14" s="12">
        <v>407</v>
      </c>
      <c r="Q14" s="12">
        <v>405</v>
      </c>
      <c r="R14" s="12">
        <v>173</v>
      </c>
      <c r="S14" s="12">
        <v>299</v>
      </c>
      <c r="T14" s="12">
        <v>391</v>
      </c>
      <c r="U14" s="12">
        <v>102</v>
      </c>
      <c r="V14" s="12">
        <v>413</v>
      </c>
      <c r="W14" s="12">
        <v>168</v>
      </c>
      <c r="X14" s="12">
        <v>451</v>
      </c>
      <c r="Y14" s="12">
        <v>428</v>
      </c>
      <c r="Z14" s="12">
        <v>464</v>
      </c>
      <c r="AA14" s="12">
        <v>290</v>
      </c>
      <c r="AB14" s="12">
        <v>385</v>
      </c>
      <c r="AC14" s="12">
        <v>305</v>
      </c>
      <c r="AD14" s="12">
        <v>375</v>
      </c>
      <c r="AE14" s="12">
        <v>354</v>
      </c>
      <c r="AF14" s="12">
        <v>399</v>
      </c>
    </row>
    <row r="15" spans="1:32">
      <c r="A15" s="19"/>
      <c r="B15" s="13" t="s">
        <v>990</v>
      </c>
      <c r="C15" s="14">
        <v>0.35</v>
      </c>
      <c r="D15" s="14">
        <v>0.37</v>
      </c>
      <c r="E15" s="14">
        <v>0.34</v>
      </c>
      <c r="F15" s="14">
        <v>0.37</v>
      </c>
      <c r="G15" s="14">
        <v>0.34</v>
      </c>
      <c r="H15" s="14">
        <v>0.37</v>
      </c>
      <c r="I15" s="14">
        <v>0.36</v>
      </c>
      <c r="J15" s="14">
        <v>0.28999999999999998</v>
      </c>
      <c r="K15" s="14">
        <v>0.44</v>
      </c>
      <c r="L15" s="14">
        <v>0.32</v>
      </c>
      <c r="M15" s="14">
        <v>0.39</v>
      </c>
      <c r="N15" s="14">
        <v>0.2</v>
      </c>
      <c r="O15" s="14">
        <v>0.32</v>
      </c>
      <c r="P15" s="14">
        <v>0.4</v>
      </c>
      <c r="Q15" s="14">
        <v>0.39</v>
      </c>
      <c r="R15" s="14">
        <v>0.35</v>
      </c>
      <c r="S15" s="14">
        <v>0.3</v>
      </c>
      <c r="T15" s="14">
        <v>0.38</v>
      </c>
      <c r="U15" s="14">
        <v>0.2</v>
      </c>
      <c r="V15" s="14">
        <v>0.4</v>
      </c>
      <c r="W15" s="14">
        <v>0.33</v>
      </c>
      <c r="X15" s="14">
        <v>0.45</v>
      </c>
      <c r="Y15" s="14">
        <v>0.43</v>
      </c>
      <c r="Z15" s="14">
        <v>0.46</v>
      </c>
      <c r="AA15" s="14">
        <v>0.28000000000000003</v>
      </c>
      <c r="AB15" s="14">
        <v>0.37</v>
      </c>
      <c r="AC15" s="14">
        <v>0.31</v>
      </c>
      <c r="AD15" s="14">
        <v>0.37</v>
      </c>
      <c r="AE15" s="14">
        <v>0.35</v>
      </c>
      <c r="AF15" s="14">
        <v>0.39</v>
      </c>
    </row>
    <row r="16" spans="1:32">
      <c r="A16" s="19"/>
      <c r="B16" s="11" t="s">
        <v>991</v>
      </c>
      <c r="C16" s="12">
        <v>3016</v>
      </c>
      <c r="D16" s="12">
        <v>137</v>
      </c>
      <c r="E16" s="12">
        <v>97</v>
      </c>
      <c r="F16" s="12">
        <v>106</v>
      </c>
      <c r="G16" s="12">
        <v>217</v>
      </c>
      <c r="H16" s="12">
        <v>210</v>
      </c>
      <c r="I16" s="12">
        <v>267</v>
      </c>
      <c r="J16" s="12">
        <v>57</v>
      </c>
      <c r="K16" s="12">
        <v>179</v>
      </c>
      <c r="L16" s="12">
        <v>73</v>
      </c>
      <c r="M16" s="12">
        <v>127</v>
      </c>
      <c r="N16" s="12">
        <v>41</v>
      </c>
      <c r="O16" s="12">
        <v>66</v>
      </c>
      <c r="P16" s="12">
        <v>148</v>
      </c>
      <c r="Q16" s="12">
        <v>74</v>
      </c>
      <c r="R16" s="12">
        <v>53</v>
      </c>
      <c r="S16" s="12">
        <v>77</v>
      </c>
      <c r="T16" s="12">
        <v>59</v>
      </c>
      <c r="U16" s="12">
        <v>40</v>
      </c>
      <c r="V16" s="12">
        <v>199</v>
      </c>
      <c r="W16" s="12">
        <v>88</v>
      </c>
      <c r="X16" s="12">
        <v>200</v>
      </c>
      <c r="Y16" s="12">
        <v>181</v>
      </c>
      <c r="Z16" s="12">
        <v>129</v>
      </c>
      <c r="AA16" s="12">
        <v>42</v>
      </c>
      <c r="AB16" s="12">
        <v>200</v>
      </c>
      <c r="AC16" s="12">
        <v>63</v>
      </c>
      <c r="AD16" s="12">
        <v>79</v>
      </c>
      <c r="AE16" s="12">
        <v>150</v>
      </c>
      <c r="AF16" s="12">
        <v>114</v>
      </c>
    </row>
    <row r="17" spans="1:32">
      <c r="A17" s="19"/>
      <c r="B17" s="13" t="s">
        <v>992</v>
      </c>
      <c r="C17" s="14">
        <v>0.11</v>
      </c>
      <c r="D17" s="14">
        <v>0.13</v>
      </c>
      <c r="E17" s="14">
        <v>0.09</v>
      </c>
      <c r="F17" s="14">
        <v>0.1</v>
      </c>
      <c r="G17" s="14">
        <v>0.22</v>
      </c>
      <c r="H17" s="14">
        <v>0.17</v>
      </c>
      <c r="I17" s="14">
        <v>0.17</v>
      </c>
      <c r="J17" s="14">
        <v>0.19</v>
      </c>
      <c r="K17" s="14">
        <v>0.18</v>
      </c>
      <c r="L17" s="14">
        <v>7.0000000000000007E-2</v>
      </c>
      <c r="M17" s="14">
        <v>0.13</v>
      </c>
      <c r="N17" s="14">
        <v>0.04</v>
      </c>
      <c r="O17" s="14">
        <v>7.0000000000000007E-2</v>
      </c>
      <c r="P17" s="14">
        <v>0.15</v>
      </c>
      <c r="Q17" s="14">
        <v>7.0000000000000007E-2</v>
      </c>
      <c r="R17" s="14">
        <v>0.11</v>
      </c>
      <c r="S17" s="14">
        <v>0.08</v>
      </c>
      <c r="T17" s="14">
        <v>0.06</v>
      </c>
      <c r="U17" s="14">
        <v>0.08</v>
      </c>
      <c r="V17" s="14">
        <v>0.19</v>
      </c>
      <c r="W17" s="14">
        <v>0.18</v>
      </c>
      <c r="X17" s="14">
        <v>0.2</v>
      </c>
      <c r="Y17" s="14">
        <v>0.18</v>
      </c>
      <c r="Z17" s="14">
        <v>0.13</v>
      </c>
      <c r="AA17" s="14">
        <v>0.04</v>
      </c>
      <c r="AB17" s="14">
        <v>0.19</v>
      </c>
      <c r="AC17" s="14">
        <v>0.06</v>
      </c>
      <c r="AD17" s="14">
        <v>0.08</v>
      </c>
      <c r="AE17" s="14">
        <v>0.15</v>
      </c>
      <c r="AF17" s="14">
        <v>0.11</v>
      </c>
    </row>
    <row r="18" spans="1:32">
      <c r="A18" s="19"/>
      <c r="B18" s="11" t="s">
        <v>993</v>
      </c>
      <c r="C18" s="12">
        <v>910</v>
      </c>
      <c r="D18" s="12">
        <v>15</v>
      </c>
      <c r="E18" s="12">
        <v>28</v>
      </c>
      <c r="F18" s="12">
        <v>19</v>
      </c>
      <c r="G18" s="12">
        <v>53</v>
      </c>
      <c r="H18" s="12">
        <v>116</v>
      </c>
      <c r="I18" s="12">
        <v>133</v>
      </c>
      <c r="J18" s="12">
        <v>17</v>
      </c>
      <c r="K18" s="12">
        <v>27</v>
      </c>
      <c r="L18" s="12">
        <v>24</v>
      </c>
      <c r="M18" s="12">
        <v>19</v>
      </c>
      <c r="N18" s="12">
        <v>11</v>
      </c>
      <c r="O18" s="12">
        <v>12</v>
      </c>
      <c r="P18" s="12">
        <v>38</v>
      </c>
      <c r="Q18" s="12">
        <v>26</v>
      </c>
      <c r="R18" s="12">
        <v>7</v>
      </c>
      <c r="S18" s="12">
        <v>15</v>
      </c>
      <c r="T18" s="12">
        <v>9</v>
      </c>
      <c r="U18" s="12">
        <v>8</v>
      </c>
      <c r="V18" s="12">
        <v>69</v>
      </c>
      <c r="W18" s="12">
        <v>22</v>
      </c>
      <c r="X18" s="12">
        <v>9</v>
      </c>
      <c r="Y18" s="12">
        <v>60</v>
      </c>
      <c r="Z18" s="12">
        <v>23</v>
      </c>
      <c r="AA18" s="12">
        <v>11</v>
      </c>
      <c r="AB18" s="12">
        <v>62</v>
      </c>
      <c r="AC18" s="12">
        <v>12</v>
      </c>
      <c r="AD18" s="12">
        <v>15</v>
      </c>
      <c r="AE18" s="12">
        <v>16</v>
      </c>
      <c r="AF18" s="12">
        <v>15</v>
      </c>
    </row>
    <row r="19" spans="1:32">
      <c r="A19" s="19"/>
      <c r="B19" s="13" t="s">
        <v>994</v>
      </c>
      <c r="C19" s="14">
        <v>0.04</v>
      </c>
      <c r="D19" s="14">
        <v>0.01</v>
      </c>
      <c r="E19" s="14">
        <v>0.03</v>
      </c>
      <c r="F19" s="14">
        <v>0.02</v>
      </c>
      <c r="G19" s="14">
        <v>0.05</v>
      </c>
      <c r="H19" s="14">
        <v>0.1</v>
      </c>
      <c r="I19" s="14">
        <v>0.09</v>
      </c>
      <c r="J19" s="14">
        <v>0.06</v>
      </c>
      <c r="K19" s="14">
        <v>0.03</v>
      </c>
      <c r="L19" s="14">
        <v>0.02</v>
      </c>
      <c r="M19" s="14">
        <v>0.02</v>
      </c>
      <c r="N19" s="14">
        <v>0.01</v>
      </c>
      <c r="O19" s="14">
        <v>0.01</v>
      </c>
      <c r="P19" s="14">
        <v>0.04</v>
      </c>
      <c r="Q19" s="14">
        <v>0.03</v>
      </c>
      <c r="R19" s="14">
        <v>0.01</v>
      </c>
      <c r="S19" s="14">
        <v>0.01</v>
      </c>
      <c r="T19" s="14">
        <v>0.01</v>
      </c>
      <c r="U19" s="14">
        <v>0.02</v>
      </c>
      <c r="V19" s="14">
        <v>7.0000000000000007E-2</v>
      </c>
      <c r="W19" s="14">
        <v>0.04</v>
      </c>
      <c r="X19" s="14">
        <v>0.01</v>
      </c>
      <c r="Y19" s="14">
        <v>0.06</v>
      </c>
      <c r="Z19" s="14">
        <v>0.02</v>
      </c>
      <c r="AA19" s="14">
        <v>0.01</v>
      </c>
      <c r="AB19" s="14">
        <v>0.06</v>
      </c>
      <c r="AC19" s="14">
        <v>0.01</v>
      </c>
      <c r="AD19" s="14">
        <v>0.02</v>
      </c>
      <c r="AE19" s="14">
        <v>0.02</v>
      </c>
      <c r="AF19" s="14">
        <v>0.01</v>
      </c>
    </row>
    <row r="20" spans="1:32">
      <c r="A20" s="19"/>
      <c r="B20" s="11" t="s">
        <v>386</v>
      </c>
      <c r="C20" s="12">
        <v>471</v>
      </c>
      <c r="D20" s="12">
        <v>7</v>
      </c>
      <c r="E20" s="12">
        <v>25</v>
      </c>
      <c r="F20" s="12">
        <v>26</v>
      </c>
      <c r="G20" s="12">
        <v>10</v>
      </c>
      <c r="H20" s="12">
        <v>39</v>
      </c>
      <c r="I20" s="12">
        <v>43</v>
      </c>
      <c r="J20" s="12">
        <v>4</v>
      </c>
      <c r="K20" s="12">
        <v>15</v>
      </c>
      <c r="L20" s="12">
        <v>13</v>
      </c>
      <c r="M20" s="12">
        <v>14</v>
      </c>
      <c r="N20" s="12">
        <v>10</v>
      </c>
      <c r="O20" s="12">
        <v>25</v>
      </c>
      <c r="P20" s="12">
        <v>36</v>
      </c>
      <c r="Q20" s="12">
        <v>5</v>
      </c>
      <c r="R20" s="12">
        <v>17</v>
      </c>
      <c r="S20" s="12">
        <v>11</v>
      </c>
      <c r="T20" s="12">
        <v>10</v>
      </c>
      <c r="U20" s="12">
        <v>2</v>
      </c>
      <c r="V20" s="12">
        <v>19</v>
      </c>
      <c r="W20" s="12">
        <v>3</v>
      </c>
      <c r="X20" s="12">
        <v>2</v>
      </c>
      <c r="Y20" s="12">
        <v>25</v>
      </c>
      <c r="Z20" s="12">
        <v>14</v>
      </c>
      <c r="AA20" s="12">
        <v>31</v>
      </c>
      <c r="AB20" s="12">
        <v>44</v>
      </c>
      <c r="AC20" s="12">
        <v>1</v>
      </c>
      <c r="AD20" s="12">
        <v>8</v>
      </c>
      <c r="AE20" s="12">
        <v>7</v>
      </c>
      <c r="AF20" s="12">
        <v>5</v>
      </c>
    </row>
    <row r="21" spans="1:32">
      <c r="A21" s="19"/>
      <c r="B21" s="13" t="s">
        <v>399</v>
      </c>
      <c r="C21" s="14">
        <v>0.02</v>
      </c>
      <c r="D21" s="14">
        <v>0.01</v>
      </c>
      <c r="E21" s="14">
        <v>0.02</v>
      </c>
      <c r="F21" s="14">
        <v>0.02</v>
      </c>
      <c r="G21" s="14">
        <v>0.01</v>
      </c>
      <c r="H21" s="14">
        <v>0.03</v>
      </c>
      <c r="I21" s="14">
        <v>0.03</v>
      </c>
      <c r="J21" s="14">
        <v>0.01</v>
      </c>
      <c r="K21" s="14">
        <v>0.01</v>
      </c>
      <c r="L21" s="14">
        <v>0.01</v>
      </c>
      <c r="M21" s="14">
        <v>0.01</v>
      </c>
      <c r="N21" s="14">
        <v>0.01</v>
      </c>
      <c r="O21" s="14">
        <v>0.02</v>
      </c>
      <c r="P21" s="14">
        <v>0.04</v>
      </c>
      <c r="Q21" s="14">
        <v>0.01</v>
      </c>
      <c r="R21" s="14">
        <v>0.03</v>
      </c>
      <c r="S21" s="14">
        <v>0.01</v>
      </c>
      <c r="T21" s="14">
        <v>0.01</v>
      </c>
      <c r="U21" s="15" t="s">
        <v>375</v>
      </c>
      <c r="V21" s="14">
        <v>0.02</v>
      </c>
      <c r="W21" s="14">
        <v>0.01</v>
      </c>
      <c r="X21" s="15" t="s">
        <v>375</v>
      </c>
      <c r="Y21" s="14">
        <v>0.02</v>
      </c>
      <c r="Z21" s="14">
        <v>0.01</v>
      </c>
      <c r="AA21" s="14">
        <v>0.03</v>
      </c>
      <c r="AB21" s="14">
        <v>0.04</v>
      </c>
      <c r="AC21" s="15" t="s">
        <v>375</v>
      </c>
      <c r="AD21" s="14">
        <v>0.01</v>
      </c>
      <c r="AE21" s="14">
        <v>0.01</v>
      </c>
      <c r="AF21" s="14">
        <v>0.01</v>
      </c>
    </row>
    <row r="22" spans="1:32">
      <c r="A22" s="19"/>
      <c r="B22" s="11" t="s">
        <v>916</v>
      </c>
      <c r="C22" s="12">
        <v>22055</v>
      </c>
      <c r="D22" s="12">
        <v>862</v>
      </c>
      <c r="E22" s="12">
        <v>896</v>
      </c>
      <c r="F22" s="12">
        <v>913</v>
      </c>
      <c r="G22" s="12">
        <v>735</v>
      </c>
      <c r="H22" s="12">
        <v>865</v>
      </c>
      <c r="I22" s="12">
        <v>1084</v>
      </c>
      <c r="J22" s="12">
        <v>218</v>
      </c>
      <c r="K22" s="12">
        <v>785</v>
      </c>
      <c r="L22" s="12">
        <v>896</v>
      </c>
      <c r="M22" s="12">
        <v>847</v>
      </c>
      <c r="N22" s="12">
        <v>949</v>
      </c>
      <c r="O22" s="12">
        <v>902</v>
      </c>
      <c r="P22" s="12">
        <v>782</v>
      </c>
      <c r="Q22" s="12">
        <v>925</v>
      </c>
      <c r="R22" s="12">
        <v>423</v>
      </c>
      <c r="S22" s="12">
        <v>901</v>
      </c>
      <c r="T22" s="12">
        <v>944</v>
      </c>
      <c r="U22" s="12">
        <v>459</v>
      </c>
      <c r="V22" s="12">
        <v>739</v>
      </c>
      <c r="W22" s="12">
        <v>390</v>
      </c>
      <c r="X22" s="12">
        <v>798</v>
      </c>
      <c r="Y22" s="12">
        <v>738</v>
      </c>
      <c r="Z22" s="12">
        <v>850</v>
      </c>
      <c r="AA22" s="12">
        <v>954</v>
      </c>
      <c r="AB22" s="12">
        <v>735</v>
      </c>
      <c r="AC22" s="12">
        <v>929</v>
      </c>
      <c r="AD22" s="12">
        <v>901</v>
      </c>
      <c r="AE22" s="12">
        <v>828</v>
      </c>
      <c r="AF22" s="12">
        <v>897</v>
      </c>
    </row>
    <row r="23" spans="1:32">
      <c r="A23" s="19"/>
      <c r="B23" s="13" t="s">
        <v>917</v>
      </c>
      <c r="C23" s="14">
        <v>0.83000000000000007</v>
      </c>
      <c r="D23" s="14">
        <v>0.85</v>
      </c>
      <c r="E23" s="14">
        <v>0.86</v>
      </c>
      <c r="F23" s="14">
        <v>0.86</v>
      </c>
      <c r="G23" s="14">
        <v>0.72</v>
      </c>
      <c r="H23" s="14">
        <v>0.70000000000000007</v>
      </c>
      <c r="I23" s="14">
        <v>0.71</v>
      </c>
      <c r="J23" s="14">
        <v>0.74</v>
      </c>
      <c r="K23" s="14">
        <v>0.78</v>
      </c>
      <c r="L23" s="14">
        <v>0.9</v>
      </c>
      <c r="M23" s="14">
        <v>0.84</v>
      </c>
      <c r="N23" s="14">
        <v>0.94000000000000006</v>
      </c>
      <c r="O23" s="14">
        <v>0.9</v>
      </c>
      <c r="P23" s="14">
        <v>0.77</v>
      </c>
      <c r="Q23" s="14">
        <v>0.89</v>
      </c>
      <c r="R23" s="14">
        <v>0.85</v>
      </c>
      <c r="S23" s="14">
        <v>0.9</v>
      </c>
      <c r="T23" s="14">
        <v>0.92</v>
      </c>
      <c r="U23" s="14">
        <v>0.9</v>
      </c>
      <c r="V23" s="14">
        <v>0.72</v>
      </c>
      <c r="W23" s="14">
        <v>0.77</v>
      </c>
      <c r="X23" s="14">
        <v>0.79</v>
      </c>
      <c r="Y23" s="14">
        <v>0.74</v>
      </c>
      <c r="Z23" s="14">
        <v>0.84</v>
      </c>
      <c r="AA23" s="14">
        <v>0.92</v>
      </c>
      <c r="AB23" s="14">
        <v>0.71</v>
      </c>
      <c r="AC23" s="14">
        <v>0.93</v>
      </c>
      <c r="AD23" s="14">
        <v>0.89</v>
      </c>
      <c r="AE23" s="14">
        <v>0.82000000000000006</v>
      </c>
      <c r="AF23" s="14">
        <v>0.87</v>
      </c>
    </row>
    <row r="24" spans="1:32">
      <c r="A24" s="19"/>
      <c r="B24" s="11" t="s">
        <v>912</v>
      </c>
      <c r="C24" s="12">
        <v>3926</v>
      </c>
      <c r="D24" s="12">
        <v>152</v>
      </c>
      <c r="E24" s="12">
        <v>125</v>
      </c>
      <c r="F24" s="12">
        <v>125</v>
      </c>
      <c r="G24" s="12">
        <v>270</v>
      </c>
      <c r="H24" s="12">
        <v>326</v>
      </c>
      <c r="I24" s="12">
        <v>400</v>
      </c>
      <c r="J24" s="12">
        <v>74</v>
      </c>
      <c r="K24" s="12">
        <v>206</v>
      </c>
      <c r="L24" s="12">
        <v>97</v>
      </c>
      <c r="M24" s="12">
        <v>146</v>
      </c>
      <c r="N24" s="12">
        <v>52</v>
      </c>
      <c r="O24" s="12">
        <v>78</v>
      </c>
      <c r="P24" s="12">
        <v>186</v>
      </c>
      <c r="Q24" s="12">
        <v>100</v>
      </c>
      <c r="R24" s="12">
        <v>60</v>
      </c>
      <c r="S24" s="12">
        <v>92</v>
      </c>
      <c r="T24" s="12">
        <v>68</v>
      </c>
      <c r="U24" s="12">
        <v>48</v>
      </c>
      <c r="V24" s="12">
        <v>268</v>
      </c>
      <c r="W24" s="12">
        <v>110</v>
      </c>
      <c r="X24" s="12">
        <v>209</v>
      </c>
      <c r="Y24" s="12">
        <v>241</v>
      </c>
      <c r="Z24" s="12">
        <v>152</v>
      </c>
      <c r="AA24" s="12">
        <v>53</v>
      </c>
      <c r="AB24" s="12">
        <v>262</v>
      </c>
      <c r="AC24" s="12">
        <v>75</v>
      </c>
      <c r="AD24" s="12">
        <v>94</v>
      </c>
      <c r="AE24" s="12">
        <v>166</v>
      </c>
      <c r="AF24" s="12">
        <v>129</v>
      </c>
    </row>
    <row r="25" spans="1:32">
      <c r="A25" s="19"/>
      <c r="B25" s="13" t="s">
        <v>995</v>
      </c>
      <c r="C25" s="14">
        <v>0.15</v>
      </c>
      <c r="D25" s="14">
        <v>0.14000000000000001</v>
      </c>
      <c r="E25" s="14">
        <v>0.12</v>
      </c>
      <c r="F25" s="14">
        <v>0.12</v>
      </c>
      <c r="G25" s="14">
        <v>0.27</v>
      </c>
      <c r="H25" s="14">
        <v>0.27</v>
      </c>
      <c r="I25" s="14">
        <v>0.26</v>
      </c>
      <c r="J25" s="14">
        <v>0.25</v>
      </c>
      <c r="K25" s="14">
        <v>0.21</v>
      </c>
      <c r="L25" s="14">
        <v>0.09</v>
      </c>
      <c r="M25" s="14">
        <v>0.15</v>
      </c>
      <c r="N25" s="14">
        <v>0.05</v>
      </c>
      <c r="O25" s="14">
        <v>0.08</v>
      </c>
      <c r="P25" s="14">
        <v>0.19</v>
      </c>
      <c r="Q25" s="14">
        <v>0.1</v>
      </c>
      <c r="R25" s="14">
        <v>0.12</v>
      </c>
      <c r="S25" s="14">
        <v>0.09</v>
      </c>
      <c r="T25" s="14">
        <v>7.0000000000000007E-2</v>
      </c>
      <c r="U25" s="14">
        <v>0.1</v>
      </c>
      <c r="V25" s="14">
        <v>0.26</v>
      </c>
      <c r="W25" s="14">
        <v>0.22</v>
      </c>
      <c r="X25" s="14">
        <v>0.21</v>
      </c>
      <c r="Y25" s="14">
        <v>0.24</v>
      </c>
      <c r="Z25" s="14">
        <v>0.15</v>
      </c>
      <c r="AA25" s="14">
        <v>0.05</v>
      </c>
      <c r="AB25" s="14">
        <v>0.25</v>
      </c>
      <c r="AC25" s="14">
        <v>7.0000000000000007E-2</v>
      </c>
      <c r="AD25" s="14">
        <v>0.1</v>
      </c>
      <c r="AE25" s="14">
        <v>0.17</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1008</v>
      </c>
      <c r="C3" s="17"/>
      <c r="D3" s="17"/>
      <c r="E3" s="17"/>
      <c r="F3" s="17"/>
      <c r="H3" s="17" t="s">
        <v>1009</v>
      </c>
      <c r="I3" s="17"/>
      <c r="J3" s="17"/>
      <c r="K3" s="17"/>
      <c r="L3" s="17"/>
    </row>
    <row r="4" spans="1:32" ht="27" customHeight="1">
      <c r="B4" s="17" t="s">
        <v>1010</v>
      </c>
      <c r="C4" s="17"/>
      <c r="D4" s="17"/>
      <c r="E4" s="17"/>
      <c r="F4" s="17"/>
      <c r="H4" s="17" t="s">
        <v>1011</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987</v>
      </c>
      <c r="C12" s="12">
        <v>12947</v>
      </c>
      <c r="D12" s="12">
        <v>521</v>
      </c>
      <c r="E12" s="12">
        <v>544</v>
      </c>
      <c r="F12" s="12">
        <v>499</v>
      </c>
      <c r="G12" s="12">
        <v>388</v>
      </c>
      <c r="H12" s="12">
        <v>425</v>
      </c>
      <c r="I12" s="12">
        <v>555</v>
      </c>
      <c r="J12" s="12">
        <v>130</v>
      </c>
      <c r="K12" s="12">
        <v>352</v>
      </c>
      <c r="L12" s="12">
        <v>563</v>
      </c>
      <c r="M12" s="12">
        <v>460</v>
      </c>
      <c r="N12" s="12">
        <v>727</v>
      </c>
      <c r="O12" s="12">
        <v>647</v>
      </c>
      <c r="P12" s="12">
        <v>379</v>
      </c>
      <c r="Q12" s="12">
        <v>539</v>
      </c>
      <c r="R12" s="12">
        <v>286</v>
      </c>
      <c r="S12" s="12">
        <v>587</v>
      </c>
      <c r="T12" s="12">
        <v>526</v>
      </c>
      <c r="U12" s="12">
        <v>380</v>
      </c>
      <c r="V12" s="12">
        <v>307</v>
      </c>
      <c r="W12" s="12">
        <v>206</v>
      </c>
      <c r="X12" s="12">
        <v>338</v>
      </c>
      <c r="Y12" s="12">
        <v>351</v>
      </c>
      <c r="Z12" s="12">
        <v>391</v>
      </c>
      <c r="AA12" s="12">
        <v>658</v>
      </c>
      <c r="AB12" s="12">
        <v>342</v>
      </c>
      <c r="AC12" s="12">
        <v>586</v>
      </c>
      <c r="AD12" s="12">
        <v>479</v>
      </c>
      <c r="AE12" s="12">
        <v>456</v>
      </c>
      <c r="AF12" s="12">
        <v>365</v>
      </c>
    </row>
    <row r="13" spans="1:32">
      <c r="A13" s="19"/>
      <c r="B13" s="13" t="s">
        <v>988</v>
      </c>
      <c r="C13" s="14">
        <v>0.49</v>
      </c>
      <c r="D13" s="14">
        <v>0.51</v>
      </c>
      <c r="E13" s="14">
        <v>0.52</v>
      </c>
      <c r="F13" s="14">
        <v>0.47</v>
      </c>
      <c r="G13" s="14">
        <v>0.38</v>
      </c>
      <c r="H13" s="14">
        <v>0.34</v>
      </c>
      <c r="I13" s="14">
        <v>0.36</v>
      </c>
      <c r="J13" s="14">
        <v>0.44</v>
      </c>
      <c r="K13" s="14">
        <v>0.35</v>
      </c>
      <c r="L13" s="14">
        <v>0.56000000000000005</v>
      </c>
      <c r="M13" s="14">
        <v>0.46</v>
      </c>
      <c r="N13" s="14">
        <v>0.72</v>
      </c>
      <c r="O13" s="14">
        <v>0.65</v>
      </c>
      <c r="P13" s="14">
        <v>0.38</v>
      </c>
      <c r="Q13" s="14">
        <v>0.52</v>
      </c>
      <c r="R13" s="14">
        <v>0.57000000000000006</v>
      </c>
      <c r="S13" s="14">
        <v>0.59</v>
      </c>
      <c r="T13" s="14">
        <v>0.51</v>
      </c>
      <c r="U13" s="14">
        <v>0.75</v>
      </c>
      <c r="V13" s="14">
        <v>0.3</v>
      </c>
      <c r="W13" s="14">
        <v>0.41</v>
      </c>
      <c r="X13" s="14">
        <v>0.33</v>
      </c>
      <c r="Y13" s="14">
        <v>0.35</v>
      </c>
      <c r="Z13" s="14">
        <v>0.38</v>
      </c>
      <c r="AA13" s="14">
        <v>0.63</v>
      </c>
      <c r="AB13" s="14">
        <v>0.33</v>
      </c>
      <c r="AC13" s="14">
        <v>0.59</v>
      </c>
      <c r="AD13" s="14">
        <v>0.48</v>
      </c>
      <c r="AE13" s="14">
        <v>0.46</v>
      </c>
      <c r="AF13" s="14">
        <v>0.35</v>
      </c>
    </row>
    <row r="14" spans="1:32">
      <c r="A14" s="19"/>
      <c r="B14" s="11" t="s">
        <v>989</v>
      </c>
      <c r="C14" s="12">
        <v>9632</v>
      </c>
      <c r="D14" s="12">
        <v>358</v>
      </c>
      <c r="E14" s="12">
        <v>359</v>
      </c>
      <c r="F14" s="12">
        <v>394</v>
      </c>
      <c r="G14" s="12">
        <v>373</v>
      </c>
      <c r="H14" s="12">
        <v>491</v>
      </c>
      <c r="I14" s="12">
        <v>599</v>
      </c>
      <c r="J14" s="12">
        <v>107</v>
      </c>
      <c r="K14" s="12">
        <v>437</v>
      </c>
      <c r="L14" s="12">
        <v>321</v>
      </c>
      <c r="M14" s="12">
        <v>445</v>
      </c>
      <c r="N14" s="12">
        <v>232</v>
      </c>
      <c r="O14" s="12">
        <v>295</v>
      </c>
      <c r="P14" s="12">
        <v>411</v>
      </c>
      <c r="Q14" s="12">
        <v>407</v>
      </c>
      <c r="R14" s="12">
        <v>160</v>
      </c>
      <c r="S14" s="12">
        <v>298</v>
      </c>
      <c r="T14" s="12">
        <v>429</v>
      </c>
      <c r="U14" s="12">
        <v>89</v>
      </c>
      <c r="V14" s="12">
        <v>469</v>
      </c>
      <c r="W14" s="12">
        <v>198</v>
      </c>
      <c r="X14" s="12">
        <v>472</v>
      </c>
      <c r="Y14" s="12">
        <v>419</v>
      </c>
      <c r="Z14" s="12">
        <v>478</v>
      </c>
      <c r="AA14" s="12">
        <v>306</v>
      </c>
      <c r="AB14" s="12">
        <v>376</v>
      </c>
      <c r="AC14" s="12">
        <v>312</v>
      </c>
      <c r="AD14" s="12">
        <v>412</v>
      </c>
      <c r="AE14" s="12">
        <v>365</v>
      </c>
      <c r="AF14" s="12">
        <v>388</v>
      </c>
    </row>
    <row r="15" spans="1:32">
      <c r="A15" s="19"/>
      <c r="B15" s="13" t="s">
        <v>990</v>
      </c>
      <c r="C15" s="14">
        <v>0.36</v>
      </c>
      <c r="D15" s="14">
        <v>0.35</v>
      </c>
      <c r="E15" s="14">
        <v>0.34</v>
      </c>
      <c r="F15" s="14">
        <v>0.37</v>
      </c>
      <c r="G15" s="14">
        <v>0.37</v>
      </c>
      <c r="H15" s="14">
        <v>0.4</v>
      </c>
      <c r="I15" s="14">
        <v>0.39</v>
      </c>
      <c r="J15" s="14">
        <v>0.36</v>
      </c>
      <c r="K15" s="14">
        <v>0.43</v>
      </c>
      <c r="L15" s="14">
        <v>0.32</v>
      </c>
      <c r="M15" s="14">
        <v>0.44</v>
      </c>
      <c r="N15" s="14">
        <v>0.23</v>
      </c>
      <c r="O15" s="14">
        <v>0.28999999999999998</v>
      </c>
      <c r="P15" s="14">
        <v>0.41</v>
      </c>
      <c r="Q15" s="14">
        <v>0.4</v>
      </c>
      <c r="R15" s="14">
        <v>0.32</v>
      </c>
      <c r="S15" s="14">
        <v>0.3</v>
      </c>
      <c r="T15" s="14">
        <v>0.42</v>
      </c>
      <c r="U15" s="14">
        <v>0.18</v>
      </c>
      <c r="V15" s="14">
        <v>0.46</v>
      </c>
      <c r="W15" s="14">
        <v>0.39</v>
      </c>
      <c r="X15" s="14">
        <v>0.47</v>
      </c>
      <c r="Y15" s="14">
        <v>0.42</v>
      </c>
      <c r="Z15" s="14">
        <v>0.47</v>
      </c>
      <c r="AA15" s="14">
        <v>0.28999999999999998</v>
      </c>
      <c r="AB15" s="14">
        <v>0.36</v>
      </c>
      <c r="AC15" s="14">
        <v>0.31</v>
      </c>
      <c r="AD15" s="14">
        <v>0.41</v>
      </c>
      <c r="AE15" s="14">
        <v>0.36</v>
      </c>
      <c r="AF15" s="14">
        <v>0.38</v>
      </c>
    </row>
    <row r="16" spans="1:32">
      <c r="A16" s="19"/>
      <c r="B16" s="11" t="s">
        <v>991</v>
      </c>
      <c r="C16" s="12">
        <v>2638</v>
      </c>
      <c r="D16" s="12">
        <v>119</v>
      </c>
      <c r="E16" s="12">
        <v>91</v>
      </c>
      <c r="F16" s="12">
        <v>119</v>
      </c>
      <c r="G16" s="12">
        <v>196</v>
      </c>
      <c r="H16" s="12">
        <v>180</v>
      </c>
      <c r="I16" s="12">
        <v>224</v>
      </c>
      <c r="J16" s="12">
        <v>44</v>
      </c>
      <c r="K16" s="12">
        <v>172</v>
      </c>
      <c r="L16" s="12">
        <v>87</v>
      </c>
      <c r="M16" s="12">
        <v>77</v>
      </c>
      <c r="N16" s="12">
        <v>35</v>
      </c>
      <c r="O16" s="12">
        <v>29</v>
      </c>
      <c r="P16" s="12">
        <v>140</v>
      </c>
      <c r="Q16" s="12">
        <v>66</v>
      </c>
      <c r="R16" s="12">
        <v>28</v>
      </c>
      <c r="S16" s="12">
        <v>94</v>
      </c>
      <c r="T16" s="12">
        <v>47</v>
      </c>
      <c r="U16" s="12">
        <v>32</v>
      </c>
      <c r="V16" s="12">
        <v>179</v>
      </c>
      <c r="W16" s="12">
        <v>67</v>
      </c>
      <c r="X16" s="12">
        <v>180</v>
      </c>
      <c r="Y16" s="12">
        <v>153</v>
      </c>
      <c r="Z16" s="12">
        <v>111</v>
      </c>
      <c r="AA16" s="12">
        <v>37</v>
      </c>
      <c r="AB16" s="12">
        <v>206</v>
      </c>
      <c r="AC16" s="12">
        <v>94</v>
      </c>
      <c r="AD16" s="12">
        <v>84</v>
      </c>
      <c r="AE16" s="12">
        <v>154</v>
      </c>
      <c r="AF16" s="12">
        <v>240</v>
      </c>
    </row>
    <row r="17" spans="1:32">
      <c r="A17" s="19"/>
      <c r="B17" s="13" t="s">
        <v>992</v>
      </c>
      <c r="C17" s="14">
        <v>0.1</v>
      </c>
      <c r="D17" s="14">
        <v>0.12</v>
      </c>
      <c r="E17" s="14">
        <v>0.09</v>
      </c>
      <c r="F17" s="14">
        <v>0.11</v>
      </c>
      <c r="G17" s="14">
        <v>0.19</v>
      </c>
      <c r="H17" s="14">
        <v>0.15</v>
      </c>
      <c r="I17" s="14">
        <v>0.15</v>
      </c>
      <c r="J17" s="14">
        <v>0.15</v>
      </c>
      <c r="K17" s="14">
        <v>0.17</v>
      </c>
      <c r="L17" s="14">
        <v>0.09</v>
      </c>
      <c r="M17" s="14">
        <v>0.08</v>
      </c>
      <c r="N17" s="14">
        <v>0.03</v>
      </c>
      <c r="O17" s="14">
        <v>0.03</v>
      </c>
      <c r="P17" s="14">
        <v>0.14000000000000001</v>
      </c>
      <c r="Q17" s="14">
        <v>0.06</v>
      </c>
      <c r="R17" s="14">
        <v>0.06</v>
      </c>
      <c r="S17" s="14">
        <v>0.09</v>
      </c>
      <c r="T17" s="14">
        <v>0.05</v>
      </c>
      <c r="U17" s="14">
        <v>0.06</v>
      </c>
      <c r="V17" s="14">
        <v>0.18</v>
      </c>
      <c r="W17" s="14">
        <v>0.13</v>
      </c>
      <c r="X17" s="14">
        <v>0.18</v>
      </c>
      <c r="Y17" s="14">
        <v>0.15</v>
      </c>
      <c r="Z17" s="14">
        <v>0.11</v>
      </c>
      <c r="AA17" s="14">
        <v>0.04</v>
      </c>
      <c r="AB17" s="14">
        <v>0.2</v>
      </c>
      <c r="AC17" s="14">
        <v>0.09</v>
      </c>
      <c r="AD17" s="14">
        <v>0.08</v>
      </c>
      <c r="AE17" s="14">
        <v>0.15</v>
      </c>
      <c r="AF17" s="14">
        <v>0.23</v>
      </c>
    </row>
    <row r="18" spans="1:32">
      <c r="A18" s="19"/>
      <c r="B18" s="11" t="s">
        <v>993</v>
      </c>
      <c r="C18" s="12">
        <v>775</v>
      </c>
      <c r="D18" s="12">
        <v>16</v>
      </c>
      <c r="E18" s="12">
        <v>24</v>
      </c>
      <c r="F18" s="12">
        <v>26</v>
      </c>
      <c r="G18" s="12">
        <v>44</v>
      </c>
      <c r="H18" s="12">
        <v>93</v>
      </c>
      <c r="I18" s="12">
        <v>106</v>
      </c>
      <c r="J18" s="12">
        <v>13</v>
      </c>
      <c r="K18" s="12">
        <v>26</v>
      </c>
      <c r="L18" s="12">
        <v>23</v>
      </c>
      <c r="M18" s="12">
        <v>13</v>
      </c>
      <c r="N18" s="12">
        <v>10</v>
      </c>
      <c r="O18" s="12">
        <v>11</v>
      </c>
      <c r="P18" s="12">
        <v>36</v>
      </c>
      <c r="Q18" s="12">
        <v>12</v>
      </c>
      <c r="R18" s="12">
        <v>11</v>
      </c>
      <c r="S18" s="12">
        <v>14</v>
      </c>
      <c r="T18" s="12">
        <v>10</v>
      </c>
      <c r="U18" s="12">
        <v>6</v>
      </c>
      <c r="V18" s="12">
        <v>66</v>
      </c>
      <c r="W18" s="12">
        <v>28</v>
      </c>
      <c r="X18" s="12">
        <v>14</v>
      </c>
      <c r="Y18" s="12">
        <v>62</v>
      </c>
      <c r="Z18" s="12">
        <v>19</v>
      </c>
      <c r="AA18" s="12">
        <v>6</v>
      </c>
      <c r="AB18" s="12">
        <v>73</v>
      </c>
      <c r="AC18" s="12">
        <v>12</v>
      </c>
      <c r="AD18" s="12">
        <v>20</v>
      </c>
      <c r="AE18" s="12">
        <v>19</v>
      </c>
      <c r="AF18" s="12">
        <v>31</v>
      </c>
    </row>
    <row r="19" spans="1:32">
      <c r="A19" s="19"/>
      <c r="B19" s="13" t="s">
        <v>994</v>
      </c>
      <c r="C19" s="14">
        <v>0.03</v>
      </c>
      <c r="D19" s="14">
        <v>0.02</v>
      </c>
      <c r="E19" s="14">
        <v>0.02</v>
      </c>
      <c r="F19" s="14">
        <v>0.03</v>
      </c>
      <c r="G19" s="14">
        <v>0.04</v>
      </c>
      <c r="H19" s="14">
        <v>0.08</v>
      </c>
      <c r="I19" s="14">
        <v>7.0000000000000007E-2</v>
      </c>
      <c r="J19" s="14">
        <v>0.04</v>
      </c>
      <c r="K19" s="14">
        <v>0.03</v>
      </c>
      <c r="L19" s="14">
        <v>0.02</v>
      </c>
      <c r="M19" s="14">
        <v>0.01</v>
      </c>
      <c r="N19" s="14">
        <v>0.01</v>
      </c>
      <c r="O19" s="14">
        <v>0.01</v>
      </c>
      <c r="P19" s="14">
        <v>0.03</v>
      </c>
      <c r="Q19" s="14">
        <v>0.01</v>
      </c>
      <c r="R19" s="14">
        <v>0.02</v>
      </c>
      <c r="S19" s="14">
        <v>0.01</v>
      </c>
      <c r="T19" s="14">
        <v>0.01</v>
      </c>
      <c r="U19" s="14">
        <v>0.01</v>
      </c>
      <c r="V19" s="14">
        <v>0.06</v>
      </c>
      <c r="W19" s="14">
        <v>0.06</v>
      </c>
      <c r="X19" s="14">
        <v>0.01</v>
      </c>
      <c r="Y19" s="14">
        <v>0.06</v>
      </c>
      <c r="Z19" s="14">
        <v>0.02</v>
      </c>
      <c r="AA19" s="14">
        <v>0.01</v>
      </c>
      <c r="AB19" s="14">
        <v>7.0000000000000007E-2</v>
      </c>
      <c r="AC19" s="14">
        <v>0.01</v>
      </c>
      <c r="AD19" s="14">
        <v>0.02</v>
      </c>
      <c r="AE19" s="14">
        <v>0.02</v>
      </c>
      <c r="AF19" s="14">
        <v>0.03</v>
      </c>
    </row>
    <row r="20" spans="1:32">
      <c r="A20" s="19"/>
      <c r="B20" s="11" t="s">
        <v>386</v>
      </c>
      <c r="C20" s="12">
        <v>461</v>
      </c>
      <c r="D20" s="12">
        <v>6</v>
      </c>
      <c r="E20" s="12">
        <v>28</v>
      </c>
      <c r="F20" s="12">
        <v>26</v>
      </c>
      <c r="G20" s="12">
        <v>14</v>
      </c>
      <c r="H20" s="12">
        <v>41</v>
      </c>
      <c r="I20" s="12">
        <v>44</v>
      </c>
      <c r="J20" s="12">
        <v>3</v>
      </c>
      <c r="K20" s="12">
        <v>20</v>
      </c>
      <c r="L20" s="12">
        <v>12</v>
      </c>
      <c r="M20" s="12">
        <v>12</v>
      </c>
      <c r="N20" s="12">
        <v>7</v>
      </c>
      <c r="O20" s="12">
        <v>23</v>
      </c>
      <c r="P20" s="12">
        <v>37</v>
      </c>
      <c r="Q20" s="12">
        <v>6</v>
      </c>
      <c r="R20" s="12">
        <v>16</v>
      </c>
      <c r="S20" s="12">
        <v>11</v>
      </c>
      <c r="T20" s="12">
        <v>10</v>
      </c>
      <c r="U20" s="12">
        <v>1</v>
      </c>
      <c r="V20" s="12">
        <v>5</v>
      </c>
      <c r="W20" s="12">
        <v>3</v>
      </c>
      <c r="X20" s="12">
        <v>5</v>
      </c>
      <c r="Y20" s="12">
        <v>19</v>
      </c>
      <c r="Z20" s="12">
        <v>17</v>
      </c>
      <c r="AA20" s="12">
        <v>29</v>
      </c>
      <c r="AB20" s="12">
        <v>44</v>
      </c>
      <c r="AC20" s="12">
        <v>0</v>
      </c>
      <c r="AD20" s="12">
        <v>9</v>
      </c>
      <c r="AE20" s="12">
        <v>7</v>
      </c>
      <c r="AF20" s="12">
        <v>7</v>
      </c>
    </row>
    <row r="21" spans="1:32">
      <c r="A21" s="19"/>
      <c r="B21" s="13" t="s">
        <v>399</v>
      </c>
      <c r="C21" s="14">
        <v>0.02</v>
      </c>
      <c r="D21" s="15" t="s">
        <v>375</v>
      </c>
      <c r="E21" s="14">
        <v>0.03</v>
      </c>
      <c r="F21" s="14">
        <v>0.02</v>
      </c>
      <c r="G21" s="14">
        <v>0.02</v>
      </c>
      <c r="H21" s="14">
        <v>0.03</v>
      </c>
      <c r="I21" s="14">
        <v>0.03</v>
      </c>
      <c r="J21" s="14">
        <v>0.01</v>
      </c>
      <c r="K21" s="14">
        <v>0.02</v>
      </c>
      <c r="L21" s="14">
        <v>0.01</v>
      </c>
      <c r="M21" s="14">
        <v>0.01</v>
      </c>
      <c r="N21" s="14">
        <v>0.01</v>
      </c>
      <c r="O21" s="14">
        <v>0.02</v>
      </c>
      <c r="P21" s="14">
        <v>0.04</v>
      </c>
      <c r="Q21" s="14">
        <v>0.01</v>
      </c>
      <c r="R21" s="14">
        <v>0.03</v>
      </c>
      <c r="S21" s="14">
        <v>0.01</v>
      </c>
      <c r="T21" s="14">
        <v>0.01</v>
      </c>
      <c r="U21" s="15" t="s">
        <v>375</v>
      </c>
      <c r="V21" s="15" t="s">
        <v>375</v>
      </c>
      <c r="W21" s="14">
        <v>0.01</v>
      </c>
      <c r="X21" s="14">
        <v>0.01</v>
      </c>
      <c r="Y21" s="14">
        <v>0.02</v>
      </c>
      <c r="Z21" s="14">
        <v>0.02</v>
      </c>
      <c r="AA21" s="14">
        <v>0.03</v>
      </c>
      <c r="AB21" s="14">
        <v>0.04</v>
      </c>
      <c r="AC21" s="15" t="s">
        <v>375</v>
      </c>
      <c r="AD21" s="14">
        <v>0.01</v>
      </c>
      <c r="AE21" s="14">
        <v>0.01</v>
      </c>
      <c r="AF21" s="14">
        <v>0.01</v>
      </c>
    </row>
    <row r="22" spans="1:32">
      <c r="A22" s="19"/>
      <c r="B22" s="11" t="s">
        <v>916</v>
      </c>
      <c r="C22" s="12">
        <v>22579</v>
      </c>
      <c r="D22" s="12">
        <v>879</v>
      </c>
      <c r="E22" s="12">
        <v>903</v>
      </c>
      <c r="F22" s="12">
        <v>893</v>
      </c>
      <c r="G22" s="12">
        <v>761</v>
      </c>
      <c r="H22" s="12">
        <v>916</v>
      </c>
      <c r="I22" s="12">
        <v>1154</v>
      </c>
      <c r="J22" s="12">
        <v>237</v>
      </c>
      <c r="K22" s="12">
        <v>789</v>
      </c>
      <c r="L22" s="12">
        <v>884</v>
      </c>
      <c r="M22" s="12">
        <v>905</v>
      </c>
      <c r="N22" s="12">
        <v>959</v>
      </c>
      <c r="O22" s="12">
        <v>942</v>
      </c>
      <c r="P22" s="12">
        <v>790</v>
      </c>
      <c r="Q22" s="12">
        <v>946</v>
      </c>
      <c r="R22" s="12">
        <v>446</v>
      </c>
      <c r="S22" s="12">
        <v>885</v>
      </c>
      <c r="T22" s="12">
        <v>955</v>
      </c>
      <c r="U22" s="12">
        <v>469</v>
      </c>
      <c r="V22" s="12">
        <v>776</v>
      </c>
      <c r="W22" s="12">
        <v>404</v>
      </c>
      <c r="X22" s="12">
        <v>810</v>
      </c>
      <c r="Y22" s="12">
        <v>770</v>
      </c>
      <c r="Z22" s="12">
        <v>869</v>
      </c>
      <c r="AA22" s="12">
        <v>964</v>
      </c>
      <c r="AB22" s="12">
        <v>718</v>
      </c>
      <c r="AC22" s="12">
        <v>898</v>
      </c>
      <c r="AD22" s="12">
        <v>891</v>
      </c>
      <c r="AE22" s="12">
        <v>821</v>
      </c>
      <c r="AF22" s="12">
        <v>753</v>
      </c>
    </row>
    <row r="23" spans="1:32">
      <c r="A23" s="19"/>
      <c r="B23" s="13" t="s">
        <v>917</v>
      </c>
      <c r="C23" s="14">
        <v>0.85</v>
      </c>
      <c r="D23" s="14">
        <v>0.86</v>
      </c>
      <c r="E23" s="14">
        <v>0.86</v>
      </c>
      <c r="F23" s="14">
        <v>0.84</v>
      </c>
      <c r="G23" s="14">
        <v>0.75</v>
      </c>
      <c r="H23" s="14">
        <v>0.74</v>
      </c>
      <c r="I23" s="14">
        <v>0.75</v>
      </c>
      <c r="J23" s="14">
        <v>0.8</v>
      </c>
      <c r="K23" s="14">
        <v>0.78</v>
      </c>
      <c r="L23" s="14">
        <v>0.88</v>
      </c>
      <c r="M23" s="14">
        <v>0.9</v>
      </c>
      <c r="N23" s="14">
        <v>0.95000000000000007</v>
      </c>
      <c r="O23" s="14">
        <v>0.94000000000000006</v>
      </c>
      <c r="P23" s="14">
        <v>0.79</v>
      </c>
      <c r="Q23" s="14">
        <v>0.92</v>
      </c>
      <c r="R23" s="14">
        <v>0.89</v>
      </c>
      <c r="S23" s="14">
        <v>0.89</v>
      </c>
      <c r="T23" s="14">
        <v>0.93</v>
      </c>
      <c r="U23" s="14">
        <v>0.93</v>
      </c>
      <c r="V23" s="14">
        <v>0.76</v>
      </c>
      <c r="W23" s="14">
        <v>0.8</v>
      </c>
      <c r="X23" s="14">
        <v>0.8</v>
      </c>
      <c r="Y23" s="14">
        <v>0.77</v>
      </c>
      <c r="Z23" s="14">
        <v>0.85</v>
      </c>
      <c r="AA23" s="14">
        <v>0.92</v>
      </c>
      <c r="AB23" s="14">
        <v>0.69000000000000006</v>
      </c>
      <c r="AC23" s="14">
        <v>0.9</v>
      </c>
      <c r="AD23" s="14">
        <v>0.89</v>
      </c>
      <c r="AE23" s="14">
        <v>0.82000000000000006</v>
      </c>
      <c r="AF23" s="14">
        <v>0.73</v>
      </c>
    </row>
    <row r="24" spans="1:32">
      <c r="A24" s="19"/>
      <c r="B24" s="11" t="s">
        <v>912</v>
      </c>
      <c r="C24" s="12">
        <v>3413</v>
      </c>
      <c r="D24" s="12">
        <v>135</v>
      </c>
      <c r="E24" s="12">
        <v>115</v>
      </c>
      <c r="F24" s="12">
        <v>145</v>
      </c>
      <c r="G24" s="12">
        <v>240</v>
      </c>
      <c r="H24" s="12">
        <v>273</v>
      </c>
      <c r="I24" s="12">
        <v>330</v>
      </c>
      <c r="J24" s="12">
        <v>57</v>
      </c>
      <c r="K24" s="12">
        <v>198</v>
      </c>
      <c r="L24" s="12">
        <v>110</v>
      </c>
      <c r="M24" s="12">
        <v>90</v>
      </c>
      <c r="N24" s="12">
        <v>45</v>
      </c>
      <c r="O24" s="12">
        <v>40</v>
      </c>
      <c r="P24" s="12">
        <v>176</v>
      </c>
      <c r="Q24" s="12">
        <v>78</v>
      </c>
      <c r="R24" s="12">
        <v>39</v>
      </c>
      <c r="S24" s="12">
        <v>108</v>
      </c>
      <c r="T24" s="12">
        <v>57</v>
      </c>
      <c r="U24" s="12">
        <v>38</v>
      </c>
      <c r="V24" s="12">
        <v>245</v>
      </c>
      <c r="W24" s="12">
        <v>95</v>
      </c>
      <c r="X24" s="12">
        <v>194</v>
      </c>
      <c r="Y24" s="12">
        <v>215</v>
      </c>
      <c r="Z24" s="12">
        <v>130</v>
      </c>
      <c r="AA24" s="12">
        <v>43</v>
      </c>
      <c r="AB24" s="12">
        <v>279</v>
      </c>
      <c r="AC24" s="12">
        <v>106</v>
      </c>
      <c r="AD24" s="12">
        <v>104</v>
      </c>
      <c r="AE24" s="12">
        <v>173</v>
      </c>
      <c r="AF24" s="12">
        <v>271</v>
      </c>
    </row>
    <row r="25" spans="1:32">
      <c r="A25" s="19"/>
      <c r="B25" s="13" t="s">
        <v>995</v>
      </c>
      <c r="C25" s="14">
        <v>0.13</v>
      </c>
      <c r="D25" s="14">
        <v>0.14000000000000001</v>
      </c>
      <c r="E25" s="14">
        <v>0.11</v>
      </c>
      <c r="F25" s="14">
        <v>0.14000000000000001</v>
      </c>
      <c r="G25" s="14">
        <v>0.23</v>
      </c>
      <c r="H25" s="14">
        <v>0.23</v>
      </c>
      <c r="I25" s="14">
        <v>0.22</v>
      </c>
      <c r="J25" s="14">
        <v>0.19</v>
      </c>
      <c r="K25" s="14">
        <v>0.2</v>
      </c>
      <c r="L25" s="14">
        <v>0.11</v>
      </c>
      <c r="M25" s="14">
        <v>0.09</v>
      </c>
      <c r="N25" s="14">
        <v>0.04</v>
      </c>
      <c r="O25" s="14">
        <v>0.04</v>
      </c>
      <c r="P25" s="14">
        <v>0.17</v>
      </c>
      <c r="Q25" s="14">
        <v>7.0000000000000007E-2</v>
      </c>
      <c r="R25" s="14">
        <v>0.08</v>
      </c>
      <c r="S25" s="14">
        <v>0.1</v>
      </c>
      <c r="T25" s="14">
        <v>0.06</v>
      </c>
      <c r="U25" s="14">
        <v>7.0000000000000007E-2</v>
      </c>
      <c r="V25" s="14">
        <v>0.24</v>
      </c>
      <c r="W25" s="14">
        <v>0.19</v>
      </c>
      <c r="X25" s="14">
        <v>0.19</v>
      </c>
      <c r="Y25" s="14">
        <v>0.21</v>
      </c>
      <c r="Z25" s="14">
        <v>0.13</v>
      </c>
      <c r="AA25" s="14">
        <v>0.05</v>
      </c>
      <c r="AB25" s="14">
        <v>0.27</v>
      </c>
      <c r="AC25" s="14">
        <v>0.1</v>
      </c>
      <c r="AD25" s="14">
        <v>0.1</v>
      </c>
      <c r="AE25" s="14">
        <v>0.17</v>
      </c>
      <c r="AF25" s="14">
        <v>0.26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1012</v>
      </c>
      <c r="C3" s="17"/>
      <c r="D3" s="17"/>
      <c r="E3" s="17"/>
      <c r="F3" s="17"/>
      <c r="H3" s="17" t="s">
        <v>1013</v>
      </c>
      <c r="I3" s="17"/>
      <c r="J3" s="17"/>
      <c r="K3" s="17"/>
      <c r="L3" s="17"/>
    </row>
    <row r="4" spans="1:32" ht="27" customHeight="1">
      <c r="B4" s="17" t="s">
        <v>1014</v>
      </c>
      <c r="C4" s="17"/>
      <c r="D4" s="17"/>
      <c r="E4" s="17"/>
      <c r="F4" s="17"/>
      <c r="H4" s="17" t="s">
        <v>1015</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987</v>
      </c>
      <c r="C12" s="12">
        <v>14178</v>
      </c>
      <c r="D12" s="12">
        <v>569</v>
      </c>
      <c r="E12" s="12">
        <v>555</v>
      </c>
      <c r="F12" s="12">
        <v>636</v>
      </c>
      <c r="G12" s="12">
        <v>583</v>
      </c>
      <c r="H12" s="12">
        <v>476</v>
      </c>
      <c r="I12" s="12">
        <v>616</v>
      </c>
      <c r="J12" s="12">
        <v>140</v>
      </c>
      <c r="K12" s="12">
        <v>412</v>
      </c>
      <c r="L12" s="12">
        <v>679</v>
      </c>
      <c r="M12" s="12">
        <v>618</v>
      </c>
      <c r="N12" s="12">
        <v>767</v>
      </c>
      <c r="O12" s="12">
        <v>653</v>
      </c>
      <c r="P12" s="12">
        <v>405</v>
      </c>
      <c r="Q12" s="12">
        <v>568</v>
      </c>
      <c r="R12" s="12">
        <v>341</v>
      </c>
      <c r="S12" s="12">
        <v>661</v>
      </c>
      <c r="T12" s="12">
        <v>591</v>
      </c>
      <c r="U12" s="12">
        <v>401</v>
      </c>
      <c r="V12" s="12">
        <v>369</v>
      </c>
      <c r="W12" s="12">
        <v>311</v>
      </c>
      <c r="X12" s="12">
        <v>440</v>
      </c>
      <c r="Y12" s="12">
        <v>374</v>
      </c>
      <c r="Z12" s="12">
        <v>412</v>
      </c>
      <c r="AA12" s="12">
        <v>664</v>
      </c>
      <c r="AB12" s="12">
        <v>335</v>
      </c>
      <c r="AC12" s="12">
        <v>681</v>
      </c>
      <c r="AD12" s="12">
        <v>543</v>
      </c>
      <c r="AE12" s="12">
        <v>681</v>
      </c>
      <c r="AF12" s="12">
        <v>596</v>
      </c>
    </row>
    <row r="13" spans="1:32">
      <c r="A13" s="19"/>
      <c r="B13" s="13" t="s">
        <v>988</v>
      </c>
      <c r="C13" s="14">
        <v>0.54</v>
      </c>
      <c r="D13" s="14">
        <v>0.56000000000000005</v>
      </c>
      <c r="E13" s="14">
        <v>0.53</v>
      </c>
      <c r="F13" s="14">
        <v>0.6</v>
      </c>
      <c r="G13" s="14">
        <v>0.57999999999999996</v>
      </c>
      <c r="H13" s="14">
        <v>0.39</v>
      </c>
      <c r="I13" s="14">
        <v>0.4</v>
      </c>
      <c r="J13" s="14">
        <v>0.47</v>
      </c>
      <c r="K13" s="14">
        <v>0.41</v>
      </c>
      <c r="L13" s="14">
        <v>0.68</v>
      </c>
      <c r="M13" s="14">
        <v>0.61</v>
      </c>
      <c r="N13" s="14">
        <v>0.76</v>
      </c>
      <c r="O13" s="14">
        <v>0.65</v>
      </c>
      <c r="P13" s="14">
        <v>0.4</v>
      </c>
      <c r="Q13" s="14">
        <v>0.55000000000000004</v>
      </c>
      <c r="R13" s="14">
        <v>0.68</v>
      </c>
      <c r="S13" s="14">
        <v>0.66</v>
      </c>
      <c r="T13" s="14">
        <v>0.57999999999999996</v>
      </c>
      <c r="U13" s="14">
        <v>0.79</v>
      </c>
      <c r="V13" s="14">
        <v>0.36</v>
      </c>
      <c r="W13" s="14">
        <v>0.62</v>
      </c>
      <c r="X13" s="14">
        <v>0.44</v>
      </c>
      <c r="Y13" s="14">
        <v>0.37</v>
      </c>
      <c r="Z13" s="14">
        <v>0.41</v>
      </c>
      <c r="AA13" s="14">
        <v>0.64</v>
      </c>
      <c r="AB13" s="14">
        <v>0.32</v>
      </c>
      <c r="AC13" s="14">
        <v>0.68</v>
      </c>
      <c r="AD13" s="14">
        <v>0.54</v>
      </c>
      <c r="AE13" s="14">
        <v>0.68</v>
      </c>
      <c r="AF13" s="14">
        <v>0.57999999999999996</v>
      </c>
    </row>
    <row r="14" spans="1:32">
      <c r="A14" s="19"/>
      <c r="B14" s="11" t="s">
        <v>989</v>
      </c>
      <c r="C14" s="12">
        <v>9291</v>
      </c>
      <c r="D14" s="12">
        <v>355</v>
      </c>
      <c r="E14" s="12">
        <v>349</v>
      </c>
      <c r="F14" s="12">
        <v>323</v>
      </c>
      <c r="G14" s="12">
        <v>325</v>
      </c>
      <c r="H14" s="12">
        <v>501</v>
      </c>
      <c r="I14" s="12">
        <v>610</v>
      </c>
      <c r="J14" s="12">
        <v>109</v>
      </c>
      <c r="K14" s="12">
        <v>440</v>
      </c>
      <c r="L14" s="12">
        <v>286</v>
      </c>
      <c r="M14" s="12">
        <v>345</v>
      </c>
      <c r="N14" s="12">
        <v>210</v>
      </c>
      <c r="O14" s="12">
        <v>288</v>
      </c>
      <c r="P14" s="12">
        <v>403</v>
      </c>
      <c r="Q14" s="12">
        <v>390</v>
      </c>
      <c r="R14" s="12">
        <v>129</v>
      </c>
      <c r="S14" s="12">
        <v>268</v>
      </c>
      <c r="T14" s="12">
        <v>388</v>
      </c>
      <c r="U14" s="12">
        <v>84</v>
      </c>
      <c r="V14" s="12">
        <v>476</v>
      </c>
      <c r="W14" s="12">
        <v>151</v>
      </c>
      <c r="X14" s="12">
        <v>476</v>
      </c>
      <c r="Y14" s="12">
        <v>417</v>
      </c>
      <c r="Z14" s="12">
        <v>451</v>
      </c>
      <c r="AA14" s="12">
        <v>307</v>
      </c>
      <c r="AB14" s="12">
        <v>403</v>
      </c>
      <c r="AC14" s="12">
        <v>280</v>
      </c>
      <c r="AD14" s="12">
        <v>376</v>
      </c>
      <c r="AE14" s="12">
        <v>288</v>
      </c>
      <c r="AF14" s="12">
        <v>373</v>
      </c>
    </row>
    <row r="15" spans="1:32">
      <c r="A15" s="19"/>
      <c r="B15" s="13" t="s">
        <v>990</v>
      </c>
      <c r="C15" s="14">
        <v>0.35</v>
      </c>
      <c r="D15" s="14">
        <v>0.35</v>
      </c>
      <c r="E15" s="14">
        <v>0.33</v>
      </c>
      <c r="F15" s="14">
        <v>0.3</v>
      </c>
      <c r="G15" s="14">
        <v>0.32</v>
      </c>
      <c r="H15" s="14">
        <v>0.41</v>
      </c>
      <c r="I15" s="14">
        <v>0.4</v>
      </c>
      <c r="J15" s="14">
        <v>0.37</v>
      </c>
      <c r="K15" s="14">
        <v>0.44</v>
      </c>
      <c r="L15" s="14">
        <v>0.28000000000000003</v>
      </c>
      <c r="M15" s="14">
        <v>0.34</v>
      </c>
      <c r="N15" s="14">
        <v>0.21</v>
      </c>
      <c r="O15" s="14">
        <v>0.28999999999999998</v>
      </c>
      <c r="P15" s="14">
        <v>0.4</v>
      </c>
      <c r="Q15" s="14">
        <v>0.38</v>
      </c>
      <c r="R15" s="14">
        <v>0.26</v>
      </c>
      <c r="S15" s="14">
        <v>0.27</v>
      </c>
      <c r="T15" s="14">
        <v>0.38</v>
      </c>
      <c r="U15" s="14">
        <v>0.16</v>
      </c>
      <c r="V15" s="14">
        <v>0.46</v>
      </c>
      <c r="W15" s="14">
        <v>0.3</v>
      </c>
      <c r="X15" s="14">
        <v>0.47</v>
      </c>
      <c r="Y15" s="14">
        <v>0.42</v>
      </c>
      <c r="Z15" s="14">
        <v>0.44</v>
      </c>
      <c r="AA15" s="14">
        <v>0.3</v>
      </c>
      <c r="AB15" s="14">
        <v>0.39</v>
      </c>
      <c r="AC15" s="14">
        <v>0.28000000000000003</v>
      </c>
      <c r="AD15" s="14">
        <v>0.38</v>
      </c>
      <c r="AE15" s="14">
        <v>0.28999999999999998</v>
      </c>
      <c r="AF15" s="14">
        <v>0.36</v>
      </c>
    </row>
    <row r="16" spans="1:32">
      <c r="A16" s="19"/>
      <c r="B16" s="11" t="s">
        <v>991</v>
      </c>
      <c r="C16" s="12">
        <v>1910</v>
      </c>
      <c r="D16" s="12">
        <v>78</v>
      </c>
      <c r="E16" s="12">
        <v>96</v>
      </c>
      <c r="F16" s="12">
        <v>63</v>
      </c>
      <c r="G16" s="12">
        <v>84</v>
      </c>
      <c r="H16" s="12">
        <v>127</v>
      </c>
      <c r="I16" s="12">
        <v>163</v>
      </c>
      <c r="J16" s="12">
        <v>36</v>
      </c>
      <c r="K16" s="12">
        <v>120</v>
      </c>
      <c r="L16" s="12">
        <v>17</v>
      </c>
      <c r="M16" s="12">
        <v>26</v>
      </c>
      <c r="N16" s="12">
        <v>21</v>
      </c>
      <c r="O16" s="12">
        <v>34</v>
      </c>
      <c r="P16" s="12">
        <v>124</v>
      </c>
      <c r="Q16" s="12">
        <v>59</v>
      </c>
      <c r="R16" s="12">
        <v>16</v>
      </c>
      <c r="S16" s="12">
        <v>56</v>
      </c>
      <c r="T16" s="12">
        <v>28</v>
      </c>
      <c r="U16" s="12">
        <v>13</v>
      </c>
      <c r="V16" s="12">
        <v>129</v>
      </c>
      <c r="W16" s="12">
        <v>25</v>
      </c>
      <c r="X16" s="12">
        <v>80</v>
      </c>
      <c r="Y16" s="12">
        <v>148</v>
      </c>
      <c r="Z16" s="12">
        <v>114</v>
      </c>
      <c r="AA16" s="12">
        <v>32</v>
      </c>
      <c r="AB16" s="12">
        <v>191</v>
      </c>
      <c r="AC16" s="12">
        <v>38</v>
      </c>
      <c r="AD16" s="12">
        <v>60</v>
      </c>
      <c r="AE16" s="12">
        <v>22</v>
      </c>
      <c r="AF16" s="12">
        <v>50</v>
      </c>
    </row>
    <row r="17" spans="1:32">
      <c r="A17" s="19"/>
      <c r="B17" s="13" t="s">
        <v>992</v>
      </c>
      <c r="C17" s="14">
        <v>7.0000000000000007E-2</v>
      </c>
      <c r="D17" s="14">
        <v>7.0000000000000007E-2</v>
      </c>
      <c r="E17" s="14">
        <v>0.09</v>
      </c>
      <c r="F17" s="14">
        <v>0.06</v>
      </c>
      <c r="G17" s="14">
        <v>0.08</v>
      </c>
      <c r="H17" s="14">
        <v>0.1</v>
      </c>
      <c r="I17" s="14">
        <v>0.11</v>
      </c>
      <c r="J17" s="14">
        <v>0.12</v>
      </c>
      <c r="K17" s="14">
        <v>0.12</v>
      </c>
      <c r="L17" s="14">
        <v>0.02</v>
      </c>
      <c r="M17" s="14">
        <v>0.03</v>
      </c>
      <c r="N17" s="14">
        <v>0.02</v>
      </c>
      <c r="O17" s="14">
        <v>0.03</v>
      </c>
      <c r="P17" s="14">
        <v>0.12</v>
      </c>
      <c r="Q17" s="14">
        <v>0.06</v>
      </c>
      <c r="R17" s="14">
        <v>0.03</v>
      </c>
      <c r="S17" s="14">
        <v>0.05</v>
      </c>
      <c r="T17" s="14">
        <v>0.03</v>
      </c>
      <c r="U17" s="14">
        <v>0.03</v>
      </c>
      <c r="V17" s="14">
        <v>0.13</v>
      </c>
      <c r="W17" s="14">
        <v>0.05</v>
      </c>
      <c r="X17" s="14">
        <v>0.08</v>
      </c>
      <c r="Y17" s="14">
        <v>0.15</v>
      </c>
      <c r="Z17" s="14">
        <v>0.11</v>
      </c>
      <c r="AA17" s="14">
        <v>0.03</v>
      </c>
      <c r="AB17" s="14">
        <v>0.18</v>
      </c>
      <c r="AC17" s="14">
        <v>0.04</v>
      </c>
      <c r="AD17" s="14">
        <v>0.06</v>
      </c>
      <c r="AE17" s="14">
        <v>0.02</v>
      </c>
      <c r="AF17" s="14">
        <v>0.05</v>
      </c>
    </row>
    <row r="18" spans="1:32">
      <c r="A18" s="19"/>
      <c r="B18" s="11" t="s">
        <v>993</v>
      </c>
      <c r="C18" s="12">
        <v>648</v>
      </c>
      <c r="D18" s="12">
        <v>13</v>
      </c>
      <c r="E18" s="12">
        <v>19</v>
      </c>
      <c r="F18" s="12">
        <v>19</v>
      </c>
      <c r="G18" s="12">
        <v>13</v>
      </c>
      <c r="H18" s="12">
        <v>90</v>
      </c>
      <c r="I18" s="12">
        <v>98</v>
      </c>
      <c r="J18" s="12">
        <v>8</v>
      </c>
      <c r="K18" s="12">
        <v>20</v>
      </c>
      <c r="L18" s="12">
        <v>12</v>
      </c>
      <c r="M18" s="12">
        <v>8</v>
      </c>
      <c r="N18" s="12">
        <v>8</v>
      </c>
      <c r="O18" s="12">
        <v>5</v>
      </c>
      <c r="P18" s="12">
        <v>35</v>
      </c>
      <c r="Q18" s="12">
        <v>9</v>
      </c>
      <c r="R18" s="12">
        <v>4</v>
      </c>
      <c r="S18" s="12">
        <v>8</v>
      </c>
      <c r="T18" s="12">
        <v>6</v>
      </c>
      <c r="U18" s="12">
        <v>8</v>
      </c>
      <c r="V18" s="12">
        <v>46</v>
      </c>
      <c r="W18" s="12">
        <v>13</v>
      </c>
      <c r="X18" s="12">
        <v>13</v>
      </c>
      <c r="Y18" s="12">
        <v>41</v>
      </c>
      <c r="Z18" s="12">
        <v>24</v>
      </c>
      <c r="AA18" s="12">
        <v>8</v>
      </c>
      <c r="AB18" s="12">
        <v>71</v>
      </c>
      <c r="AC18" s="12">
        <v>6</v>
      </c>
      <c r="AD18" s="12">
        <v>18</v>
      </c>
      <c r="AE18" s="12">
        <v>4</v>
      </c>
      <c r="AF18" s="12">
        <v>6</v>
      </c>
    </row>
    <row r="19" spans="1:32">
      <c r="A19" s="19"/>
      <c r="B19" s="13" t="s">
        <v>994</v>
      </c>
      <c r="C19" s="14">
        <v>0.02</v>
      </c>
      <c r="D19" s="14">
        <v>0.01</v>
      </c>
      <c r="E19" s="14">
        <v>0.02</v>
      </c>
      <c r="F19" s="14">
        <v>0.02</v>
      </c>
      <c r="G19" s="14">
        <v>0.01</v>
      </c>
      <c r="H19" s="14">
        <v>7.0000000000000007E-2</v>
      </c>
      <c r="I19" s="14">
        <v>0.06</v>
      </c>
      <c r="J19" s="14">
        <v>0.03</v>
      </c>
      <c r="K19" s="14">
        <v>0.02</v>
      </c>
      <c r="L19" s="14">
        <v>0.01</v>
      </c>
      <c r="M19" s="14">
        <v>0.01</v>
      </c>
      <c r="N19" s="14">
        <v>0.01</v>
      </c>
      <c r="O19" s="14">
        <v>0.01</v>
      </c>
      <c r="P19" s="14">
        <v>0.04</v>
      </c>
      <c r="Q19" s="14">
        <v>0.01</v>
      </c>
      <c r="R19" s="14">
        <v>0.01</v>
      </c>
      <c r="S19" s="14">
        <v>0.01</v>
      </c>
      <c r="T19" s="15" t="s">
        <v>375</v>
      </c>
      <c r="U19" s="14">
        <v>0.01</v>
      </c>
      <c r="V19" s="14">
        <v>0.04</v>
      </c>
      <c r="W19" s="14">
        <v>0.03</v>
      </c>
      <c r="X19" s="14">
        <v>0.01</v>
      </c>
      <c r="Y19" s="14">
        <v>0.04</v>
      </c>
      <c r="Z19" s="14">
        <v>0.02</v>
      </c>
      <c r="AA19" s="14">
        <v>0.01</v>
      </c>
      <c r="AB19" s="14">
        <v>7.0000000000000007E-2</v>
      </c>
      <c r="AC19" s="15" t="s">
        <v>375</v>
      </c>
      <c r="AD19" s="14">
        <v>0.02</v>
      </c>
      <c r="AE19" s="15" t="s">
        <v>375</v>
      </c>
      <c r="AF19" s="14">
        <v>0.01</v>
      </c>
    </row>
    <row r="20" spans="1:32">
      <c r="A20" s="19"/>
      <c r="B20" s="11" t="s">
        <v>386</v>
      </c>
      <c r="C20" s="12">
        <v>426</v>
      </c>
      <c r="D20" s="12">
        <v>7</v>
      </c>
      <c r="E20" s="12">
        <v>28</v>
      </c>
      <c r="F20" s="12">
        <v>23</v>
      </c>
      <c r="G20" s="12">
        <v>11</v>
      </c>
      <c r="H20" s="12">
        <v>36</v>
      </c>
      <c r="I20" s="12">
        <v>40</v>
      </c>
      <c r="J20" s="12">
        <v>4</v>
      </c>
      <c r="K20" s="12">
        <v>13</v>
      </c>
      <c r="L20" s="12">
        <v>12</v>
      </c>
      <c r="M20" s="12">
        <v>9</v>
      </c>
      <c r="N20" s="12">
        <v>6</v>
      </c>
      <c r="O20" s="12">
        <v>23</v>
      </c>
      <c r="P20" s="12">
        <v>36</v>
      </c>
      <c r="Q20" s="12">
        <v>5</v>
      </c>
      <c r="R20" s="12">
        <v>11</v>
      </c>
      <c r="S20" s="12">
        <v>11</v>
      </c>
      <c r="T20" s="12">
        <v>10</v>
      </c>
      <c r="U20" s="12">
        <v>3</v>
      </c>
      <c r="V20" s="12">
        <v>6</v>
      </c>
      <c r="W20" s="12">
        <v>2</v>
      </c>
      <c r="X20" s="12">
        <v>2</v>
      </c>
      <c r="Y20" s="12">
        <v>23</v>
      </c>
      <c r="Z20" s="12">
        <v>15</v>
      </c>
      <c r="AA20" s="12">
        <v>26</v>
      </c>
      <c r="AB20" s="12">
        <v>42</v>
      </c>
      <c r="AC20" s="12">
        <v>0</v>
      </c>
      <c r="AD20" s="12">
        <v>5</v>
      </c>
      <c r="AE20" s="12">
        <v>7</v>
      </c>
      <c r="AF20" s="12">
        <v>5</v>
      </c>
    </row>
    <row r="21" spans="1:32">
      <c r="A21" s="19"/>
      <c r="B21" s="13" t="s">
        <v>399</v>
      </c>
      <c r="C21" s="14">
        <v>0.02</v>
      </c>
      <c r="D21" s="14">
        <v>0.01</v>
      </c>
      <c r="E21" s="14">
        <v>0.03</v>
      </c>
      <c r="F21" s="14">
        <v>0.02</v>
      </c>
      <c r="G21" s="14">
        <v>0.01</v>
      </c>
      <c r="H21" s="14">
        <v>0.03</v>
      </c>
      <c r="I21" s="14">
        <v>0.03</v>
      </c>
      <c r="J21" s="14">
        <v>0.01</v>
      </c>
      <c r="K21" s="14">
        <v>0.01</v>
      </c>
      <c r="L21" s="14">
        <v>0.01</v>
      </c>
      <c r="M21" s="14">
        <v>0.01</v>
      </c>
      <c r="N21" s="15" t="s">
        <v>375</v>
      </c>
      <c r="O21" s="14">
        <v>0.02</v>
      </c>
      <c r="P21" s="14">
        <v>0.04</v>
      </c>
      <c r="Q21" s="15" t="s">
        <v>375</v>
      </c>
      <c r="R21" s="14">
        <v>0.02</v>
      </c>
      <c r="S21" s="14">
        <v>0.01</v>
      </c>
      <c r="T21" s="14">
        <v>0.01</v>
      </c>
      <c r="U21" s="14">
        <v>0.01</v>
      </c>
      <c r="V21" s="14">
        <v>0.01</v>
      </c>
      <c r="W21" s="15" t="s">
        <v>375</v>
      </c>
      <c r="X21" s="15" t="s">
        <v>375</v>
      </c>
      <c r="Y21" s="14">
        <v>0.02</v>
      </c>
      <c r="Z21" s="14">
        <v>0.02</v>
      </c>
      <c r="AA21" s="14">
        <v>0.02</v>
      </c>
      <c r="AB21" s="14">
        <v>0.04</v>
      </c>
      <c r="AC21" s="15" t="s">
        <v>375</v>
      </c>
      <c r="AD21" s="15" t="s">
        <v>375</v>
      </c>
      <c r="AE21" s="14">
        <v>0.01</v>
      </c>
      <c r="AF21" s="15" t="s">
        <v>375</v>
      </c>
    </row>
    <row r="22" spans="1:32">
      <c r="A22" s="19"/>
      <c r="B22" s="11" t="s">
        <v>916</v>
      </c>
      <c r="C22" s="12">
        <v>23469</v>
      </c>
      <c r="D22" s="12">
        <v>924</v>
      </c>
      <c r="E22" s="12">
        <v>904</v>
      </c>
      <c r="F22" s="12">
        <v>959</v>
      </c>
      <c r="G22" s="12">
        <v>908</v>
      </c>
      <c r="H22" s="12">
        <v>977</v>
      </c>
      <c r="I22" s="12">
        <v>1226</v>
      </c>
      <c r="J22" s="12">
        <v>249</v>
      </c>
      <c r="K22" s="12">
        <v>852</v>
      </c>
      <c r="L22" s="12">
        <v>965</v>
      </c>
      <c r="M22" s="12">
        <v>963</v>
      </c>
      <c r="N22" s="12">
        <v>977</v>
      </c>
      <c r="O22" s="12">
        <v>941</v>
      </c>
      <c r="P22" s="12">
        <v>808</v>
      </c>
      <c r="Q22" s="12">
        <v>958</v>
      </c>
      <c r="R22" s="12">
        <v>470</v>
      </c>
      <c r="S22" s="12">
        <v>929</v>
      </c>
      <c r="T22" s="12">
        <v>979</v>
      </c>
      <c r="U22" s="12">
        <v>485</v>
      </c>
      <c r="V22" s="12">
        <v>845</v>
      </c>
      <c r="W22" s="12">
        <v>462</v>
      </c>
      <c r="X22" s="12">
        <v>916</v>
      </c>
      <c r="Y22" s="12">
        <v>791</v>
      </c>
      <c r="Z22" s="12">
        <v>863</v>
      </c>
      <c r="AA22" s="12">
        <v>971</v>
      </c>
      <c r="AB22" s="12">
        <v>738</v>
      </c>
      <c r="AC22" s="12">
        <v>961</v>
      </c>
      <c r="AD22" s="12">
        <v>919</v>
      </c>
      <c r="AE22" s="12">
        <v>969</v>
      </c>
      <c r="AF22" s="12">
        <v>969</v>
      </c>
    </row>
    <row r="23" spans="1:32">
      <c r="A23" s="19"/>
      <c r="B23" s="13" t="s">
        <v>917</v>
      </c>
      <c r="C23" s="14">
        <v>0.89</v>
      </c>
      <c r="D23" s="14">
        <v>0.91</v>
      </c>
      <c r="E23" s="14">
        <v>0.86</v>
      </c>
      <c r="F23" s="14">
        <v>0.9</v>
      </c>
      <c r="G23" s="14">
        <v>0.9</v>
      </c>
      <c r="H23" s="14">
        <v>0.8</v>
      </c>
      <c r="I23" s="14">
        <v>0.8</v>
      </c>
      <c r="J23" s="14">
        <v>0.84</v>
      </c>
      <c r="K23" s="14">
        <v>0.85</v>
      </c>
      <c r="L23" s="14">
        <v>0.96</v>
      </c>
      <c r="M23" s="14">
        <v>0.95000000000000007</v>
      </c>
      <c r="N23" s="14">
        <v>0.97</v>
      </c>
      <c r="O23" s="14">
        <v>0.94000000000000006</v>
      </c>
      <c r="P23" s="14">
        <v>0.8</v>
      </c>
      <c r="Q23" s="14">
        <v>0.93</v>
      </c>
      <c r="R23" s="14">
        <v>0.94000000000000006</v>
      </c>
      <c r="S23" s="14">
        <v>0.93</v>
      </c>
      <c r="T23" s="14">
        <v>0.96</v>
      </c>
      <c r="U23" s="14">
        <v>0.95000000000000007</v>
      </c>
      <c r="V23" s="14">
        <v>0.82000000000000006</v>
      </c>
      <c r="W23" s="14">
        <v>0.92</v>
      </c>
      <c r="X23" s="14">
        <v>0.91</v>
      </c>
      <c r="Y23" s="14">
        <v>0.79</v>
      </c>
      <c r="Z23" s="14">
        <v>0.85</v>
      </c>
      <c r="AA23" s="14">
        <v>0.94000000000000006</v>
      </c>
      <c r="AB23" s="14">
        <v>0.71</v>
      </c>
      <c r="AC23" s="14">
        <v>0.96</v>
      </c>
      <c r="AD23" s="14">
        <v>0.92</v>
      </c>
      <c r="AE23" s="14">
        <v>0.97</v>
      </c>
      <c r="AF23" s="14">
        <v>0.94000000000000006</v>
      </c>
    </row>
    <row r="24" spans="1:32">
      <c r="A24" s="19"/>
      <c r="B24" s="11" t="s">
        <v>912</v>
      </c>
      <c r="C24" s="12">
        <v>2558</v>
      </c>
      <c r="D24" s="12">
        <v>91</v>
      </c>
      <c r="E24" s="12">
        <v>115</v>
      </c>
      <c r="F24" s="12">
        <v>82</v>
      </c>
      <c r="G24" s="12">
        <v>97</v>
      </c>
      <c r="H24" s="12">
        <v>217</v>
      </c>
      <c r="I24" s="12">
        <v>261</v>
      </c>
      <c r="J24" s="12">
        <v>44</v>
      </c>
      <c r="K24" s="12">
        <v>140</v>
      </c>
      <c r="L24" s="12">
        <v>29</v>
      </c>
      <c r="M24" s="12">
        <v>34</v>
      </c>
      <c r="N24" s="12">
        <v>29</v>
      </c>
      <c r="O24" s="12">
        <v>39</v>
      </c>
      <c r="P24" s="12">
        <v>159</v>
      </c>
      <c r="Q24" s="12">
        <v>68</v>
      </c>
      <c r="R24" s="12">
        <v>20</v>
      </c>
      <c r="S24" s="12">
        <v>64</v>
      </c>
      <c r="T24" s="12">
        <v>34</v>
      </c>
      <c r="U24" s="12">
        <v>21</v>
      </c>
      <c r="V24" s="12">
        <v>175</v>
      </c>
      <c r="W24" s="12">
        <v>38</v>
      </c>
      <c r="X24" s="12">
        <v>93</v>
      </c>
      <c r="Y24" s="12">
        <v>189</v>
      </c>
      <c r="Z24" s="12">
        <v>138</v>
      </c>
      <c r="AA24" s="12">
        <v>40</v>
      </c>
      <c r="AB24" s="12">
        <v>262</v>
      </c>
      <c r="AC24" s="12">
        <v>44</v>
      </c>
      <c r="AD24" s="12">
        <v>78</v>
      </c>
      <c r="AE24" s="12">
        <v>26</v>
      </c>
      <c r="AF24" s="12">
        <v>56</v>
      </c>
    </row>
    <row r="25" spans="1:32">
      <c r="A25" s="19"/>
      <c r="B25" s="13" t="s">
        <v>995</v>
      </c>
      <c r="C25" s="14">
        <v>0.09</v>
      </c>
      <c r="D25" s="14">
        <v>0.08</v>
      </c>
      <c r="E25" s="14">
        <v>0.11</v>
      </c>
      <c r="F25" s="14">
        <v>0.08</v>
      </c>
      <c r="G25" s="14">
        <v>0.09</v>
      </c>
      <c r="H25" s="14">
        <v>0.17</v>
      </c>
      <c r="I25" s="14">
        <v>0.17</v>
      </c>
      <c r="J25" s="14">
        <v>0.15</v>
      </c>
      <c r="K25" s="14">
        <v>0.14000000000000001</v>
      </c>
      <c r="L25" s="14">
        <v>0.03</v>
      </c>
      <c r="M25" s="14">
        <v>0.04</v>
      </c>
      <c r="N25" s="14">
        <v>0.03</v>
      </c>
      <c r="O25" s="14">
        <v>0.04</v>
      </c>
      <c r="P25" s="14">
        <v>0.16</v>
      </c>
      <c r="Q25" s="14">
        <v>7.0000000000000007E-2</v>
      </c>
      <c r="R25" s="14">
        <v>0.04</v>
      </c>
      <c r="S25" s="14">
        <v>0.06</v>
      </c>
      <c r="T25" s="14">
        <v>0.03</v>
      </c>
      <c r="U25" s="14">
        <v>0.04</v>
      </c>
      <c r="V25" s="14">
        <v>0.17</v>
      </c>
      <c r="W25" s="14">
        <v>0.08</v>
      </c>
      <c r="X25" s="14">
        <v>0.09</v>
      </c>
      <c r="Y25" s="14">
        <v>0.19</v>
      </c>
      <c r="Z25" s="14">
        <v>0.13</v>
      </c>
      <c r="AA25" s="14">
        <v>0.04</v>
      </c>
      <c r="AB25" s="14">
        <v>0.25</v>
      </c>
      <c r="AC25" s="14">
        <v>0.04</v>
      </c>
      <c r="AD25" s="14">
        <v>0.08</v>
      </c>
      <c r="AE25" s="14">
        <v>0.02</v>
      </c>
      <c r="AF25" s="14">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1016</v>
      </c>
      <c r="C3" s="17"/>
      <c r="D3" s="17"/>
      <c r="E3" s="17"/>
      <c r="F3" s="17"/>
      <c r="H3" s="17" t="s">
        <v>1017</v>
      </c>
      <c r="I3" s="17"/>
      <c r="J3" s="17"/>
      <c r="K3" s="17"/>
      <c r="L3" s="17"/>
    </row>
    <row r="4" spans="1:32" ht="27" customHeight="1">
      <c r="B4" s="17" t="s">
        <v>1018</v>
      </c>
      <c r="C4" s="17"/>
      <c r="D4" s="17"/>
      <c r="E4" s="17"/>
      <c r="F4" s="17"/>
      <c r="H4" s="17" t="s">
        <v>1019</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987</v>
      </c>
      <c r="C12" s="12">
        <v>13711</v>
      </c>
      <c r="D12" s="12">
        <v>538</v>
      </c>
      <c r="E12" s="12">
        <v>601</v>
      </c>
      <c r="F12" s="12">
        <v>564</v>
      </c>
      <c r="G12" s="12">
        <v>483</v>
      </c>
      <c r="H12" s="12">
        <v>462</v>
      </c>
      <c r="I12" s="12">
        <v>605</v>
      </c>
      <c r="J12" s="12">
        <v>143</v>
      </c>
      <c r="K12" s="12">
        <v>424</v>
      </c>
      <c r="L12" s="12">
        <v>682</v>
      </c>
      <c r="M12" s="12">
        <v>607</v>
      </c>
      <c r="N12" s="12">
        <v>700</v>
      </c>
      <c r="O12" s="12">
        <v>649</v>
      </c>
      <c r="P12" s="12">
        <v>414</v>
      </c>
      <c r="Q12" s="12">
        <v>576</v>
      </c>
      <c r="R12" s="12">
        <v>353</v>
      </c>
      <c r="S12" s="12">
        <v>589</v>
      </c>
      <c r="T12" s="12">
        <v>595</v>
      </c>
      <c r="U12" s="12">
        <v>403</v>
      </c>
      <c r="V12" s="12">
        <v>373</v>
      </c>
      <c r="W12" s="12">
        <v>305</v>
      </c>
      <c r="X12" s="12">
        <v>540</v>
      </c>
      <c r="Y12" s="12">
        <v>437</v>
      </c>
      <c r="Z12" s="12">
        <v>354</v>
      </c>
      <c r="AA12" s="12">
        <v>498</v>
      </c>
      <c r="AB12" s="12">
        <v>362</v>
      </c>
      <c r="AC12" s="12">
        <v>705</v>
      </c>
      <c r="AD12" s="12">
        <v>552</v>
      </c>
      <c r="AE12" s="12">
        <v>582</v>
      </c>
      <c r="AF12" s="12">
        <v>463</v>
      </c>
    </row>
    <row r="13" spans="1:32">
      <c r="A13" s="19"/>
      <c r="B13" s="13" t="s">
        <v>988</v>
      </c>
      <c r="C13" s="14">
        <v>0.52</v>
      </c>
      <c r="D13" s="14">
        <v>0.53</v>
      </c>
      <c r="E13" s="14">
        <v>0.57000000000000006</v>
      </c>
      <c r="F13" s="14">
        <v>0.53</v>
      </c>
      <c r="G13" s="14">
        <v>0.48</v>
      </c>
      <c r="H13" s="14">
        <v>0.37</v>
      </c>
      <c r="I13" s="14">
        <v>0.4</v>
      </c>
      <c r="J13" s="14">
        <v>0.48</v>
      </c>
      <c r="K13" s="14">
        <v>0.42</v>
      </c>
      <c r="L13" s="14">
        <v>0.68</v>
      </c>
      <c r="M13" s="14">
        <v>0.6</v>
      </c>
      <c r="N13" s="14">
        <v>0.69000000000000006</v>
      </c>
      <c r="O13" s="14">
        <v>0.65</v>
      </c>
      <c r="P13" s="14">
        <v>0.41</v>
      </c>
      <c r="Q13" s="14">
        <v>0.56000000000000005</v>
      </c>
      <c r="R13" s="14">
        <v>0.70000000000000007</v>
      </c>
      <c r="S13" s="14">
        <v>0.59</v>
      </c>
      <c r="T13" s="14">
        <v>0.57999999999999996</v>
      </c>
      <c r="U13" s="14">
        <v>0.79</v>
      </c>
      <c r="V13" s="14">
        <v>0.36</v>
      </c>
      <c r="W13" s="14">
        <v>0.61</v>
      </c>
      <c r="X13" s="14">
        <v>0.54</v>
      </c>
      <c r="Y13" s="14">
        <v>0.44</v>
      </c>
      <c r="Z13" s="14">
        <v>0.35</v>
      </c>
      <c r="AA13" s="14">
        <v>0.48</v>
      </c>
      <c r="AB13" s="14">
        <v>0.35</v>
      </c>
      <c r="AC13" s="14">
        <v>0.70000000000000007</v>
      </c>
      <c r="AD13" s="14">
        <v>0.55000000000000004</v>
      </c>
      <c r="AE13" s="14">
        <v>0.57999999999999996</v>
      </c>
      <c r="AF13" s="14">
        <v>0.45</v>
      </c>
    </row>
    <row r="14" spans="1:32">
      <c r="A14" s="19"/>
      <c r="B14" s="11" t="s">
        <v>989</v>
      </c>
      <c r="C14" s="12">
        <v>9539</v>
      </c>
      <c r="D14" s="12">
        <v>401</v>
      </c>
      <c r="E14" s="12">
        <v>320</v>
      </c>
      <c r="F14" s="12">
        <v>357</v>
      </c>
      <c r="G14" s="12">
        <v>376</v>
      </c>
      <c r="H14" s="12">
        <v>490</v>
      </c>
      <c r="I14" s="12">
        <v>591</v>
      </c>
      <c r="J14" s="12">
        <v>101</v>
      </c>
      <c r="K14" s="12">
        <v>410</v>
      </c>
      <c r="L14" s="12">
        <v>273</v>
      </c>
      <c r="M14" s="12">
        <v>338</v>
      </c>
      <c r="N14" s="12">
        <v>267</v>
      </c>
      <c r="O14" s="12">
        <v>291</v>
      </c>
      <c r="P14" s="12">
        <v>402</v>
      </c>
      <c r="Q14" s="12">
        <v>391</v>
      </c>
      <c r="R14" s="12">
        <v>113</v>
      </c>
      <c r="S14" s="12">
        <v>329</v>
      </c>
      <c r="T14" s="12">
        <v>372</v>
      </c>
      <c r="U14" s="12">
        <v>79</v>
      </c>
      <c r="V14" s="12">
        <v>479</v>
      </c>
      <c r="W14" s="12">
        <v>154</v>
      </c>
      <c r="X14" s="12">
        <v>377</v>
      </c>
      <c r="Y14" s="12">
        <v>402</v>
      </c>
      <c r="Z14" s="12">
        <v>485</v>
      </c>
      <c r="AA14" s="12">
        <v>473</v>
      </c>
      <c r="AB14" s="12">
        <v>375</v>
      </c>
      <c r="AC14" s="12">
        <v>262</v>
      </c>
      <c r="AD14" s="12">
        <v>362</v>
      </c>
      <c r="AE14" s="12">
        <v>349</v>
      </c>
      <c r="AF14" s="12">
        <v>421</v>
      </c>
    </row>
    <row r="15" spans="1:32">
      <c r="A15" s="19"/>
      <c r="B15" s="13" t="s">
        <v>990</v>
      </c>
      <c r="C15" s="14">
        <v>0.36</v>
      </c>
      <c r="D15" s="14">
        <v>0.39</v>
      </c>
      <c r="E15" s="14">
        <v>0.31</v>
      </c>
      <c r="F15" s="14">
        <v>0.34</v>
      </c>
      <c r="G15" s="14">
        <v>0.37</v>
      </c>
      <c r="H15" s="14">
        <v>0.4</v>
      </c>
      <c r="I15" s="14">
        <v>0.39</v>
      </c>
      <c r="J15" s="14">
        <v>0.34</v>
      </c>
      <c r="K15" s="14">
        <v>0.41</v>
      </c>
      <c r="L15" s="14">
        <v>0.27</v>
      </c>
      <c r="M15" s="14">
        <v>0.34</v>
      </c>
      <c r="N15" s="14">
        <v>0.26</v>
      </c>
      <c r="O15" s="14">
        <v>0.28999999999999998</v>
      </c>
      <c r="P15" s="14">
        <v>0.4</v>
      </c>
      <c r="Q15" s="14">
        <v>0.38</v>
      </c>
      <c r="R15" s="14">
        <v>0.23</v>
      </c>
      <c r="S15" s="14">
        <v>0.33</v>
      </c>
      <c r="T15" s="14">
        <v>0.36</v>
      </c>
      <c r="U15" s="14">
        <v>0.16</v>
      </c>
      <c r="V15" s="14">
        <v>0.47</v>
      </c>
      <c r="W15" s="14">
        <v>0.31</v>
      </c>
      <c r="X15" s="14">
        <v>0.37</v>
      </c>
      <c r="Y15" s="14">
        <v>0.4</v>
      </c>
      <c r="Z15" s="14">
        <v>0.48</v>
      </c>
      <c r="AA15" s="14">
        <v>0.46</v>
      </c>
      <c r="AB15" s="14">
        <v>0.36</v>
      </c>
      <c r="AC15" s="14">
        <v>0.26</v>
      </c>
      <c r="AD15" s="14">
        <v>0.36</v>
      </c>
      <c r="AE15" s="14">
        <v>0.35</v>
      </c>
      <c r="AF15" s="14">
        <v>0.41</v>
      </c>
    </row>
    <row r="16" spans="1:32">
      <c r="A16" s="19"/>
      <c r="B16" s="11" t="s">
        <v>991</v>
      </c>
      <c r="C16" s="12">
        <v>2108</v>
      </c>
      <c r="D16" s="12">
        <v>69</v>
      </c>
      <c r="E16" s="12">
        <v>72</v>
      </c>
      <c r="F16" s="12">
        <v>93</v>
      </c>
      <c r="G16" s="12">
        <v>134</v>
      </c>
      <c r="H16" s="12">
        <v>158</v>
      </c>
      <c r="I16" s="12">
        <v>190</v>
      </c>
      <c r="J16" s="12">
        <v>33</v>
      </c>
      <c r="K16" s="12">
        <v>132</v>
      </c>
      <c r="L16" s="12">
        <v>31</v>
      </c>
      <c r="M16" s="12">
        <v>35</v>
      </c>
      <c r="N16" s="12">
        <v>28</v>
      </c>
      <c r="O16" s="12">
        <v>37</v>
      </c>
      <c r="P16" s="12">
        <v>129</v>
      </c>
      <c r="Q16" s="12">
        <v>45</v>
      </c>
      <c r="R16" s="12">
        <v>15</v>
      </c>
      <c r="S16" s="12">
        <v>64</v>
      </c>
      <c r="T16" s="12">
        <v>37</v>
      </c>
      <c r="U16" s="12">
        <v>18</v>
      </c>
      <c r="V16" s="12">
        <v>130</v>
      </c>
      <c r="W16" s="12">
        <v>28</v>
      </c>
      <c r="X16" s="12">
        <v>84</v>
      </c>
      <c r="Y16" s="12">
        <v>108</v>
      </c>
      <c r="Z16" s="12">
        <v>134</v>
      </c>
      <c r="AA16" s="12">
        <v>30</v>
      </c>
      <c r="AB16" s="12">
        <v>204</v>
      </c>
      <c r="AC16" s="12">
        <v>32</v>
      </c>
      <c r="AD16" s="12">
        <v>66</v>
      </c>
      <c r="AE16" s="12">
        <v>56</v>
      </c>
      <c r="AF16" s="12">
        <v>119</v>
      </c>
    </row>
    <row r="17" spans="1:32">
      <c r="A17" s="19"/>
      <c r="B17" s="13" t="s">
        <v>992</v>
      </c>
      <c r="C17" s="14">
        <v>0.08</v>
      </c>
      <c r="D17" s="14">
        <v>7.0000000000000007E-2</v>
      </c>
      <c r="E17" s="14">
        <v>7.0000000000000007E-2</v>
      </c>
      <c r="F17" s="14">
        <v>0.09</v>
      </c>
      <c r="G17" s="14">
        <v>0.13</v>
      </c>
      <c r="H17" s="14">
        <v>0.13</v>
      </c>
      <c r="I17" s="14">
        <v>0.12</v>
      </c>
      <c r="J17" s="14">
        <v>0.11</v>
      </c>
      <c r="K17" s="14">
        <v>0.13</v>
      </c>
      <c r="L17" s="14">
        <v>0.03</v>
      </c>
      <c r="M17" s="14">
        <v>0.04</v>
      </c>
      <c r="N17" s="14">
        <v>0.03</v>
      </c>
      <c r="O17" s="14">
        <v>0.04</v>
      </c>
      <c r="P17" s="14">
        <v>0.13</v>
      </c>
      <c r="Q17" s="14">
        <v>0.04</v>
      </c>
      <c r="R17" s="14">
        <v>0.03</v>
      </c>
      <c r="S17" s="14">
        <v>0.06</v>
      </c>
      <c r="T17" s="14">
        <v>0.04</v>
      </c>
      <c r="U17" s="14">
        <v>0.04</v>
      </c>
      <c r="V17" s="14">
        <v>0.13</v>
      </c>
      <c r="W17" s="14">
        <v>0.06</v>
      </c>
      <c r="X17" s="14">
        <v>0.08</v>
      </c>
      <c r="Y17" s="14">
        <v>0.11</v>
      </c>
      <c r="Z17" s="14">
        <v>0.13</v>
      </c>
      <c r="AA17" s="14">
        <v>0.03</v>
      </c>
      <c r="AB17" s="14">
        <v>0.19</v>
      </c>
      <c r="AC17" s="14">
        <v>0.03</v>
      </c>
      <c r="AD17" s="14">
        <v>0.06</v>
      </c>
      <c r="AE17" s="14">
        <v>0.05</v>
      </c>
      <c r="AF17" s="14">
        <v>0.12</v>
      </c>
    </row>
    <row r="18" spans="1:32">
      <c r="A18" s="19"/>
      <c r="B18" s="11" t="s">
        <v>993</v>
      </c>
      <c r="C18" s="12">
        <v>667</v>
      </c>
      <c r="D18" s="12">
        <v>8</v>
      </c>
      <c r="E18" s="12">
        <v>26</v>
      </c>
      <c r="F18" s="12">
        <v>25</v>
      </c>
      <c r="G18" s="12">
        <v>14</v>
      </c>
      <c r="H18" s="12">
        <v>82</v>
      </c>
      <c r="I18" s="12">
        <v>99</v>
      </c>
      <c r="J18" s="12">
        <v>18</v>
      </c>
      <c r="K18" s="12">
        <v>26</v>
      </c>
      <c r="L18" s="12">
        <v>9</v>
      </c>
      <c r="M18" s="12">
        <v>14</v>
      </c>
      <c r="N18" s="12">
        <v>9</v>
      </c>
      <c r="O18" s="12">
        <v>6</v>
      </c>
      <c r="P18" s="12">
        <v>22</v>
      </c>
      <c r="Q18" s="12">
        <v>10</v>
      </c>
      <c r="R18" s="12">
        <v>7</v>
      </c>
      <c r="S18" s="12">
        <v>15</v>
      </c>
      <c r="T18" s="12">
        <v>8</v>
      </c>
      <c r="U18" s="12">
        <v>6</v>
      </c>
      <c r="V18" s="12">
        <v>40</v>
      </c>
      <c r="W18" s="12">
        <v>12</v>
      </c>
      <c r="X18" s="12">
        <v>8</v>
      </c>
      <c r="Y18" s="12">
        <v>43</v>
      </c>
      <c r="Z18" s="12">
        <v>26</v>
      </c>
      <c r="AA18" s="12">
        <v>9</v>
      </c>
      <c r="AB18" s="12">
        <v>63</v>
      </c>
      <c r="AC18" s="12">
        <v>5</v>
      </c>
      <c r="AD18" s="12">
        <v>17</v>
      </c>
      <c r="AE18" s="12">
        <v>8</v>
      </c>
      <c r="AF18" s="12">
        <v>23</v>
      </c>
    </row>
    <row r="19" spans="1:32">
      <c r="A19" s="19"/>
      <c r="B19" s="13" t="s">
        <v>994</v>
      </c>
      <c r="C19" s="14">
        <v>0.02</v>
      </c>
      <c r="D19" s="14">
        <v>0.01</v>
      </c>
      <c r="E19" s="14">
        <v>0.02</v>
      </c>
      <c r="F19" s="14">
        <v>0.02</v>
      </c>
      <c r="G19" s="14">
        <v>0.01</v>
      </c>
      <c r="H19" s="14">
        <v>7.0000000000000007E-2</v>
      </c>
      <c r="I19" s="14">
        <v>0.06</v>
      </c>
      <c r="J19" s="14">
        <v>0.06</v>
      </c>
      <c r="K19" s="14">
        <v>0.03</v>
      </c>
      <c r="L19" s="14">
        <v>0.01</v>
      </c>
      <c r="M19" s="14">
        <v>0.01</v>
      </c>
      <c r="N19" s="14">
        <v>0.01</v>
      </c>
      <c r="O19" s="15" t="s">
        <v>375</v>
      </c>
      <c r="P19" s="14">
        <v>0.02</v>
      </c>
      <c r="Q19" s="14">
        <v>0.01</v>
      </c>
      <c r="R19" s="14">
        <v>0.01</v>
      </c>
      <c r="S19" s="14">
        <v>0.01</v>
      </c>
      <c r="T19" s="14">
        <v>0.01</v>
      </c>
      <c r="U19" s="14">
        <v>0.01</v>
      </c>
      <c r="V19" s="14">
        <v>0.04</v>
      </c>
      <c r="W19" s="14">
        <v>0.02</v>
      </c>
      <c r="X19" s="14">
        <v>0.01</v>
      </c>
      <c r="Y19" s="14">
        <v>0.04</v>
      </c>
      <c r="Z19" s="14">
        <v>0.02</v>
      </c>
      <c r="AA19" s="14">
        <v>0.01</v>
      </c>
      <c r="AB19" s="14">
        <v>0.06</v>
      </c>
      <c r="AC19" s="14">
        <v>0.01</v>
      </c>
      <c r="AD19" s="14">
        <v>0.02</v>
      </c>
      <c r="AE19" s="14">
        <v>0.01</v>
      </c>
      <c r="AF19" s="14">
        <v>0.02</v>
      </c>
    </row>
    <row r="20" spans="1:32">
      <c r="A20" s="19"/>
      <c r="B20" s="11" t="s">
        <v>386</v>
      </c>
      <c r="C20" s="12">
        <v>428</v>
      </c>
      <c r="D20" s="12">
        <v>5</v>
      </c>
      <c r="E20" s="12">
        <v>28</v>
      </c>
      <c r="F20" s="12">
        <v>25</v>
      </c>
      <c r="G20" s="12">
        <v>10</v>
      </c>
      <c r="H20" s="12">
        <v>39</v>
      </c>
      <c r="I20" s="12">
        <v>41</v>
      </c>
      <c r="J20" s="12">
        <v>2</v>
      </c>
      <c r="K20" s="12">
        <v>13</v>
      </c>
      <c r="L20" s="12">
        <v>11</v>
      </c>
      <c r="M20" s="12">
        <v>13</v>
      </c>
      <c r="N20" s="12">
        <v>8</v>
      </c>
      <c r="O20" s="12">
        <v>21</v>
      </c>
      <c r="P20" s="12">
        <v>35</v>
      </c>
      <c r="Q20" s="12">
        <v>8</v>
      </c>
      <c r="R20" s="12">
        <v>14</v>
      </c>
      <c r="S20" s="12">
        <v>8</v>
      </c>
      <c r="T20" s="12">
        <v>12</v>
      </c>
      <c r="U20" s="12">
        <v>2</v>
      </c>
      <c r="V20" s="12">
        <v>4</v>
      </c>
      <c r="W20" s="12">
        <v>2</v>
      </c>
      <c r="X20" s="12">
        <v>1</v>
      </c>
      <c r="Y20" s="12">
        <v>13</v>
      </c>
      <c r="Z20" s="12">
        <v>17</v>
      </c>
      <c r="AA20" s="12">
        <v>26</v>
      </c>
      <c r="AB20" s="12">
        <v>37</v>
      </c>
      <c r="AC20" s="12">
        <v>0</v>
      </c>
      <c r="AD20" s="12">
        <v>6</v>
      </c>
      <c r="AE20" s="12">
        <v>7</v>
      </c>
      <c r="AF20" s="12">
        <v>5</v>
      </c>
    </row>
    <row r="21" spans="1:32">
      <c r="A21" s="19"/>
      <c r="B21" s="13" t="s">
        <v>399</v>
      </c>
      <c r="C21" s="14">
        <v>0.02</v>
      </c>
      <c r="D21" s="15" t="s">
        <v>375</v>
      </c>
      <c r="E21" s="14">
        <v>0.03</v>
      </c>
      <c r="F21" s="14">
        <v>0.02</v>
      </c>
      <c r="G21" s="14">
        <v>0.01</v>
      </c>
      <c r="H21" s="14">
        <v>0.03</v>
      </c>
      <c r="I21" s="14">
        <v>0.03</v>
      </c>
      <c r="J21" s="14">
        <v>0.01</v>
      </c>
      <c r="K21" s="14">
        <v>0.01</v>
      </c>
      <c r="L21" s="14">
        <v>0.01</v>
      </c>
      <c r="M21" s="14">
        <v>0.01</v>
      </c>
      <c r="N21" s="14">
        <v>0.01</v>
      </c>
      <c r="O21" s="14">
        <v>0.02</v>
      </c>
      <c r="P21" s="14">
        <v>0.04</v>
      </c>
      <c r="Q21" s="14">
        <v>0.01</v>
      </c>
      <c r="R21" s="14">
        <v>0.03</v>
      </c>
      <c r="S21" s="14">
        <v>0.01</v>
      </c>
      <c r="T21" s="14">
        <v>0.01</v>
      </c>
      <c r="U21" s="15" t="s">
        <v>375</v>
      </c>
      <c r="V21" s="15" t="s">
        <v>375</v>
      </c>
      <c r="W21" s="15" t="s">
        <v>375</v>
      </c>
      <c r="X21" s="15" t="s">
        <v>375</v>
      </c>
      <c r="Y21" s="14">
        <v>0.01</v>
      </c>
      <c r="Z21" s="14">
        <v>0.02</v>
      </c>
      <c r="AA21" s="14">
        <v>0.02</v>
      </c>
      <c r="AB21" s="14">
        <v>0.04</v>
      </c>
      <c r="AC21" s="15" t="s">
        <v>375</v>
      </c>
      <c r="AD21" s="14">
        <v>0.01</v>
      </c>
      <c r="AE21" s="14">
        <v>0.01</v>
      </c>
      <c r="AF21" s="15" t="s">
        <v>375</v>
      </c>
    </row>
    <row r="22" spans="1:32">
      <c r="A22" s="19"/>
      <c r="B22" s="11" t="s">
        <v>916</v>
      </c>
      <c r="C22" s="12">
        <v>23250</v>
      </c>
      <c r="D22" s="12">
        <v>939</v>
      </c>
      <c r="E22" s="12">
        <v>921</v>
      </c>
      <c r="F22" s="12">
        <v>921</v>
      </c>
      <c r="G22" s="12">
        <v>859</v>
      </c>
      <c r="H22" s="12">
        <v>952</v>
      </c>
      <c r="I22" s="12">
        <v>1196</v>
      </c>
      <c r="J22" s="12">
        <v>244</v>
      </c>
      <c r="K22" s="12">
        <v>834</v>
      </c>
      <c r="L22" s="12">
        <v>955</v>
      </c>
      <c r="M22" s="12">
        <v>945</v>
      </c>
      <c r="N22" s="12">
        <v>967</v>
      </c>
      <c r="O22" s="12">
        <v>940</v>
      </c>
      <c r="P22" s="12">
        <v>816</v>
      </c>
      <c r="Q22" s="12">
        <v>967</v>
      </c>
      <c r="R22" s="12">
        <v>466</v>
      </c>
      <c r="S22" s="12">
        <v>918</v>
      </c>
      <c r="T22" s="12">
        <v>967</v>
      </c>
      <c r="U22" s="12">
        <v>482</v>
      </c>
      <c r="V22" s="12">
        <v>852</v>
      </c>
      <c r="W22" s="12">
        <v>459</v>
      </c>
      <c r="X22" s="12">
        <v>917</v>
      </c>
      <c r="Y22" s="12">
        <v>839</v>
      </c>
      <c r="Z22" s="12">
        <v>839</v>
      </c>
      <c r="AA22" s="12">
        <v>971</v>
      </c>
      <c r="AB22" s="12">
        <v>737</v>
      </c>
      <c r="AC22" s="12">
        <v>967</v>
      </c>
      <c r="AD22" s="12">
        <v>914</v>
      </c>
      <c r="AE22" s="12">
        <v>931</v>
      </c>
      <c r="AF22" s="12">
        <v>884</v>
      </c>
    </row>
    <row r="23" spans="1:32">
      <c r="A23" s="19"/>
      <c r="B23" s="13" t="s">
        <v>917</v>
      </c>
      <c r="C23" s="14">
        <v>0.88</v>
      </c>
      <c r="D23" s="14">
        <v>0.92</v>
      </c>
      <c r="E23" s="14">
        <v>0.88</v>
      </c>
      <c r="F23" s="14">
        <v>0.87</v>
      </c>
      <c r="G23" s="14">
        <v>0.85</v>
      </c>
      <c r="H23" s="14">
        <v>0.77</v>
      </c>
      <c r="I23" s="14">
        <v>0.79</v>
      </c>
      <c r="J23" s="14">
        <v>0.82000000000000006</v>
      </c>
      <c r="K23" s="14">
        <v>0.83000000000000007</v>
      </c>
      <c r="L23" s="14">
        <v>0.95000000000000007</v>
      </c>
      <c r="M23" s="14">
        <v>0.94000000000000006</v>
      </c>
      <c r="N23" s="14">
        <v>0.95000000000000007</v>
      </c>
      <c r="O23" s="14">
        <v>0.94000000000000006</v>
      </c>
      <c r="P23" s="14">
        <v>0.81</v>
      </c>
      <c r="Q23" s="14">
        <v>0.94000000000000006</v>
      </c>
      <c r="R23" s="14">
        <v>0.93</v>
      </c>
      <c r="S23" s="14">
        <v>0.92</v>
      </c>
      <c r="T23" s="14">
        <v>0.94000000000000006</v>
      </c>
      <c r="U23" s="14">
        <v>0.95000000000000007</v>
      </c>
      <c r="V23" s="14">
        <v>0.83000000000000007</v>
      </c>
      <c r="W23" s="14">
        <v>0.92</v>
      </c>
      <c r="X23" s="14">
        <v>0.91</v>
      </c>
      <c r="Y23" s="14">
        <v>0.84</v>
      </c>
      <c r="Z23" s="14">
        <v>0.83000000000000007</v>
      </c>
      <c r="AA23" s="14">
        <v>0.94000000000000006</v>
      </c>
      <c r="AB23" s="14">
        <v>0.71</v>
      </c>
      <c r="AC23" s="14">
        <v>0.96</v>
      </c>
      <c r="AD23" s="14">
        <v>0.91</v>
      </c>
      <c r="AE23" s="14">
        <v>0.93</v>
      </c>
      <c r="AF23" s="14">
        <v>0.86</v>
      </c>
    </row>
    <row r="24" spans="1:32">
      <c r="A24" s="19"/>
      <c r="B24" s="11" t="s">
        <v>912</v>
      </c>
      <c r="C24" s="12">
        <v>2775</v>
      </c>
      <c r="D24" s="12">
        <v>77</v>
      </c>
      <c r="E24" s="12">
        <v>98</v>
      </c>
      <c r="F24" s="12">
        <v>118</v>
      </c>
      <c r="G24" s="12">
        <v>148</v>
      </c>
      <c r="H24" s="12">
        <v>240</v>
      </c>
      <c r="I24" s="12">
        <v>289</v>
      </c>
      <c r="J24" s="12">
        <v>51</v>
      </c>
      <c r="K24" s="12">
        <v>158</v>
      </c>
      <c r="L24" s="12">
        <v>40</v>
      </c>
      <c r="M24" s="12">
        <v>49</v>
      </c>
      <c r="N24" s="12">
        <v>37</v>
      </c>
      <c r="O24" s="12">
        <v>43</v>
      </c>
      <c r="P24" s="12">
        <v>151</v>
      </c>
      <c r="Q24" s="12">
        <v>55</v>
      </c>
      <c r="R24" s="12">
        <v>22</v>
      </c>
      <c r="S24" s="12">
        <v>79</v>
      </c>
      <c r="T24" s="12">
        <v>45</v>
      </c>
      <c r="U24" s="12">
        <v>24</v>
      </c>
      <c r="V24" s="12">
        <v>170</v>
      </c>
      <c r="W24" s="12">
        <v>40</v>
      </c>
      <c r="X24" s="12">
        <v>92</v>
      </c>
      <c r="Y24" s="12">
        <v>151</v>
      </c>
      <c r="Z24" s="12">
        <v>160</v>
      </c>
      <c r="AA24" s="12">
        <v>39</v>
      </c>
      <c r="AB24" s="12">
        <v>267</v>
      </c>
      <c r="AC24" s="12">
        <v>37</v>
      </c>
      <c r="AD24" s="12">
        <v>83</v>
      </c>
      <c r="AE24" s="12">
        <v>64</v>
      </c>
      <c r="AF24" s="12">
        <v>142</v>
      </c>
    </row>
    <row r="25" spans="1:32">
      <c r="A25" s="19"/>
      <c r="B25" s="13" t="s">
        <v>995</v>
      </c>
      <c r="C25" s="14">
        <v>0.1</v>
      </c>
      <c r="D25" s="14">
        <v>0.08</v>
      </c>
      <c r="E25" s="14">
        <v>0.09</v>
      </c>
      <c r="F25" s="14">
        <v>0.11</v>
      </c>
      <c r="G25" s="14">
        <v>0.14000000000000001</v>
      </c>
      <c r="H25" s="14">
        <v>0.2</v>
      </c>
      <c r="I25" s="14">
        <v>0.18</v>
      </c>
      <c r="J25" s="14">
        <v>0.17</v>
      </c>
      <c r="K25" s="14">
        <v>0.16</v>
      </c>
      <c r="L25" s="14">
        <v>0.04</v>
      </c>
      <c r="M25" s="14">
        <v>0.05</v>
      </c>
      <c r="N25" s="14">
        <v>0.04</v>
      </c>
      <c r="O25" s="14">
        <v>0.04</v>
      </c>
      <c r="P25" s="14">
        <v>0.15</v>
      </c>
      <c r="Q25" s="14">
        <v>0.05</v>
      </c>
      <c r="R25" s="14">
        <v>0.04</v>
      </c>
      <c r="S25" s="14">
        <v>7.0000000000000007E-2</v>
      </c>
      <c r="T25" s="14">
        <v>0.05</v>
      </c>
      <c r="U25" s="14">
        <v>0.05</v>
      </c>
      <c r="V25" s="14">
        <v>0.17</v>
      </c>
      <c r="W25" s="14">
        <v>0.08</v>
      </c>
      <c r="X25" s="14">
        <v>0.09</v>
      </c>
      <c r="Y25" s="14">
        <v>0.15</v>
      </c>
      <c r="Z25" s="14">
        <v>0.15</v>
      </c>
      <c r="AA25" s="14">
        <v>0.04</v>
      </c>
      <c r="AB25" s="14">
        <v>0.25</v>
      </c>
      <c r="AC25" s="14">
        <v>0.04</v>
      </c>
      <c r="AD25" s="14">
        <v>0.08</v>
      </c>
      <c r="AE25" s="14">
        <v>0.06</v>
      </c>
      <c r="AF25" s="14">
        <v>0.14000000000000001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1020</v>
      </c>
      <c r="C3" s="17"/>
      <c r="D3" s="17"/>
      <c r="E3" s="17"/>
      <c r="F3" s="17"/>
      <c r="H3" s="17" t="s">
        <v>1021</v>
      </c>
      <c r="I3" s="17"/>
      <c r="J3" s="17"/>
      <c r="K3" s="17"/>
      <c r="L3" s="17"/>
    </row>
    <row r="4" spans="1:32" ht="27" customHeight="1">
      <c r="B4" s="17" t="s">
        <v>1022</v>
      </c>
      <c r="C4" s="17"/>
      <c r="D4" s="17"/>
      <c r="E4" s="17"/>
      <c r="F4" s="17"/>
      <c r="H4" s="17" t="s">
        <v>1023</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987</v>
      </c>
      <c r="C12" s="12">
        <v>13169</v>
      </c>
      <c r="D12" s="12">
        <v>522</v>
      </c>
      <c r="E12" s="12">
        <v>524</v>
      </c>
      <c r="F12" s="12">
        <v>536</v>
      </c>
      <c r="G12" s="12">
        <v>479</v>
      </c>
      <c r="H12" s="12">
        <v>439</v>
      </c>
      <c r="I12" s="12">
        <v>565</v>
      </c>
      <c r="J12" s="12">
        <v>127</v>
      </c>
      <c r="K12" s="12">
        <v>377</v>
      </c>
      <c r="L12" s="12">
        <v>680</v>
      </c>
      <c r="M12" s="12">
        <v>604</v>
      </c>
      <c r="N12" s="12">
        <v>730</v>
      </c>
      <c r="O12" s="12">
        <v>619</v>
      </c>
      <c r="P12" s="12">
        <v>389</v>
      </c>
      <c r="Q12" s="12">
        <v>499</v>
      </c>
      <c r="R12" s="12">
        <v>346</v>
      </c>
      <c r="S12" s="12">
        <v>588</v>
      </c>
      <c r="T12" s="12">
        <v>549</v>
      </c>
      <c r="U12" s="12">
        <v>379</v>
      </c>
      <c r="V12" s="12">
        <v>332</v>
      </c>
      <c r="W12" s="12">
        <v>303</v>
      </c>
      <c r="X12" s="12">
        <v>459</v>
      </c>
      <c r="Y12" s="12">
        <v>383</v>
      </c>
      <c r="Z12" s="12">
        <v>378</v>
      </c>
      <c r="AA12" s="12">
        <v>637</v>
      </c>
      <c r="AB12" s="12">
        <v>324</v>
      </c>
      <c r="AC12" s="12">
        <v>655</v>
      </c>
      <c r="AD12" s="12">
        <v>489</v>
      </c>
      <c r="AE12" s="12">
        <v>632</v>
      </c>
      <c r="AF12" s="12">
        <v>486</v>
      </c>
    </row>
    <row r="13" spans="1:32">
      <c r="A13" s="19"/>
      <c r="B13" s="13" t="s">
        <v>988</v>
      </c>
      <c r="C13" s="14">
        <v>0.5</v>
      </c>
      <c r="D13" s="14">
        <v>0.51</v>
      </c>
      <c r="E13" s="14">
        <v>0.5</v>
      </c>
      <c r="F13" s="14">
        <v>0.5</v>
      </c>
      <c r="G13" s="14">
        <v>0.47</v>
      </c>
      <c r="H13" s="14">
        <v>0.36</v>
      </c>
      <c r="I13" s="14">
        <v>0.37</v>
      </c>
      <c r="J13" s="14">
        <v>0.42</v>
      </c>
      <c r="K13" s="14">
        <v>0.38</v>
      </c>
      <c r="L13" s="14">
        <v>0.68</v>
      </c>
      <c r="M13" s="14">
        <v>0.6</v>
      </c>
      <c r="N13" s="14">
        <v>0.72</v>
      </c>
      <c r="O13" s="14">
        <v>0.62</v>
      </c>
      <c r="P13" s="14">
        <v>0.39</v>
      </c>
      <c r="Q13" s="14">
        <v>0.48</v>
      </c>
      <c r="R13" s="14">
        <v>0.69000000000000006</v>
      </c>
      <c r="S13" s="14">
        <v>0.59</v>
      </c>
      <c r="T13" s="14">
        <v>0.54</v>
      </c>
      <c r="U13" s="14">
        <v>0.75</v>
      </c>
      <c r="V13" s="14">
        <v>0.32</v>
      </c>
      <c r="W13" s="14">
        <v>0.61</v>
      </c>
      <c r="X13" s="14">
        <v>0.46</v>
      </c>
      <c r="Y13" s="14">
        <v>0.38</v>
      </c>
      <c r="Z13" s="14">
        <v>0.37</v>
      </c>
      <c r="AA13" s="14">
        <v>0.61</v>
      </c>
      <c r="AB13" s="14">
        <v>0.31</v>
      </c>
      <c r="AC13" s="14">
        <v>0.65</v>
      </c>
      <c r="AD13" s="14">
        <v>0.49</v>
      </c>
      <c r="AE13" s="14">
        <v>0.63</v>
      </c>
      <c r="AF13" s="14">
        <v>0.47</v>
      </c>
    </row>
    <row r="14" spans="1:32">
      <c r="A14" s="19"/>
      <c r="B14" s="11" t="s">
        <v>989</v>
      </c>
      <c r="C14" s="12">
        <v>10209</v>
      </c>
      <c r="D14" s="12">
        <v>411</v>
      </c>
      <c r="E14" s="12">
        <v>383</v>
      </c>
      <c r="F14" s="12">
        <v>413</v>
      </c>
      <c r="G14" s="12">
        <v>408</v>
      </c>
      <c r="H14" s="12">
        <v>534</v>
      </c>
      <c r="I14" s="12">
        <v>665</v>
      </c>
      <c r="J14" s="12">
        <v>130</v>
      </c>
      <c r="K14" s="12">
        <v>475</v>
      </c>
      <c r="L14" s="12">
        <v>275</v>
      </c>
      <c r="M14" s="12">
        <v>351</v>
      </c>
      <c r="N14" s="12">
        <v>254</v>
      </c>
      <c r="O14" s="12">
        <v>314</v>
      </c>
      <c r="P14" s="12">
        <v>426</v>
      </c>
      <c r="Q14" s="12">
        <v>443</v>
      </c>
      <c r="R14" s="12">
        <v>115</v>
      </c>
      <c r="S14" s="12">
        <v>336</v>
      </c>
      <c r="T14" s="12">
        <v>411</v>
      </c>
      <c r="U14" s="12">
        <v>97</v>
      </c>
      <c r="V14" s="12">
        <v>495</v>
      </c>
      <c r="W14" s="12">
        <v>166</v>
      </c>
      <c r="X14" s="12">
        <v>464</v>
      </c>
      <c r="Y14" s="12">
        <v>459</v>
      </c>
      <c r="Z14" s="12">
        <v>480</v>
      </c>
      <c r="AA14" s="12">
        <v>317</v>
      </c>
      <c r="AB14" s="12">
        <v>417</v>
      </c>
      <c r="AC14" s="12">
        <v>300</v>
      </c>
      <c r="AD14" s="12">
        <v>435</v>
      </c>
      <c r="AE14" s="12">
        <v>313</v>
      </c>
      <c r="AF14" s="12">
        <v>447</v>
      </c>
    </row>
    <row r="15" spans="1:32">
      <c r="A15" s="19"/>
      <c r="B15" s="13" t="s">
        <v>990</v>
      </c>
      <c r="C15" s="14">
        <v>0.38</v>
      </c>
      <c r="D15" s="14">
        <v>0.4</v>
      </c>
      <c r="E15" s="14">
        <v>0.37</v>
      </c>
      <c r="F15" s="14">
        <v>0.39</v>
      </c>
      <c r="G15" s="14">
        <v>0.4</v>
      </c>
      <c r="H15" s="14">
        <v>0.44</v>
      </c>
      <c r="I15" s="14">
        <v>0.44</v>
      </c>
      <c r="J15" s="14">
        <v>0.44</v>
      </c>
      <c r="K15" s="14">
        <v>0.47</v>
      </c>
      <c r="L15" s="14">
        <v>0.27</v>
      </c>
      <c r="M15" s="14">
        <v>0.35</v>
      </c>
      <c r="N15" s="14">
        <v>0.25</v>
      </c>
      <c r="O15" s="14">
        <v>0.31</v>
      </c>
      <c r="P15" s="14">
        <v>0.43</v>
      </c>
      <c r="Q15" s="14">
        <v>0.43</v>
      </c>
      <c r="R15" s="14">
        <v>0.23</v>
      </c>
      <c r="S15" s="14">
        <v>0.33</v>
      </c>
      <c r="T15" s="14">
        <v>0.4</v>
      </c>
      <c r="U15" s="14">
        <v>0.19</v>
      </c>
      <c r="V15" s="14">
        <v>0.48</v>
      </c>
      <c r="W15" s="14">
        <v>0.33</v>
      </c>
      <c r="X15" s="14">
        <v>0.46</v>
      </c>
      <c r="Y15" s="14">
        <v>0.46</v>
      </c>
      <c r="Z15" s="14">
        <v>0.47</v>
      </c>
      <c r="AA15" s="14">
        <v>0.31</v>
      </c>
      <c r="AB15" s="14">
        <v>0.4</v>
      </c>
      <c r="AC15" s="14">
        <v>0.3</v>
      </c>
      <c r="AD15" s="14">
        <v>0.43</v>
      </c>
      <c r="AE15" s="14">
        <v>0.31</v>
      </c>
      <c r="AF15" s="14">
        <v>0.43</v>
      </c>
    </row>
    <row r="16" spans="1:32">
      <c r="A16" s="19"/>
      <c r="B16" s="11" t="s">
        <v>991</v>
      </c>
      <c r="C16" s="12">
        <v>2091</v>
      </c>
      <c r="D16" s="12">
        <v>74</v>
      </c>
      <c r="E16" s="12">
        <v>76</v>
      </c>
      <c r="F16" s="12">
        <v>72</v>
      </c>
      <c r="G16" s="12">
        <v>95</v>
      </c>
      <c r="H16" s="12">
        <v>152</v>
      </c>
      <c r="I16" s="12">
        <v>184</v>
      </c>
      <c r="J16" s="12">
        <v>32</v>
      </c>
      <c r="K16" s="12">
        <v>121</v>
      </c>
      <c r="L16" s="12">
        <v>28</v>
      </c>
      <c r="M16" s="12">
        <v>35</v>
      </c>
      <c r="N16" s="12">
        <v>14</v>
      </c>
      <c r="O16" s="12">
        <v>46</v>
      </c>
      <c r="P16" s="12">
        <v>120</v>
      </c>
      <c r="Q16" s="12">
        <v>72</v>
      </c>
      <c r="R16" s="12">
        <v>20</v>
      </c>
      <c r="S16" s="12">
        <v>60</v>
      </c>
      <c r="T16" s="12">
        <v>46</v>
      </c>
      <c r="U16" s="12">
        <v>20</v>
      </c>
      <c r="V16" s="12">
        <v>148</v>
      </c>
      <c r="W16" s="12">
        <v>20</v>
      </c>
      <c r="X16" s="12">
        <v>82</v>
      </c>
      <c r="Y16" s="12">
        <v>119</v>
      </c>
      <c r="Z16" s="12">
        <v>116</v>
      </c>
      <c r="AA16" s="12">
        <v>45</v>
      </c>
      <c r="AB16" s="12">
        <v>188</v>
      </c>
      <c r="AC16" s="12">
        <v>42</v>
      </c>
      <c r="AD16" s="12">
        <v>53</v>
      </c>
      <c r="AE16" s="12">
        <v>44</v>
      </c>
      <c r="AF16" s="12">
        <v>84</v>
      </c>
    </row>
    <row r="17" spans="1:32">
      <c r="A17" s="19"/>
      <c r="B17" s="13" t="s">
        <v>992</v>
      </c>
      <c r="C17" s="14">
        <v>0.08</v>
      </c>
      <c r="D17" s="14">
        <v>7.0000000000000007E-2</v>
      </c>
      <c r="E17" s="14">
        <v>7.0000000000000007E-2</v>
      </c>
      <c r="F17" s="14">
        <v>7.0000000000000007E-2</v>
      </c>
      <c r="G17" s="14">
        <v>0.09</v>
      </c>
      <c r="H17" s="14">
        <v>0.12</v>
      </c>
      <c r="I17" s="14">
        <v>0.12</v>
      </c>
      <c r="J17" s="14">
        <v>0.11</v>
      </c>
      <c r="K17" s="14">
        <v>0.12</v>
      </c>
      <c r="L17" s="14">
        <v>0.03</v>
      </c>
      <c r="M17" s="14">
        <v>0.03</v>
      </c>
      <c r="N17" s="14">
        <v>0.01</v>
      </c>
      <c r="O17" s="14">
        <v>0.05</v>
      </c>
      <c r="P17" s="14">
        <v>0.12</v>
      </c>
      <c r="Q17" s="14">
        <v>7.0000000000000007E-2</v>
      </c>
      <c r="R17" s="14">
        <v>0.04</v>
      </c>
      <c r="S17" s="14">
        <v>0.06</v>
      </c>
      <c r="T17" s="14">
        <v>0.04</v>
      </c>
      <c r="U17" s="14">
        <v>0.04</v>
      </c>
      <c r="V17" s="14">
        <v>0.15</v>
      </c>
      <c r="W17" s="14">
        <v>0.04</v>
      </c>
      <c r="X17" s="14">
        <v>0.08</v>
      </c>
      <c r="Y17" s="14">
        <v>0.12</v>
      </c>
      <c r="Z17" s="14">
        <v>0.11</v>
      </c>
      <c r="AA17" s="14">
        <v>0.04</v>
      </c>
      <c r="AB17" s="14">
        <v>0.18</v>
      </c>
      <c r="AC17" s="14">
        <v>0.04</v>
      </c>
      <c r="AD17" s="14">
        <v>0.05</v>
      </c>
      <c r="AE17" s="14">
        <v>0.05</v>
      </c>
      <c r="AF17" s="14">
        <v>0.08</v>
      </c>
    </row>
    <row r="18" spans="1:32">
      <c r="A18" s="19"/>
      <c r="B18" s="11" t="s">
        <v>993</v>
      </c>
      <c r="C18" s="12">
        <v>530</v>
      </c>
      <c r="D18" s="12">
        <v>7</v>
      </c>
      <c r="E18" s="12">
        <v>31</v>
      </c>
      <c r="F18" s="12">
        <v>17</v>
      </c>
      <c r="G18" s="12">
        <v>21</v>
      </c>
      <c r="H18" s="12">
        <v>63</v>
      </c>
      <c r="I18" s="12">
        <v>68</v>
      </c>
      <c r="J18" s="12">
        <v>5</v>
      </c>
      <c r="K18" s="12">
        <v>20</v>
      </c>
      <c r="L18" s="12">
        <v>11</v>
      </c>
      <c r="M18" s="12">
        <v>8</v>
      </c>
      <c r="N18" s="12">
        <v>5</v>
      </c>
      <c r="O18" s="12">
        <v>4</v>
      </c>
      <c r="P18" s="12">
        <v>33</v>
      </c>
      <c r="Q18" s="12">
        <v>10</v>
      </c>
      <c r="R18" s="12">
        <v>7</v>
      </c>
      <c r="S18" s="12">
        <v>7</v>
      </c>
      <c r="T18" s="12">
        <v>6</v>
      </c>
      <c r="U18" s="12">
        <v>9</v>
      </c>
      <c r="V18" s="12">
        <v>44</v>
      </c>
      <c r="W18" s="12">
        <v>11</v>
      </c>
      <c r="X18" s="12">
        <v>4</v>
      </c>
      <c r="Y18" s="12">
        <v>24</v>
      </c>
      <c r="Z18" s="12">
        <v>27</v>
      </c>
      <c r="AA18" s="12">
        <v>11</v>
      </c>
      <c r="AB18" s="12">
        <v>67</v>
      </c>
      <c r="AC18" s="12">
        <v>7</v>
      </c>
      <c r="AD18" s="12">
        <v>17</v>
      </c>
      <c r="AE18" s="12">
        <v>4</v>
      </c>
      <c r="AF18" s="12">
        <v>7</v>
      </c>
    </row>
    <row r="19" spans="1:32">
      <c r="A19" s="19"/>
      <c r="B19" s="13" t="s">
        <v>994</v>
      </c>
      <c r="C19" s="14">
        <v>0.02</v>
      </c>
      <c r="D19" s="14">
        <v>0.01</v>
      </c>
      <c r="E19" s="14">
        <v>0.03</v>
      </c>
      <c r="F19" s="14">
        <v>0.02</v>
      </c>
      <c r="G19" s="14">
        <v>0.02</v>
      </c>
      <c r="H19" s="14">
        <v>0.05</v>
      </c>
      <c r="I19" s="14">
        <v>0.04</v>
      </c>
      <c r="J19" s="14">
        <v>0.02</v>
      </c>
      <c r="K19" s="14">
        <v>0.02</v>
      </c>
      <c r="L19" s="14">
        <v>0.01</v>
      </c>
      <c r="M19" s="14">
        <v>0.01</v>
      </c>
      <c r="N19" s="14">
        <v>0.01</v>
      </c>
      <c r="O19" s="15" t="s">
        <v>375</v>
      </c>
      <c r="P19" s="14">
        <v>0.03</v>
      </c>
      <c r="Q19" s="14">
        <v>0.01</v>
      </c>
      <c r="R19" s="14">
        <v>0.01</v>
      </c>
      <c r="S19" s="14">
        <v>0.01</v>
      </c>
      <c r="T19" s="14">
        <v>0.01</v>
      </c>
      <c r="U19" s="14">
        <v>0.02</v>
      </c>
      <c r="V19" s="14">
        <v>0.04</v>
      </c>
      <c r="W19" s="14">
        <v>0.02</v>
      </c>
      <c r="X19" s="15" t="s">
        <v>375</v>
      </c>
      <c r="Y19" s="14">
        <v>0.02</v>
      </c>
      <c r="Z19" s="14">
        <v>0.03</v>
      </c>
      <c r="AA19" s="14">
        <v>0.01</v>
      </c>
      <c r="AB19" s="14">
        <v>7.0000000000000007E-2</v>
      </c>
      <c r="AC19" s="14">
        <v>0.01</v>
      </c>
      <c r="AD19" s="14">
        <v>0.02</v>
      </c>
      <c r="AE19" s="15" t="s">
        <v>375</v>
      </c>
      <c r="AF19" s="14">
        <v>0.01</v>
      </c>
    </row>
    <row r="20" spans="1:32">
      <c r="A20" s="19"/>
      <c r="B20" s="11" t="s">
        <v>386</v>
      </c>
      <c r="C20" s="12">
        <v>454</v>
      </c>
      <c r="D20" s="12">
        <v>7</v>
      </c>
      <c r="E20" s="12">
        <v>33</v>
      </c>
      <c r="F20" s="12">
        <v>25</v>
      </c>
      <c r="G20" s="12">
        <v>14</v>
      </c>
      <c r="H20" s="12">
        <v>42</v>
      </c>
      <c r="I20" s="12">
        <v>45</v>
      </c>
      <c r="J20" s="12">
        <v>4</v>
      </c>
      <c r="K20" s="12">
        <v>13</v>
      </c>
      <c r="L20" s="12">
        <v>13</v>
      </c>
      <c r="M20" s="12">
        <v>9</v>
      </c>
      <c r="N20" s="12">
        <v>7</v>
      </c>
      <c r="O20" s="12">
        <v>20</v>
      </c>
      <c r="P20" s="12">
        <v>35</v>
      </c>
      <c r="Q20" s="12">
        <v>8</v>
      </c>
      <c r="R20" s="12">
        <v>13</v>
      </c>
      <c r="S20" s="12">
        <v>13</v>
      </c>
      <c r="T20" s="12">
        <v>12</v>
      </c>
      <c r="U20" s="12">
        <v>2</v>
      </c>
      <c r="V20" s="12">
        <v>7</v>
      </c>
      <c r="W20" s="12">
        <v>2</v>
      </c>
      <c r="X20" s="12">
        <v>1</v>
      </c>
      <c r="Y20" s="12">
        <v>18</v>
      </c>
      <c r="Z20" s="12">
        <v>15</v>
      </c>
      <c r="AA20" s="12">
        <v>28</v>
      </c>
      <c r="AB20" s="12">
        <v>46</v>
      </c>
      <c r="AC20" s="12">
        <v>0</v>
      </c>
      <c r="AD20" s="12">
        <v>8</v>
      </c>
      <c r="AE20" s="12">
        <v>7</v>
      </c>
      <c r="AF20" s="12">
        <v>6</v>
      </c>
    </row>
    <row r="21" spans="1:32">
      <c r="A21" s="19"/>
      <c r="B21" s="13" t="s">
        <v>399</v>
      </c>
      <c r="C21" s="14">
        <v>0.02</v>
      </c>
      <c r="D21" s="14">
        <v>0.01</v>
      </c>
      <c r="E21" s="14">
        <v>0.03</v>
      </c>
      <c r="F21" s="14">
        <v>0.02</v>
      </c>
      <c r="G21" s="14">
        <v>0.02</v>
      </c>
      <c r="H21" s="14">
        <v>0.03</v>
      </c>
      <c r="I21" s="14">
        <v>0.03</v>
      </c>
      <c r="J21" s="14">
        <v>0.01</v>
      </c>
      <c r="K21" s="14">
        <v>0.01</v>
      </c>
      <c r="L21" s="14">
        <v>0.01</v>
      </c>
      <c r="M21" s="14">
        <v>0.01</v>
      </c>
      <c r="N21" s="14">
        <v>0.01</v>
      </c>
      <c r="O21" s="14">
        <v>0.02</v>
      </c>
      <c r="P21" s="14">
        <v>0.03</v>
      </c>
      <c r="Q21" s="14">
        <v>0.01</v>
      </c>
      <c r="R21" s="14">
        <v>0.03</v>
      </c>
      <c r="S21" s="14">
        <v>0.01</v>
      </c>
      <c r="T21" s="14">
        <v>0.01</v>
      </c>
      <c r="U21" s="15" t="s">
        <v>375</v>
      </c>
      <c r="V21" s="14">
        <v>0.01</v>
      </c>
      <c r="W21" s="15" t="s">
        <v>375</v>
      </c>
      <c r="X21" s="15" t="s">
        <v>375</v>
      </c>
      <c r="Y21" s="14">
        <v>0.02</v>
      </c>
      <c r="Z21" s="14">
        <v>0.02</v>
      </c>
      <c r="AA21" s="14">
        <v>0.03</v>
      </c>
      <c r="AB21" s="14">
        <v>0.04</v>
      </c>
      <c r="AC21" s="15" t="s">
        <v>375</v>
      </c>
      <c r="AD21" s="14">
        <v>0.01</v>
      </c>
      <c r="AE21" s="14">
        <v>0.01</v>
      </c>
      <c r="AF21" s="14">
        <v>0.01</v>
      </c>
    </row>
    <row r="22" spans="1:32">
      <c r="A22" s="19"/>
      <c r="B22" s="11" t="s">
        <v>916</v>
      </c>
      <c r="C22" s="12">
        <v>23378</v>
      </c>
      <c r="D22" s="12">
        <v>933</v>
      </c>
      <c r="E22" s="12">
        <v>907</v>
      </c>
      <c r="F22" s="12">
        <v>949</v>
      </c>
      <c r="G22" s="12">
        <v>887</v>
      </c>
      <c r="H22" s="12">
        <v>973</v>
      </c>
      <c r="I22" s="12">
        <v>1230</v>
      </c>
      <c r="J22" s="12">
        <v>257</v>
      </c>
      <c r="K22" s="12">
        <v>852</v>
      </c>
      <c r="L22" s="12">
        <v>955</v>
      </c>
      <c r="M22" s="12">
        <v>955</v>
      </c>
      <c r="N22" s="12">
        <v>984</v>
      </c>
      <c r="O22" s="12">
        <v>933</v>
      </c>
      <c r="P22" s="12">
        <v>815</v>
      </c>
      <c r="Q22" s="12">
        <v>942</v>
      </c>
      <c r="R22" s="12">
        <v>461</v>
      </c>
      <c r="S22" s="12">
        <v>924</v>
      </c>
      <c r="T22" s="12">
        <v>960</v>
      </c>
      <c r="U22" s="12">
        <v>476</v>
      </c>
      <c r="V22" s="12">
        <v>827</v>
      </c>
      <c r="W22" s="12">
        <v>469</v>
      </c>
      <c r="X22" s="12">
        <v>923</v>
      </c>
      <c r="Y22" s="12">
        <v>842</v>
      </c>
      <c r="Z22" s="12">
        <v>858</v>
      </c>
      <c r="AA22" s="12">
        <v>954</v>
      </c>
      <c r="AB22" s="12">
        <v>741</v>
      </c>
      <c r="AC22" s="12">
        <v>955</v>
      </c>
      <c r="AD22" s="12">
        <v>924</v>
      </c>
      <c r="AE22" s="12">
        <v>945</v>
      </c>
      <c r="AF22" s="12">
        <v>933</v>
      </c>
    </row>
    <row r="23" spans="1:32">
      <c r="A23" s="19"/>
      <c r="B23" s="13" t="s">
        <v>917</v>
      </c>
      <c r="C23" s="14">
        <v>0.88</v>
      </c>
      <c r="D23" s="14">
        <v>0.91</v>
      </c>
      <c r="E23" s="14">
        <v>0.87</v>
      </c>
      <c r="F23" s="14">
        <v>0.89</v>
      </c>
      <c r="G23" s="14">
        <v>0.87</v>
      </c>
      <c r="H23" s="14">
        <v>0.8</v>
      </c>
      <c r="I23" s="14">
        <v>0.81</v>
      </c>
      <c r="J23" s="14">
        <v>0.86</v>
      </c>
      <c r="K23" s="14">
        <v>0.85</v>
      </c>
      <c r="L23" s="14">
        <v>0.95000000000000007</v>
      </c>
      <c r="M23" s="14">
        <v>0.95000000000000007</v>
      </c>
      <c r="N23" s="14">
        <v>0.97</v>
      </c>
      <c r="O23" s="14">
        <v>0.93</v>
      </c>
      <c r="P23" s="14">
        <v>0.82000000000000006</v>
      </c>
      <c r="Q23" s="14">
        <v>0.91</v>
      </c>
      <c r="R23" s="14">
        <v>0.92</v>
      </c>
      <c r="S23" s="14">
        <v>0.92</v>
      </c>
      <c r="T23" s="14">
        <v>0.94000000000000006</v>
      </c>
      <c r="U23" s="14">
        <v>0.94000000000000006</v>
      </c>
      <c r="V23" s="14">
        <v>0.8</v>
      </c>
      <c r="W23" s="14">
        <v>0.94000000000000006</v>
      </c>
      <c r="X23" s="14">
        <v>0.92</v>
      </c>
      <c r="Y23" s="14">
        <v>0.84</v>
      </c>
      <c r="Z23" s="14">
        <v>0.84</v>
      </c>
      <c r="AA23" s="14">
        <v>0.92</v>
      </c>
      <c r="AB23" s="14">
        <v>0.71</v>
      </c>
      <c r="AC23" s="14">
        <v>0.95000000000000007</v>
      </c>
      <c r="AD23" s="14">
        <v>0.92</v>
      </c>
      <c r="AE23" s="14">
        <v>0.94000000000000006</v>
      </c>
      <c r="AF23" s="14">
        <v>0.9</v>
      </c>
    </row>
    <row r="24" spans="1:32">
      <c r="A24" s="19"/>
      <c r="B24" s="11" t="s">
        <v>912</v>
      </c>
      <c r="C24" s="12">
        <v>2621</v>
      </c>
      <c r="D24" s="12">
        <v>81</v>
      </c>
      <c r="E24" s="12">
        <v>107</v>
      </c>
      <c r="F24" s="12">
        <v>89</v>
      </c>
      <c r="G24" s="12">
        <v>116</v>
      </c>
      <c r="H24" s="12">
        <v>215</v>
      </c>
      <c r="I24" s="12">
        <v>252</v>
      </c>
      <c r="J24" s="12">
        <v>37</v>
      </c>
      <c r="K24" s="12">
        <v>141</v>
      </c>
      <c r="L24" s="12">
        <v>39</v>
      </c>
      <c r="M24" s="12">
        <v>43</v>
      </c>
      <c r="N24" s="12">
        <v>19</v>
      </c>
      <c r="O24" s="12">
        <v>50</v>
      </c>
      <c r="P24" s="12">
        <v>153</v>
      </c>
      <c r="Q24" s="12">
        <v>82</v>
      </c>
      <c r="R24" s="12">
        <v>27</v>
      </c>
      <c r="S24" s="12">
        <v>67</v>
      </c>
      <c r="T24" s="12">
        <v>52</v>
      </c>
      <c r="U24" s="12">
        <v>29</v>
      </c>
      <c r="V24" s="12">
        <v>192</v>
      </c>
      <c r="W24" s="12">
        <v>31</v>
      </c>
      <c r="X24" s="12">
        <v>86</v>
      </c>
      <c r="Y24" s="12">
        <v>143</v>
      </c>
      <c r="Z24" s="12">
        <v>143</v>
      </c>
      <c r="AA24" s="12">
        <v>56</v>
      </c>
      <c r="AB24" s="12">
        <v>255</v>
      </c>
      <c r="AC24" s="12">
        <v>49</v>
      </c>
      <c r="AD24" s="12">
        <v>70</v>
      </c>
      <c r="AE24" s="12">
        <v>48</v>
      </c>
      <c r="AF24" s="12">
        <v>91</v>
      </c>
    </row>
    <row r="25" spans="1:32">
      <c r="A25" s="19"/>
      <c r="B25" s="13" t="s">
        <v>995</v>
      </c>
      <c r="C25" s="14">
        <v>0.1</v>
      </c>
      <c r="D25" s="14">
        <v>0.08</v>
      </c>
      <c r="E25" s="14">
        <v>0.1</v>
      </c>
      <c r="F25" s="14">
        <v>0.09</v>
      </c>
      <c r="G25" s="14">
        <v>0.11</v>
      </c>
      <c r="H25" s="14">
        <v>0.17</v>
      </c>
      <c r="I25" s="14">
        <v>0.16</v>
      </c>
      <c r="J25" s="14">
        <v>0.13</v>
      </c>
      <c r="K25" s="14">
        <v>0.14000000000000001</v>
      </c>
      <c r="L25" s="14">
        <v>0.04</v>
      </c>
      <c r="M25" s="14">
        <v>0.04</v>
      </c>
      <c r="N25" s="14">
        <v>0.02</v>
      </c>
      <c r="O25" s="14">
        <v>0.05</v>
      </c>
      <c r="P25" s="14">
        <v>0.15</v>
      </c>
      <c r="Q25" s="14">
        <v>0.08</v>
      </c>
      <c r="R25" s="14">
        <v>0.05</v>
      </c>
      <c r="S25" s="14">
        <v>7.0000000000000007E-2</v>
      </c>
      <c r="T25" s="14">
        <v>0.05</v>
      </c>
      <c r="U25" s="14">
        <v>0.06</v>
      </c>
      <c r="V25" s="14">
        <v>0.19</v>
      </c>
      <c r="W25" s="14">
        <v>0.06</v>
      </c>
      <c r="X25" s="14">
        <v>0.08</v>
      </c>
      <c r="Y25" s="14">
        <v>0.14000000000000001</v>
      </c>
      <c r="Z25" s="14">
        <v>0.14000000000000001</v>
      </c>
      <c r="AA25" s="14">
        <v>0.05</v>
      </c>
      <c r="AB25" s="14">
        <v>0.25</v>
      </c>
      <c r="AC25" s="14">
        <v>0.05</v>
      </c>
      <c r="AD25" s="14">
        <v>7.0000000000000007E-2</v>
      </c>
      <c r="AE25" s="14">
        <v>0.05</v>
      </c>
      <c r="AF25" s="14">
        <v>0.09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195</v>
      </c>
      <c r="C3" s="17"/>
      <c r="D3" s="17"/>
      <c r="E3" s="17"/>
      <c r="F3" s="17"/>
      <c r="H3" s="17" t="s">
        <v>196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HYPERLINK("#Content!A99","&lt;&lt;Back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1024</v>
      </c>
      <c r="C12" s="12">
        <v>3699</v>
      </c>
      <c r="D12" s="12">
        <v>200</v>
      </c>
      <c r="E12" s="12">
        <v>229</v>
      </c>
      <c r="F12" s="12">
        <v>253</v>
      </c>
      <c r="G12" s="12">
        <v>114</v>
      </c>
      <c r="H12" s="12">
        <v>150</v>
      </c>
      <c r="I12" s="12">
        <v>193</v>
      </c>
      <c r="J12" s="12">
        <v>43</v>
      </c>
      <c r="K12" s="12">
        <v>240</v>
      </c>
      <c r="L12" s="12">
        <v>123</v>
      </c>
      <c r="M12" s="12">
        <v>247</v>
      </c>
      <c r="N12" s="12">
        <v>164</v>
      </c>
      <c r="O12" s="12">
        <v>89</v>
      </c>
      <c r="P12" s="12">
        <v>173</v>
      </c>
      <c r="Q12" s="12">
        <v>211</v>
      </c>
      <c r="R12" s="12">
        <v>73</v>
      </c>
      <c r="S12" s="12">
        <v>146</v>
      </c>
      <c r="T12" s="12">
        <v>182</v>
      </c>
      <c r="U12" s="12">
        <v>57</v>
      </c>
      <c r="V12" s="12">
        <v>126</v>
      </c>
      <c r="W12" s="12">
        <v>91</v>
      </c>
      <c r="X12" s="12">
        <v>84</v>
      </c>
      <c r="Y12" s="12">
        <v>132</v>
      </c>
      <c r="Z12" s="12">
        <v>100</v>
      </c>
      <c r="AA12" s="12">
        <v>106</v>
      </c>
      <c r="AB12" s="12">
        <v>104</v>
      </c>
      <c r="AC12" s="12">
        <v>202</v>
      </c>
      <c r="AD12" s="12">
        <v>233</v>
      </c>
      <c r="AE12" s="12">
        <v>170</v>
      </c>
      <c r="AF12" s="12">
        <v>60</v>
      </c>
    </row>
    <row r="13" spans="1:32">
      <c r="A13" s="19"/>
      <c r="B13" s="13" t="s">
        <v>1025</v>
      </c>
      <c r="C13" s="14">
        <v>0.14000000000000001</v>
      </c>
      <c r="D13" s="14">
        <v>0.2</v>
      </c>
      <c r="E13" s="14">
        <v>0.22</v>
      </c>
      <c r="F13" s="14">
        <v>0.24</v>
      </c>
      <c r="G13" s="14">
        <v>0.11</v>
      </c>
      <c r="H13" s="14">
        <v>0.12</v>
      </c>
      <c r="I13" s="14">
        <v>0.13</v>
      </c>
      <c r="J13" s="14">
        <v>0.14000000000000001</v>
      </c>
      <c r="K13" s="14">
        <v>0.24</v>
      </c>
      <c r="L13" s="14">
        <v>0.12</v>
      </c>
      <c r="M13" s="14">
        <v>0.25</v>
      </c>
      <c r="N13" s="14">
        <v>0.16</v>
      </c>
      <c r="O13" s="14">
        <v>0.09</v>
      </c>
      <c r="P13" s="14">
        <v>0.17</v>
      </c>
      <c r="Q13" s="14">
        <v>0.21</v>
      </c>
      <c r="R13" s="14">
        <v>0.15</v>
      </c>
      <c r="S13" s="14">
        <v>0.15</v>
      </c>
      <c r="T13" s="14">
        <v>0.18</v>
      </c>
      <c r="U13" s="14">
        <v>0.11</v>
      </c>
      <c r="V13" s="14">
        <v>0.12</v>
      </c>
      <c r="W13" s="14">
        <v>0.18</v>
      </c>
      <c r="X13" s="14">
        <v>0.08</v>
      </c>
      <c r="Y13" s="14">
        <v>0.13</v>
      </c>
      <c r="Z13" s="14">
        <v>0.1</v>
      </c>
      <c r="AA13" s="14">
        <v>0.1</v>
      </c>
      <c r="AB13" s="14">
        <v>0.1</v>
      </c>
      <c r="AC13" s="14">
        <v>0.2</v>
      </c>
      <c r="AD13" s="14">
        <v>0.23</v>
      </c>
      <c r="AE13" s="14">
        <v>0.17</v>
      </c>
      <c r="AF13" s="14">
        <v>0.06</v>
      </c>
    </row>
    <row r="14" spans="1:32">
      <c r="A14" s="19"/>
      <c r="B14" s="11" t="s">
        <v>1026</v>
      </c>
      <c r="C14" s="12">
        <v>10045</v>
      </c>
      <c r="D14" s="12">
        <v>463</v>
      </c>
      <c r="E14" s="12">
        <v>377</v>
      </c>
      <c r="F14" s="12">
        <v>407</v>
      </c>
      <c r="G14" s="12">
        <v>395</v>
      </c>
      <c r="H14" s="12">
        <v>495</v>
      </c>
      <c r="I14" s="12">
        <v>623</v>
      </c>
      <c r="J14" s="12">
        <v>128</v>
      </c>
      <c r="K14" s="12">
        <v>403</v>
      </c>
      <c r="L14" s="12">
        <v>340</v>
      </c>
      <c r="M14" s="12">
        <v>337</v>
      </c>
      <c r="N14" s="12">
        <v>272</v>
      </c>
      <c r="O14" s="12">
        <v>339</v>
      </c>
      <c r="P14" s="12">
        <v>431</v>
      </c>
      <c r="Q14" s="12">
        <v>443</v>
      </c>
      <c r="R14" s="12">
        <v>143</v>
      </c>
      <c r="S14" s="12">
        <v>410</v>
      </c>
      <c r="T14" s="12">
        <v>478</v>
      </c>
      <c r="U14" s="12">
        <v>177</v>
      </c>
      <c r="V14" s="12">
        <v>347</v>
      </c>
      <c r="W14" s="12">
        <v>218</v>
      </c>
      <c r="X14" s="12">
        <v>480</v>
      </c>
      <c r="Y14" s="12">
        <v>369</v>
      </c>
      <c r="Z14" s="12">
        <v>387</v>
      </c>
      <c r="AA14" s="12">
        <v>254</v>
      </c>
      <c r="AB14" s="12">
        <v>399</v>
      </c>
      <c r="AC14" s="12">
        <v>394</v>
      </c>
      <c r="AD14" s="12">
        <v>443</v>
      </c>
      <c r="AE14" s="12">
        <v>541</v>
      </c>
      <c r="AF14" s="12">
        <v>507</v>
      </c>
    </row>
    <row r="15" spans="1:32">
      <c r="A15" s="19"/>
      <c r="B15" s="13" t="s">
        <v>1027</v>
      </c>
      <c r="C15" s="14">
        <v>0.38</v>
      </c>
      <c r="D15" s="14">
        <v>0.45</v>
      </c>
      <c r="E15" s="14">
        <v>0.36</v>
      </c>
      <c r="F15" s="14">
        <v>0.38</v>
      </c>
      <c r="G15" s="14">
        <v>0.39</v>
      </c>
      <c r="H15" s="14">
        <v>0.4</v>
      </c>
      <c r="I15" s="14">
        <v>0.41</v>
      </c>
      <c r="J15" s="14">
        <v>0.43</v>
      </c>
      <c r="K15" s="14">
        <v>0.4</v>
      </c>
      <c r="L15" s="14">
        <v>0.34</v>
      </c>
      <c r="M15" s="14">
        <v>0.33</v>
      </c>
      <c r="N15" s="14">
        <v>0.27</v>
      </c>
      <c r="O15" s="14">
        <v>0.34</v>
      </c>
      <c r="P15" s="14">
        <v>0.43</v>
      </c>
      <c r="Q15" s="14">
        <v>0.43</v>
      </c>
      <c r="R15" s="14">
        <v>0.28000000000000003</v>
      </c>
      <c r="S15" s="14">
        <v>0.41</v>
      </c>
      <c r="T15" s="14">
        <v>0.47</v>
      </c>
      <c r="U15" s="14">
        <v>0.35</v>
      </c>
      <c r="V15" s="14">
        <v>0.34</v>
      </c>
      <c r="W15" s="14">
        <v>0.44</v>
      </c>
      <c r="X15" s="14">
        <v>0.48</v>
      </c>
      <c r="Y15" s="14">
        <v>0.37</v>
      </c>
      <c r="Z15" s="14">
        <v>0.38</v>
      </c>
      <c r="AA15" s="14">
        <v>0.24</v>
      </c>
      <c r="AB15" s="14">
        <v>0.38</v>
      </c>
      <c r="AC15" s="14">
        <v>0.39</v>
      </c>
      <c r="AD15" s="14">
        <v>0.44</v>
      </c>
      <c r="AE15" s="14">
        <v>0.54</v>
      </c>
      <c r="AF15" s="14">
        <v>0.49</v>
      </c>
    </row>
    <row r="16" spans="1:32">
      <c r="A16" s="19"/>
      <c r="B16" s="11" t="s">
        <v>842</v>
      </c>
      <c r="C16" s="12">
        <v>11651</v>
      </c>
      <c r="D16" s="12">
        <v>344</v>
      </c>
      <c r="E16" s="12">
        <v>342</v>
      </c>
      <c r="F16" s="12">
        <v>356</v>
      </c>
      <c r="G16" s="12">
        <v>491</v>
      </c>
      <c r="H16" s="12">
        <v>524</v>
      </c>
      <c r="I16" s="12">
        <v>644</v>
      </c>
      <c r="J16" s="12">
        <v>120</v>
      </c>
      <c r="K16" s="12">
        <v>296</v>
      </c>
      <c r="L16" s="12">
        <v>516</v>
      </c>
      <c r="M16" s="12">
        <v>329</v>
      </c>
      <c r="N16" s="12">
        <v>541</v>
      </c>
      <c r="O16" s="12">
        <v>531</v>
      </c>
      <c r="P16" s="12">
        <v>357</v>
      </c>
      <c r="Q16" s="12">
        <v>364</v>
      </c>
      <c r="R16" s="12">
        <v>270</v>
      </c>
      <c r="S16" s="12">
        <v>392</v>
      </c>
      <c r="T16" s="12">
        <v>250</v>
      </c>
      <c r="U16" s="12">
        <v>264</v>
      </c>
      <c r="V16" s="12">
        <v>522</v>
      </c>
      <c r="W16" s="12">
        <v>171</v>
      </c>
      <c r="X16" s="12">
        <v>445</v>
      </c>
      <c r="Y16" s="12">
        <v>435</v>
      </c>
      <c r="Z16" s="12">
        <v>468</v>
      </c>
      <c r="AA16" s="12">
        <v>570</v>
      </c>
      <c r="AB16" s="12">
        <v>478</v>
      </c>
      <c r="AC16" s="12">
        <v>388</v>
      </c>
      <c r="AD16" s="12">
        <v>291</v>
      </c>
      <c r="AE16" s="12">
        <v>265</v>
      </c>
      <c r="AF16" s="12">
        <v>460</v>
      </c>
    </row>
    <row r="17" spans="1:32">
      <c r="A17" s="19"/>
      <c r="B17" s="13" t="s">
        <v>843</v>
      </c>
      <c r="C17" s="14">
        <v>0.44</v>
      </c>
      <c r="D17" s="14">
        <v>0.34</v>
      </c>
      <c r="E17" s="14">
        <v>0.33</v>
      </c>
      <c r="F17" s="14">
        <v>0.34</v>
      </c>
      <c r="G17" s="14">
        <v>0.48</v>
      </c>
      <c r="H17" s="14">
        <v>0.43</v>
      </c>
      <c r="I17" s="14">
        <v>0.42</v>
      </c>
      <c r="J17" s="14">
        <v>0.41</v>
      </c>
      <c r="K17" s="14">
        <v>0.28999999999999998</v>
      </c>
      <c r="L17" s="14">
        <v>0.51</v>
      </c>
      <c r="M17" s="14">
        <v>0.33</v>
      </c>
      <c r="N17" s="14">
        <v>0.54</v>
      </c>
      <c r="O17" s="14">
        <v>0.53</v>
      </c>
      <c r="P17" s="14">
        <v>0.36</v>
      </c>
      <c r="Q17" s="14">
        <v>0.35</v>
      </c>
      <c r="R17" s="14">
        <v>0.54</v>
      </c>
      <c r="S17" s="14">
        <v>0.39</v>
      </c>
      <c r="T17" s="14">
        <v>0.24</v>
      </c>
      <c r="U17" s="14">
        <v>0.52</v>
      </c>
      <c r="V17" s="14">
        <v>0.51</v>
      </c>
      <c r="W17" s="14">
        <v>0.34</v>
      </c>
      <c r="X17" s="14">
        <v>0.44</v>
      </c>
      <c r="Y17" s="14">
        <v>0.43</v>
      </c>
      <c r="Z17" s="14">
        <v>0.46</v>
      </c>
      <c r="AA17" s="14">
        <v>0.55000000000000004</v>
      </c>
      <c r="AB17" s="14">
        <v>0.46</v>
      </c>
      <c r="AC17" s="14">
        <v>0.39</v>
      </c>
      <c r="AD17" s="14">
        <v>0.28999999999999998</v>
      </c>
      <c r="AE17" s="14">
        <v>0.27</v>
      </c>
      <c r="AF17" s="14">
        <v>0.45</v>
      </c>
    </row>
    <row r="18" spans="1:32">
      <c r="A18" s="19"/>
      <c r="B18" s="11" t="s">
        <v>1028</v>
      </c>
      <c r="C18" s="12">
        <v>968</v>
      </c>
      <c r="D18" s="12">
        <v>11</v>
      </c>
      <c r="E18" s="12">
        <v>92</v>
      </c>
      <c r="F18" s="12">
        <v>43</v>
      </c>
      <c r="G18" s="12">
        <v>14</v>
      </c>
      <c r="H18" s="12">
        <v>58</v>
      </c>
      <c r="I18" s="12">
        <v>64</v>
      </c>
      <c r="J18" s="12">
        <v>6</v>
      </c>
      <c r="K18" s="12">
        <v>57</v>
      </c>
      <c r="L18" s="12">
        <v>25</v>
      </c>
      <c r="M18" s="12">
        <v>90</v>
      </c>
      <c r="N18" s="12">
        <v>31</v>
      </c>
      <c r="O18" s="12">
        <v>42</v>
      </c>
      <c r="P18" s="12">
        <v>32</v>
      </c>
      <c r="Q18" s="12">
        <v>10</v>
      </c>
      <c r="R18" s="12">
        <v>11</v>
      </c>
      <c r="S18" s="12">
        <v>45</v>
      </c>
      <c r="T18" s="12">
        <v>106</v>
      </c>
      <c r="U18" s="12">
        <v>10</v>
      </c>
      <c r="V18" s="12">
        <v>26</v>
      </c>
      <c r="W18" s="12">
        <v>21</v>
      </c>
      <c r="X18" s="12">
        <v>1</v>
      </c>
      <c r="Y18" s="12">
        <v>57</v>
      </c>
      <c r="Z18" s="12">
        <v>56</v>
      </c>
      <c r="AA18" s="12">
        <v>91</v>
      </c>
      <c r="AB18" s="12">
        <v>56</v>
      </c>
      <c r="AC18" s="12">
        <v>20</v>
      </c>
      <c r="AD18" s="12">
        <v>35</v>
      </c>
      <c r="AE18" s="12">
        <v>22</v>
      </c>
      <c r="AF18" s="12">
        <v>4</v>
      </c>
    </row>
    <row r="19" spans="1:32">
      <c r="A19" s="19"/>
      <c r="B19" s="13" t="s">
        <v>1029</v>
      </c>
      <c r="C19" s="14">
        <v>0.04</v>
      </c>
      <c r="D19" s="14">
        <v>0.01</v>
      </c>
      <c r="E19" s="14">
        <v>0.09</v>
      </c>
      <c r="F19" s="14">
        <v>0.04</v>
      </c>
      <c r="G19" s="14">
        <v>0.02</v>
      </c>
      <c r="H19" s="14">
        <v>0.05</v>
      </c>
      <c r="I19" s="14">
        <v>0.04</v>
      </c>
      <c r="J19" s="14">
        <v>0.02</v>
      </c>
      <c r="K19" s="14">
        <v>0.06</v>
      </c>
      <c r="L19" s="14">
        <v>0.03</v>
      </c>
      <c r="M19" s="14">
        <v>0.09</v>
      </c>
      <c r="N19" s="14">
        <v>0.03</v>
      </c>
      <c r="O19" s="14">
        <v>0.04</v>
      </c>
      <c r="P19" s="14">
        <v>0.03</v>
      </c>
      <c r="Q19" s="14">
        <v>0.01</v>
      </c>
      <c r="R19" s="14">
        <v>0.02</v>
      </c>
      <c r="S19" s="14">
        <v>0.04</v>
      </c>
      <c r="T19" s="14">
        <v>0.1</v>
      </c>
      <c r="U19" s="14">
        <v>0.02</v>
      </c>
      <c r="V19" s="14">
        <v>0.03</v>
      </c>
      <c r="W19" s="14">
        <v>0.04</v>
      </c>
      <c r="X19" s="15" t="s">
        <v>375</v>
      </c>
      <c r="Y19" s="14">
        <v>0.06</v>
      </c>
      <c r="Z19" s="14">
        <v>0.05</v>
      </c>
      <c r="AA19" s="14">
        <v>0.09</v>
      </c>
      <c r="AB19" s="14">
        <v>0.06</v>
      </c>
      <c r="AC19" s="14">
        <v>0.02</v>
      </c>
      <c r="AD19" s="14">
        <v>0.04</v>
      </c>
      <c r="AE19" s="14">
        <v>0.02</v>
      </c>
      <c r="AF19" s="15" t="s">
        <v>375</v>
      </c>
    </row>
    <row r="20" spans="1:32">
      <c r="A20" s="19"/>
      <c r="B20" s="11" t="s">
        <v>386</v>
      </c>
      <c r="C20" s="12">
        <v>90</v>
      </c>
      <c r="D20" s="12">
        <v>3</v>
      </c>
      <c r="E20" s="12">
        <v>7</v>
      </c>
      <c r="F20" s="12">
        <v>4</v>
      </c>
      <c r="G20" s="12">
        <v>2</v>
      </c>
      <c r="H20" s="12">
        <v>2</v>
      </c>
      <c r="I20" s="12">
        <v>3</v>
      </c>
      <c r="J20" s="12">
        <v>1</v>
      </c>
      <c r="K20" s="12">
        <v>11</v>
      </c>
      <c r="L20" s="12">
        <v>2</v>
      </c>
      <c r="M20" s="12">
        <v>4</v>
      </c>
      <c r="N20" s="12">
        <v>3</v>
      </c>
      <c r="O20" s="12">
        <v>2</v>
      </c>
      <c r="P20" s="12">
        <v>11</v>
      </c>
      <c r="Q20" s="12">
        <v>3</v>
      </c>
      <c r="R20" s="12">
        <v>4</v>
      </c>
      <c r="S20" s="12">
        <v>11</v>
      </c>
      <c r="T20" s="12">
        <v>7</v>
      </c>
      <c r="U20" s="12">
        <v>0</v>
      </c>
      <c r="V20" s="12">
        <v>5</v>
      </c>
      <c r="W20" s="12">
        <v>0</v>
      </c>
      <c r="X20" s="12">
        <v>0</v>
      </c>
      <c r="Y20" s="12">
        <v>9</v>
      </c>
      <c r="Z20" s="12">
        <v>5</v>
      </c>
      <c r="AA20" s="12">
        <v>16</v>
      </c>
      <c r="AB20" s="12">
        <v>3</v>
      </c>
      <c r="AC20" s="12">
        <v>1</v>
      </c>
      <c r="AD20" s="12">
        <v>0</v>
      </c>
      <c r="AE20" s="12">
        <v>4</v>
      </c>
      <c r="AF20" s="12">
        <v>0</v>
      </c>
    </row>
    <row r="21" spans="1:32">
      <c r="A21" s="19"/>
      <c r="B21" s="13" t="s">
        <v>399</v>
      </c>
      <c r="C21" s="15" t="s">
        <v>375</v>
      </c>
      <c r="D21" s="15" t="s">
        <v>375</v>
      </c>
      <c r="E21" s="15" t="s">
        <v>375</v>
      </c>
      <c r="F21" s="15" t="s">
        <v>375</v>
      </c>
      <c r="G21" s="15" t="s">
        <v>375</v>
      </c>
      <c r="H21" s="15" t="s">
        <v>375</v>
      </c>
      <c r="I21" s="15" t="s">
        <v>375</v>
      </c>
      <c r="J21" s="15" t="s">
        <v>375</v>
      </c>
      <c r="K21" s="14">
        <v>0.01</v>
      </c>
      <c r="L21" s="15" t="s">
        <v>375</v>
      </c>
      <c r="M21" s="15" t="s">
        <v>375</v>
      </c>
      <c r="N21" s="15" t="s">
        <v>375</v>
      </c>
      <c r="O21" s="15" t="s">
        <v>375</v>
      </c>
      <c r="P21" s="14">
        <v>0.01</v>
      </c>
      <c r="Q21" s="15" t="s">
        <v>375</v>
      </c>
      <c r="R21" s="14">
        <v>0.01</v>
      </c>
      <c r="S21" s="14">
        <v>0.01</v>
      </c>
      <c r="T21" s="14">
        <v>0.01</v>
      </c>
      <c r="U21" s="15" t="s">
        <v>375</v>
      </c>
      <c r="V21" s="15" t="s">
        <v>375</v>
      </c>
      <c r="W21" s="15" t="s">
        <v>375</v>
      </c>
      <c r="X21" s="15" t="s">
        <v>375</v>
      </c>
      <c r="Y21" s="14">
        <v>0.01</v>
      </c>
      <c r="Z21" s="14">
        <v>0.01</v>
      </c>
      <c r="AA21" s="14">
        <v>0.02</v>
      </c>
      <c r="AB21" s="15" t="s">
        <v>375</v>
      </c>
      <c r="AC21" s="15" t="s">
        <v>375</v>
      </c>
      <c r="AD21" s="15" t="s">
        <v>375</v>
      </c>
      <c r="AE21" s="15" t="s">
        <v>375</v>
      </c>
      <c r="AF21" s="15" t="s">
        <v>375</v>
      </c>
    </row>
    <row r="22" spans="1:32">
      <c r="A22" s="19"/>
      <c r="B22" s="11" t="s">
        <v>678</v>
      </c>
      <c r="C22" s="12">
        <v>13744</v>
      </c>
      <c r="D22" s="12">
        <v>663</v>
      </c>
      <c r="E22" s="12">
        <v>606</v>
      </c>
      <c r="F22" s="12">
        <v>660</v>
      </c>
      <c r="G22" s="12">
        <v>509</v>
      </c>
      <c r="H22" s="12">
        <v>645</v>
      </c>
      <c r="I22" s="12">
        <v>816</v>
      </c>
      <c r="J22" s="12">
        <v>171</v>
      </c>
      <c r="K22" s="12">
        <v>643</v>
      </c>
      <c r="L22" s="12">
        <v>463</v>
      </c>
      <c r="M22" s="12">
        <v>584</v>
      </c>
      <c r="N22" s="12">
        <v>436</v>
      </c>
      <c r="O22" s="12">
        <v>428</v>
      </c>
      <c r="P22" s="12">
        <v>604</v>
      </c>
      <c r="Q22" s="12">
        <v>654</v>
      </c>
      <c r="R22" s="12">
        <v>216</v>
      </c>
      <c r="S22" s="12">
        <v>556</v>
      </c>
      <c r="T22" s="12">
        <v>660</v>
      </c>
      <c r="U22" s="12">
        <v>234</v>
      </c>
      <c r="V22" s="12">
        <v>473</v>
      </c>
      <c r="W22" s="12">
        <v>309</v>
      </c>
      <c r="X22" s="12">
        <v>564</v>
      </c>
      <c r="Y22" s="12">
        <v>501</v>
      </c>
      <c r="Z22" s="12">
        <v>487</v>
      </c>
      <c r="AA22" s="12">
        <v>360</v>
      </c>
      <c r="AB22" s="12">
        <v>503</v>
      </c>
      <c r="AC22" s="12">
        <v>596</v>
      </c>
      <c r="AD22" s="12">
        <v>676</v>
      </c>
      <c r="AE22" s="12">
        <v>711</v>
      </c>
      <c r="AF22" s="12">
        <v>567</v>
      </c>
    </row>
    <row r="23" spans="1:32">
      <c r="A23" s="19"/>
      <c r="B23" s="13" t="s">
        <v>679</v>
      </c>
      <c r="C23" s="14">
        <v>0.52</v>
      </c>
      <c r="D23" s="14">
        <v>0.65</v>
      </c>
      <c r="E23" s="14">
        <v>0.57999999999999996</v>
      </c>
      <c r="F23" s="14">
        <v>0.62</v>
      </c>
      <c r="G23" s="14">
        <v>0.5</v>
      </c>
      <c r="H23" s="14">
        <v>0.52</v>
      </c>
      <c r="I23" s="14">
        <v>0.54</v>
      </c>
      <c r="J23" s="14">
        <v>0.57000000000000006</v>
      </c>
      <c r="K23" s="14">
        <v>0.64</v>
      </c>
      <c r="L23" s="14">
        <v>0.46</v>
      </c>
      <c r="M23" s="14">
        <v>0.57999999999999996</v>
      </c>
      <c r="N23" s="14">
        <v>0.43</v>
      </c>
      <c r="O23" s="14">
        <v>0.43</v>
      </c>
      <c r="P23" s="14">
        <v>0.6</v>
      </c>
      <c r="Q23" s="14">
        <v>0.64</v>
      </c>
      <c r="R23" s="14">
        <v>0.43</v>
      </c>
      <c r="S23" s="14">
        <v>0.56000000000000005</v>
      </c>
      <c r="T23" s="14">
        <v>0.65</v>
      </c>
      <c r="U23" s="14">
        <v>0.46</v>
      </c>
      <c r="V23" s="14">
        <v>0.46</v>
      </c>
      <c r="W23" s="14">
        <v>0.62</v>
      </c>
      <c r="X23" s="14">
        <v>0.56000000000000005</v>
      </c>
      <c r="Y23" s="14">
        <v>0.5</v>
      </c>
      <c r="Z23" s="14">
        <v>0.48</v>
      </c>
      <c r="AA23" s="14">
        <v>0.34</v>
      </c>
      <c r="AB23" s="14">
        <v>0.48</v>
      </c>
      <c r="AC23" s="14">
        <v>0.59</v>
      </c>
      <c r="AD23" s="14">
        <v>0.67</v>
      </c>
      <c r="AE23" s="14">
        <v>0.71</v>
      </c>
      <c r="AF23" s="14">
        <v>0.55000000000000004</v>
      </c>
    </row>
    <row r="24" spans="1:32">
      <c r="A24" s="19"/>
      <c r="B24" s="11" t="s">
        <v>846</v>
      </c>
      <c r="C24" s="12">
        <v>11651</v>
      </c>
      <c r="D24" s="12">
        <v>344</v>
      </c>
      <c r="E24" s="12">
        <v>342</v>
      </c>
      <c r="F24" s="12">
        <v>356</v>
      </c>
      <c r="G24" s="12">
        <v>491</v>
      </c>
      <c r="H24" s="12">
        <v>524</v>
      </c>
      <c r="I24" s="12">
        <v>644</v>
      </c>
      <c r="J24" s="12">
        <v>120</v>
      </c>
      <c r="K24" s="12">
        <v>296</v>
      </c>
      <c r="L24" s="12">
        <v>516</v>
      </c>
      <c r="M24" s="12">
        <v>329</v>
      </c>
      <c r="N24" s="12">
        <v>541</v>
      </c>
      <c r="O24" s="12">
        <v>531</v>
      </c>
      <c r="P24" s="12">
        <v>357</v>
      </c>
      <c r="Q24" s="12">
        <v>364</v>
      </c>
      <c r="R24" s="12">
        <v>270</v>
      </c>
      <c r="S24" s="12">
        <v>392</v>
      </c>
      <c r="T24" s="12">
        <v>250</v>
      </c>
      <c r="U24" s="12">
        <v>264</v>
      </c>
      <c r="V24" s="12">
        <v>522</v>
      </c>
      <c r="W24" s="12">
        <v>171</v>
      </c>
      <c r="X24" s="12">
        <v>445</v>
      </c>
      <c r="Y24" s="12">
        <v>435</v>
      </c>
      <c r="Z24" s="12">
        <v>468</v>
      </c>
      <c r="AA24" s="12">
        <v>570</v>
      </c>
      <c r="AB24" s="12">
        <v>478</v>
      </c>
      <c r="AC24" s="12">
        <v>388</v>
      </c>
      <c r="AD24" s="12">
        <v>291</v>
      </c>
      <c r="AE24" s="12">
        <v>265</v>
      </c>
      <c r="AF24" s="12">
        <v>460</v>
      </c>
    </row>
    <row r="25" spans="1:32">
      <c r="A25" s="19"/>
      <c r="B25" s="13" t="s">
        <v>847</v>
      </c>
      <c r="C25" s="14">
        <v>0.44</v>
      </c>
      <c r="D25" s="14">
        <v>0.34</v>
      </c>
      <c r="E25" s="14">
        <v>0.33</v>
      </c>
      <c r="F25" s="14">
        <v>0.34</v>
      </c>
      <c r="G25" s="14">
        <v>0.48</v>
      </c>
      <c r="H25" s="14">
        <v>0.43</v>
      </c>
      <c r="I25" s="14">
        <v>0.42</v>
      </c>
      <c r="J25" s="14">
        <v>0.41</v>
      </c>
      <c r="K25" s="14">
        <v>0.28999999999999998</v>
      </c>
      <c r="L25" s="14">
        <v>0.51</v>
      </c>
      <c r="M25" s="14">
        <v>0.33</v>
      </c>
      <c r="N25" s="14">
        <v>0.54</v>
      </c>
      <c r="O25" s="14">
        <v>0.53</v>
      </c>
      <c r="P25" s="14">
        <v>0.36</v>
      </c>
      <c r="Q25" s="14">
        <v>0.35</v>
      </c>
      <c r="R25" s="14">
        <v>0.54</v>
      </c>
      <c r="S25" s="14">
        <v>0.39</v>
      </c>
      <c r="T25" s="14">
        <v>0.24</v>
      </c>
      <c r="U25" s="14">
        <v>0.52</v>
      </c>
      <c r="V25" s="14">
        <v>0.51</v>
      </c>
      <c r="W25" s="14">
        <v>0.34</v>
      </c>
      <c r="X25" s="14">
        <v>0.44</v>
      </c>
      <c r="Y25" s="14">
        <v>0.43</v>
      </c>
      <c r="Z25" s="14">
        <v>0.46</v>
      </c>
      <c r="AA25" s="14">
        <v>0.55000000000000004</v>
      </c>
      <c r="AB25" s="14">
        <v>0.46</v>
      </c>
      <c r="AC25" s="14">
        <v>0.39</v>
      </c>
      <c r="AD25" s="14">
        <v>0.28999999999999998</v>
      </c>
      <c r="AE25" s="14">
        <v>0.27</v>
      </c>
      <c r="AF25" s="14">
        <v>0.45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197</v>
      </c>
      <c r="C3" s="17"/>
      <c r="D3" s="17"/>
      <c r="E3" s="17"/>
      <c r="F3" s="17"/>
      <c r="H3" s="17" t="s">
        <v>198</v>
      </c>
      <c r="I3" s="17"/>
      <c r="J3" s="17"/>
      <c r="K3" s="17"/>
      <c r="L3" s="17"/>
    </row>
    <row r="4" spans="1:32" ht="27" customHeight="1">
      <c r="B4" s="17"/>
      <c r="C4" s="17"/>
      <c r="D4" s="17"/>
      <c r="E4" s="17"/>
      <c r="F4" s="17"/>
      <c r="H4" s="17"/>
      <c r="I4" s="17"/>
      <c r="J4" s="17"/>
      <c r="K4" s="17"/>
      <c r="L4" s="17"/>
    </row>
    <row r="5" spans="1:32" ht="12" customHeight="1">
      <c r="B5" s="17" t="s">
        <v>1030</v>
      </c>
      <c r="C5" s="17"/>
      <c r="D5" s="17"/>
      <c r="E5" s="17"/>
      <c r="F5" s="17"/>
      <c r="H5" s="17" t="s">
        <v>1031</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13744</v>
      </c>
      <c r="D10" s="10">
        <v>663</v>
      </c>
      <c r="E10" s="10">
        <v>606</v>
      </c>
      <c r="F10" s="10">
        <v>660</v>
      </c>
      <c r="G10" s="10">
        <v>509</v>
      </c>
      <c r="H10" s="10">
        <v>646</v>
      </c>
      <c r="I10" s="10">
        <v>816</v>
      </c>
      <c r="J10" s="10">
        <v>171</v>
      </c>
      <c r="K10" s="10">
        <v>642</v>
      </c>
      <c r="L10" s="10">
        <v>463</v>
      </c>
      <c r="M10" s="10">
        <v>584</v>
      </c>
      <c r="N10" s="10">
        <v>436</v>
      </c>
      <c r="O10" s="10">
        <v>429</v>
      </c>
      <c r="P10" s="10">
        <v>604</v>
      </c>
      <c r="Q10" s="10">
        <v>654</v>
      </c>
      <c r="R10" s="10">
        <v>216</v>
      </c>
      <c r="S10" s="10">
        <v>556</v>
      </c>
      <c r="T10" s="10">
        <v>660</v>
      </c>
      <c r="U10" s="10">
        <v>234</v>
      </c>
      <c r="V10" s="10">
        <v>473</v>
      </c>
      <c r="W10" s="10">
        <v>309</v>
      </c>
      <c r="X10" s="10">
        <v>564</v>
      </c>
      <c r="Y10" s="10">
        <v>502</v>
      </c>
      <c r="Z10" s="10">
        <v>487</v>
      </c>
      <c r="AA10" s="10">
        <v>360</v>
      </c>
      <c r="AB10" s="10">
        <v>504</v>
      </c>
      <c r="AC10" s="10">
        <v>596</v>
      </c>
      <c r="AD10" s="10">
        <v>676</v>
      </c>
      <c r="AE10" s="10">
        <v>711</v>
      </c>
      <c r="AF10" s="10">
        <v>567</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1032</v>
      </c>
      <c r="C12" s="12">
        <v>8781</v>
      </c>
      <c r="D12" s="12">
        <v>382</v>
      </c>
      <c r="E12" s="12">
        <v>432</v>
      </c>
      <c r="F12" s="12">
        <v>479</v>
      </c>
      <c r="G12" s="12">
        <v>307</v>
      </c>
      <c r="H12" s="12">
        <v>394</v>
      </c>
      <c r="I12" s="12">
        <v>499</v>
      </c>
      <c r="J12" s="12">
        <v>105</v>
      </c>
      <c r="K12" s="12">
        <v>420</v>
      </c>
      <c r="L12" s="12">
        <v>304</v>
      </c>
      <c r="M12" s="12">
        <v>358</v>
      </c>
      <c r="N12" s="12">
        <v>282</v>
      </c>
      <c r="O12" s="12">
        <v>274</v>
      </c>
      <c r="P12" s="12">
        <v>398</v>
      </c>
      <c r="Q12" s="12">
        <v>441</v>
      </c>
      <c r="R12" s="12">
        <v>133</v>
      </c>
      <c r="S12" s="12">
        <v>376</v>
      </c>
      <c r="T12" s="12">
        <v>433</v>
      </c>
      <c r="U12" s="12">
        <v>147</v>
      </c>
      <c r="V12" s="12">
        <v>333</v>
      </c>
      <c r="W12" s="12">
        <v>199</v>
      </c>
      <c r="X12" s="12">
        <v>341</v>
      </c>
      <c r="Y12" s="12">
        <v>272</v>
      </c>
      <c r="Z12" s="12">
        <v>315</v>
      </c>
      <c r="AA12" s="12">
        <v>260</v>
      </c>
      <c r="AB12" s="12">
        <v>296</v>
      </c>
      <c r="AC12" s="12">
        <v>442</v>
      </c>
      <c r="AD12" s="12">
        <v>522</v>
      </c>
      <c r="AE12" s="12">
        <v>441</v>
      </c>
      <c r="AF12" s="12">
        <v>298</v>
      </c>
    </row>
    <row r="13" spans="1:32">
      <c r="A13" s="19"/>
      <c r="B13" s="13" t="s">
        <v>1033</v>
      </c>
      <c r="C13" s="14">
        <v>0.64</v>
      </c>
      <c r="D13" s="14">
        <v>0.57999999999999996</v>
      </c>
      <c r="E13" s="14">
        <v>0.71</v>
      </c>
      <c r="F13" s="14">
        <v>0.73</v>
      </c>
      <c r="G13" s="14">
        <v>0.6</v>
      </c>
      <c r="H13" s="14">
        <v>0.61</v>
      </c>
      <c r="I13" s="14">
        <v>0.61</v>
      </c>
      <c r="J13" s="14">
        <v>0.61</v>
      </c>
      <c r="K13" s="14">
        <v>0.66</v>
      </c>
      <c r="L13" s="14">
        <v>0.66</v>
      </c>
      <c r="M13" s="14">
        <v>0.61</v>
      </c>
      <c r="N13" s="14">
        <v>0.65</v>
      </c>
      <c r="O13" s="14">
        <v>0.64</v>
      </c>
      <c r="P13" s="14">
        <v>0.66</v>
      </c>
      <c r="Q13" s="14">
        <v>0.68</v>
      </c>
      <c r="R13" s="14">
        <v>0.62</v>
      </c>
      <c r="S13" s="14">
        <v>0.67</v>
      </c>
      <c r="T13" s="14">
        <v>0.66</v>
      </c>
      <c r="U13" s="14">
        <v>0.63</v>
      </c>
      <c r="V13" s="14">
        <v>0.70000000000000007</v>
      </c>
      <c r="W13" s="14">
        <v>0.64</v>
      </c>
      <c r="X13" s="14">
        <v>0.61</v>
      </c>
      <c r="Y13" s="14">
        <v>0.54</v>
      </c>
      <c r="Z13" s="14">
        <v>0.65</v>
      </c>
      <c r="AA13" s="14">
        <v>0.72</v>
      </c>
      <c r="AB13" s="14">
        <v>0.59</v>
      </c>
      <c r="AC13" s="14">
        <v>0.74</v>
      </c>
      <c r="AD13" s="14">
        <v>0.77</v>
      </c>
      <c r="AE13" s="14">
        <v>0.62</v>
      </c>
      <c r="AF13" s="14">
        <v>0.53</v>
      </c>
    </row>
    <row r="14" spans="1:32">
      <c r="A14" s="19"/>
      <c r="B14" s="11" t="s">
        <v>676</v>
      </c>
      <c r="C14" s="12">
        <v>4763</v>
      </c>
      <c r="D14" s="12">
        <v>274</v>
      </c>
      <c r="E14" s="12">
        <v>149</v>
      </c>
      <c r="F14" s="12">
        <v>172</v>
      </c>
      <c r="G14" s="12">
        <v>176</v>
      </c>
      <c r="H14" s="12">
        <v>243</v>
      </c>
      <c r="I14" s="12">
        <v>307</v>
      </c>
      <c r="J14" s="12">
        <v>65</v>
      </c>
      <c r="K14" s="12">
        <v>182</v>
      </c>
      <c r="L14" s="12">
        <v>147</v>
      </c>
      <c r="M14" s="12">
        <v>224</v>
      </c>
      <c r="N14" s="12">
        <v>149</v>
      </c>
      <c r="O14" s="12">
        <v>146</v>
      </c>
      <c r="P14" s="12">
        <v>197</v>
      </c>
      <c r="Q14" s="12">
        <v>210</v>
      </c>
      <c r="R14" s="12">
        <v>79</v>
      </c>
      <c r="S14" s="12">
        <v>165</v>
      </c>
      <c r="T14" s="12">
        <v>207</v>
      </c>
      <c r="U14" s="12">
        <v>84</v>
      </c>
      <c r="V14" s="12">
        <v>127</v>
      </c>
      <c r="W14" s="12">
        <v>108</v>
      </c>
      <c r="X14" s="12">
        <v>215</v>
      </c>
      <c r="Y14" s="12">
        <v>219</v>
      </c>
      <c r="Z14" s="12">
        <v>163</v>
      </c>
      <c r="AA14" s="12">
        <v>97</v>
      </c>
      <c r="AB14" s="12">
        <v>201</v>
      </c>
      <c r="AC14" s="12">
        <v>146</v>
      </c>
      <c r="AD14" s="12">
        <v>144</v>
      </c>
      <c r="AE14" s="12">
        <v>258</v>
      </c>
      <c r="AF14" s="12">
        <v>255</v>
      </c>
    </row>
    <row r="15" spans="1:32">
      <c r="A15" s="19"/>
      <c r="B15" s="13" t="s">
        <v>677</v>
      </c>
      <c r="C15" s="14">
        <v>0.35</v>
      </c>
      <c r="D15" s="14">
        <v>0.41</v>
      </c>
      <c r="E15" s="14">
        <v>0.25</v>
      </c>
      <c r="F15" s="14">
        <v>0.26</v>
      </c>
      <c r="G15" s="14">
        <v>0.35</v>
      </c>
      <c r="H15" s="14">
        <v>0.38</v>
      </c>
      <c r="I15" s="14">
        <v>0.38</v>
      </c>
      <c r="J15" s="14">
        <v>0.38</v>
      </c>
      <c r="K15" s="14">
        <v>0.28000000000000003</v>
      </c>
      <c r="L15" s="14">
        <v>0.32</v>
      </c>
      <c r="M15" s="14">
        <v>0.38</v>
      </c>
      <c r="N15" s="14">
        <v>0.34</v>
      </c>
      <c r="O15" s="14">
        <v>0.34</v>
      </c>
      <c r="P15" s="14">
        <v>0.33</v>
      </c>
      <c r="Q15" s="14">
        <v>0.32</v>
      </c>
      <c r="R15" s="14">
        <v>0.37</v>
      </c>
      <c r="S15" s="14">
        <v>0.3</v>
      </c>
      <c r="T15" s="14">
        <v>0.31</v>
      </c>
      <c r="U15" s="14">
        <v>0.36</v>
      </c>
      <c r="V15" s="14">
        <v>0.27</v>
      </c>
      <c r="W15" s="14">
        <v>0.35</v>
      </c>
      <c r="X15" s="14">
        <v>0.38</v>
      </c>
      <c r="Y15" s="14">
        <v>0.44</v>
      </c>
      <c r="Z15" s="14">
        <v>0.33</v>
      </c>
      <c r="AA15" s="14">
        <v>0.27</v>
      </c>
      <c r="AB15" s="14">
        <v>0.4</v>
      </c>
      <c r="AC15" s="14">
        <v>0.25</v>
      </c>
      <c r="AD15" s="14">
        <v>0.21</v>
      </c>
      <c r="AE15" s="14">
        <v>0.36</v>
      </c>
      <c r="AF15" s="14">
        <v>0.45</v>
      </c>
    </row>
    <row r="16" spans="1:32">
      <c r="A16" s="19"/>
      <c r="B16" s="11" t="s">
        <v>386</v>
      </c>
      <c r="C16" s="12">
        <v>200</v>
      </c>
      <c r="D16" s="12">
        <v>6</v>
      </c>
      <c r="E16" s="12">
        <v>25</v>
      </c>
      <c r="F16" s="12">
        <v>10</v>
      </c>
      <c r="G16" s="12">
        <v>25</v>
      </c>
      <c r="H16" s="12">
        <v>9</v>
      </c>
      <c r="I16" s="12">
        <v>10</v>
      </c>
      <c r="J16" s="12">
        <v>1</v>
      </c>
      <c r="K16" s="12">
        <v>40</v>
      </c>
      <c r="L16" s="12">
        <v>12</v>
      </c>
      <c r="M16" s="12">
        <v>2</v>
      </c>
      <c r="N16" s="12">
        <v>4</v>
      </c>
      <c r="O16" s="12">
        <v>9</v>
      </c>
      <c r="P16" s="12">
        <v>10</v>
      </c>
      <c r="Q16" s="12">
        <v>3</v>
      </c>
      <c r="R16" s="12">
        <v>3</v>
      </c>
      <c r="S16" s="12">
        <v>15</v>
      </c>
      <c r="T16" s="12">
        <v>20</v>
      </c>
      <c r="U16" s="12">
        <v>2</v>
      </c>
      <c r="V16" s="12">
        <v>13</v>
      </c>
      <c r="W16" s="12">
        <v>2</v>
      </c>
      <c r="X16" s="12">
        <v>8</v>
      </c>
      <c r="Y16" s="12">
        <v>10</v>
      </c>
      <c r="Z16" s="12">
        <v>8</v>
      </c>
      <c r="AA16" s="12">
        <v>3</v>
      </c>
      <c r="AB16" s="12">
        <v>7</v>
      </c>
      <c r="AC16" s="12">
        <v>8</v>
      </c>
      <c r="AD16" s="12">
        <v>10</v>
      </c>
      <c r="AE16" s="12">
        <v>13</v>
      </c>
      <c r="AF16" s="12">
        <v>14</v>
      </c>
    </row>
    <row r="17" spans="1:32">
      <c r="A17" s="19"/>
      <c r="B17" s="13" t="s">
        <v>399</v>
      </c>
      <c r="C17" s="14">
        <v>0.01</v>
      </c>
      <c r="D17" s="14">
        <v>0.01</v>
      </c>
      <c r="E17" s="14">
        <v>0.04</v>
      </c>
      <c r="F17" s="14">
        <v>0.01</v>
      </c>
      <c r="G17" s="14">
        <v>0.05</v>
      </c>
      <c r="H17" s="14">
        <v>0.01</v>
      </c>
      <c r="I17" s="14">
        <v>0.01</v>
      </c>
      <c r="J17" s="14">
        <v>0.01</v>
      </c>
      <c r="K17" s="14">
        <v>0.06</v>
      </c>
      <c r="L17" s="14">
        <v>0.02</v>
      </c>
      <c r="M17" s="14">
        <v>0.01</v>
      </c>
      <c r="N17" s="14">
        <v>0.01</v>
      </c>
      <c r="O17" s="14">
        <v>0.02</v>
      </c>
      <c r="P17" s="14">
        <v>0.01</v>
      </c>
      <c r="Q17" s="15" t="s">
        <v>375</v>
      </c>
      <c r="R17" s="14">
        <v>0.01</v>
      </c>
      <c r="S17" s="14">
        <v>0.03</v>
      </c>
      <c r="T17" s="14">
        <v>0.03</v>
      </c>
      <c r="U17" s="14">
        <v>0.01</v>
      </c>
      <c r="V17" s="14">
        <v>0.03</v>
      </c>
      <c r="W17" s="14">
        <v>0.01</v>
      </c>
      <c r="X17" s="14">
        <v>0.01</v>
      </c>
      <c r="Y17" s="14">
        <v>0.02</v>
      </c>
      <c r="Z17" s="14">
        <v>0.02</v>
      </c>
      <c r="AA17" s="14">
        <v>0.01</v>
      </c>
      <c r="AB17" s="14">
        <v>0.01</v>
      </c>
      <c r="AC17" s="14">
        <v>0.01</v>
      </c>
      <c r="AD17" s="14">
        <v>0.02</v>
      </c>
      <c r="AE17" s="14">
        <v>0.02</v>
      </c>
      <c r="AF17" s="14">
        <v>0.02</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4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199</v>
      </c>
      <c r="C3" s="17"/>
      <c r="D3" s="17"/>
      <c r="E3" s="17"/>
      <c r="F3" s="17"/>
      <c r="H3" s="17" t="s">
        <v>200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1034</v>
      </c>
      <c r="C12" s="12">
        <v>4640</v>
      </c>
      <c r="D12" s="12">
        <v>269</v>
      </c>
      <c r="E12" s="12">
        <v>66</v>
      </c>
      <c r="F12" s="12">
        <v>104</v>
      </c>
      <c r="G12" s="12">
        <v>323</v>
      </c>
      <c r="H12" s="12">
        <v>206</v>
      </c>
      <c r="I12" s="12">
        <v>244</v>
      </c>
      <c r="J12" s="12">
        <v>38</v>
      </c>
      <c r="K12" s="12">
        <v>112</v>
      </c>
      <c r="L12" s="12">
        <v>251</v>
      </c>
      <c r="M12" s="12">
        <v>111</v>
      </c>
      <c r="N12" s="12">
        <v>252</v>
      </c>
      <c r="O12" s="12">
        <v>184</v>
      </c>
      <c r="P12" s="12">
        <v>144</v>
      </c>
      <c r="Q12" s="12">
        <v>98</v>
      </c>
      <c r="R12" s="12">
        <v>147</v>
      </c>
      <c r="S12" s="12">
        <v>185</v>
      </c>
      <c r="T12" s="12">
        <v>119</v>
      </c>
      <c r="U12" s="12">
        <v>127</v>
      </c>
      <c r="V12" s="12">
        <v>132</v>
      </c>
      <c r="W12" s="12">
        <v>129</v>
      </c>
      <c r="X12" s="12">
        <v>410</v>
      </c>
      <c r="Y12" s="12">
        <v>118</v>
      </c>
      <c r="Z12" s="12">
        <v>99</v>
      </c>
      <c r="AA12" s="12">
        <v>77</v>
      </c>
      <c r="AB12" s="12">
        <v>62</v>
      </c>
      <c r="AC12" s="12">
        <v>201</v>
      </c>
      <c r="AD12" s="12">
        <v>154</v>
      </c>
      <c r="AE12" s="12">
        <v>417</v>
      </c>
      <c r="AF12" s="12">
        <v>570</v>
      </c>
    </row>
    <row r="13" spans="1:32">
      <c r="A13" s="19"/>
      <c r="B13" s="13" t="s">
        <v>1035</v>
      </c>
      <c r="C13" s="14">
        <v>0.18</v>
      </c>
      <c r="D13" s="14">
        <v>0.26</v>
      </c>
      <c r="E13" s="14">
        <v>0.06</v>
      </c>
      <c r="F13" s="14">
        <v>0.1</v>
      </c>
      <c r="G13" s="14">
        <v>0.32</v>
      </c>
      <c r="H13" s="14">
        <v>0.17</v>
      </c>
      <c r="I13" s="14">
        <v>0.16</v>
      </c>
      <c r="J13" s="14">
        <v>0.13</v>
      </c>
      <c r="K13" s="14">
        <v>0.11</v>
      </c>
      <c r="L13" s="14">
        <v>0.25</v>
      </c>
      <c r="M13" s="14">
        <v>0.11</v>
      </c>
      <c r="N13" s="14">
        <v>0.25</v>
      </c>
      <c r="O13" s="14">
        <v>0.18</v>
      </c>
      <c r="P13" s="14">
        <v>0.14000000000000001</v>
      </c>
      <c r="Q13" s="14">
        <v>0.1</v>
      </c>
      <c r="R13" s="14">
        <v>0.28999999999999998</v>
      </c>
      <c r="S13" s="14">
        <v>0.18</v>
      </c>
      <c r="T13" s="14">
        <v>0.12</v>
      </c>
      <c r="U13" s="14">
        <v>0.25</v>
      </c>
      <c r="V13" s="14">
        <v>0.13</v>
      </c>
      <c r="W13" s="14">
        <v>0.26</v>
      </c>
      <c r="X13" s="14">
        <v>0.41</v>
      </c>
      <c r="Y13" s="14">
        <v>0.12</v>
      </c>
      <c r="Z13" s="14">
        <v>0.1</v>
      </c>
      <c r="AA13" s="14">
        <v>7.0000000000000007E-2</v>
      </c>
      <c r="AB13" s="14">
        <v>0.06</v>
      </c>
      <c r="AC13" s="14">
        <v>0.2</v>
      </c>
      <c r="AD13" s="14">
        <v>0.15</v>
      </c>
      <c r="AE13" s="14">
        <v>0.42</v>
      </c>
      <c r="AF13" s="14">
        <v>0.55000000000000004</v>
      </c>
    </row>
    <row r="14" spans="1:32">
      <c r="A14" s="19"/>
      <c r="B14" s="11" t="s">
        <v>1036</v>
      </c>
      <c r="C14" s="12">
        <v>2420</v>
      </c>
      <c r="D14" s="12">
        <v>106</v>
      </c>
      <c r="E14" s="12">
        <v>24</v>
      </c>
      <c r="F14" s="12">
        <v>51</v>
      </c>
      <c r="G14" s="12">
        <v>180</v>
      </c>
      <c r="H14" s="12">
        <v>127</v>
      </c>
      <c r="I14" s="12">
        <v>145</v>
      </c>
      <c r="J14" s="12">
        <v>19</v>
      </c>
      <c r="K14" s="12">
        <v>48</v>
      </c>
      <c r="L14" s="12">
        <v>108</v>
      </c>
      <c r="M14" s="12">
        <v>15</v>
      </c>
      <c r="N14" s="12">
        <v>86</v>
      </c>
      <c r="O14" s="12">
        <v>111</v>
      </c>
      <c r="P14" s="12">
        <v>72</v>
      </c>
      <c r="Q14" s="12">
        <v>56</v>
      </c>
      <c r="R14" s="12">
        <v>50</v>
      </c>
      <c r="S14" s="12">
        <v>70</v>
      </c>
      <c r="T14" s="12">
        <v>60</v>
      </c>
      <c r="U14" s="12">
        <v>80</v>
      </c>
      <c r="V14" s="12">
        <v>65</v>
      </c>
      <c r="W14" s="12">
        <v>67</v>
      </c>
      <c r="X14" s="12">
        <v>236</v>
      </c>
      <c r="Y14" s="12">
        <v>91</v>
      </c>
      <c r="Z14" s="12">
        <v>52</v>
      </c>
      <c r="AA14" s="12">
        <v>13</v>
      </c>
      <c r="AB14" s="12">
        <v>29</v>
      </c>
      <c r="AC14" s="12">
        <v>91</v>
      </c>
      <c r="AD14" s="12">
        <v>54</v>
      </c>
      <c r="AE14" s="12">
        <v>195</v>
      </c>
      <c r="AF14" s="12">
        <v>400</v>
      </c>
    </row>
    <row r="15" spans="1:32">
      <c r="A15" s="19"/>
      <c r="B15" s="13" t="s">
        <v>1037</v>
      </c>
      <c r="C15" s="14">
        <v>0.09</v>
      </c>
      <c r="D15" s="14">
        <v>0.1</v>
      </c>
      <c r="E15" s="14">
        <v>0.02</v>
      </c>
      <c r="F15" s="14">
        <v>0.05</v>
      </c>
      <c r="G15" s="14">
        <v>0.18</v>
      </c>
      <c r="H15" s="14">
        <v>0.1</v>
      </c>
      <c r="I15" s="14">
        <v>0.1</v>
      </c>
      <c r="J15" s="14">
        <v>0.06</v>
      </c>
      <c r="K15" s="14">
        <v>0.05</v>
      </c>
      <c r="L15" s="14">
        <v>0.11</v>
      </c>
      <c r="M15" s="14">
        <v>0.02</v>
      </c>
      <c r="N15" s="14">
        <v>0.08</v>
      </c>
      <c r="O15" s="14">
        <v>0.11</v>
      </c>
      <c r="P15" s="14">
        <v>7.0000000000000007E-2</v>
      </c>
      <c r="Q15" s="14">
        <v>0.05</v>
      </c>
      <c r="R15" s="14">
        <v>0.1</v>
      </c>
      <c r="S15" s="14">
        <v>7.0000000000000007E-2</v>
      </c>
      <c r="T15" s="14">
        <v>0.06</v>
      </c>
      <c r="U15" s="14">
        <v>0.16</v>
      </c>
      <c r="V15" s="14">
        <v>0.06</v>
      </c>
      <c r="W15" s="14">
        <v>0.13</v>
      </c>
      <c r="X15" s="14">
        <v>0.23</v>
      </c>
      <c r="Y15" s="14">
        <v>0.09</v>
      </c>
      <c r="Z15" s="14">
        <v>0.05</v>
      </c>
      <c r="AA15" s="14">
        <v>0.01</v>
      </c>
      <c r="AB15" s="14">
        <v>0.03</v>
      </c>
      <c r="AC15" s="14">
        <v>0.09</v>
      </c>
      <c r="AD15" s="14">
        <v>0.05</v>
      </c>
      <c r="AE15" s="14">
        <v>0.19</v>
      </c>
      <c r="AF15" s="14">
        <v>0.39</v>
      </c>
    </row>
    <row r="16" spans="1:32">
      <c r="A16" s="19"/>
      <c r="B16" s="11" t="s">
        <v>1038</v>
      </c>
      <c r="C16" s="12">
        <v>4203</v>
      </c>
      <c r="D16" s="12">
        <v>223</v>
      </c>
      <c r="E16" s="12">
        <v>43</v>
      </c>
      <c r="F16" s="12">
        <v>87</v>
      </c>
      <c r="G16" s="12">
        <v>294</v>
      </c>
      <c r="H16" s="12">
        <v>185</v>
      </c>
      <c r="I16" s="12">
        <v>225</v>
      </c>
      <c r="J16" s="12">
        <v>40</v>
      </c>
      <c r="K16" s="12">
        <v>128</v>
      </c>
      <c r="L16" s="12">
        <v>191</v>
      </c>
      <c r="M16" s="12">
        <v>113</v>
      </c>
      <c r="N16" s="12">
        <v>211</v>
      </c>
      <c r="O16" s="12">
        <v>190</v>
      </c>
      <c r="P16" s="12">
        <v>139</v>
      </c>
      <c r="Q16" s="12">
        <v>92</v>
      </c>
      <c r="R16" s="12">
        <v>126</v>
      </c>
      <c r="S16" s="12">
        <v>117</v>
      </c>
      <c r="T16" s="12">
        <v>100</v>
      </c>
      <c r="U16" s="12">
        <v>117</v>
      </c>
      <c r="V16" s="12">
        <v>106</v>
      </c>
      <c r="W16" s="12">
        <v>121</v>
      </c>
      <c r="X16" s="12">
        <v>332</v>
      </c>
      <c r="Y16" s="12">
        <v>122</v>
      </c>
      <c r="Z16" s="12">
        <v>93</v>
      </c>
      <c r="AA16" s="12">
        <v>43</v>
      </c>
      <c r="AB16" s="12">
        <v>66</v>
      </c>
      <c r="AC16" s="12">
        <v>157</v>
      </c>
      <c r="AD16" s="12">
        <v>102</v>
      </c>
      <c r="AE16" s="12">
        <v>390</v>
      </c>
      <c r="AF16" s="12">
        <v>538</v>
      </c>
    </row>
    <row r="17" spans="1:32">
      <c r="A17" s="19"/>
      <c r="B17" s="13" t="s">
        <v>1039</v>
      </c>
      <c r="C17" s="14">
        <v>0.16</v>
      </c>
      <c r="D17" s="14">
        <v>0.22</v>
      </c>
      <c r="E17" s="14">
        <v>0.04</v>
      </c>
      <c r="F17" s="14">
        <v>0.08</v>
      </c>
      <c r="G17" s="14">
        <v>0.28999999999999998</v>
      </c>
      <c r="H17" s="14">
        <v>0.15</v>
      </c>
      <c r="I17" s="14">
        <v>0.15</v>
      </c>
      <c r="J17" s="14">
        <v>0.14000000000000001</v>
      </c>
      <c r="K17" s="14">
        <v>0.13</v>
      </c>
      <c r="L17" s="14">
        <v>0.19</v>
      </c>
      <c r="M17" s="14">
        <v>0.11</v>
      </c>
      <c r="N17" s="14">
        <v>0.21</v>
      </c>
      <c r="O17" s="14">
        <v>0.19</v>
      </c>
      <c r="P17" s="14">
        <v>0.14000000000000001</v>
      </c>
      <c r="Q17" s="14">
        <v>0.09</v>
      </c>
      <c r="R17" s="14">
        <v>0.25</v>
      </c>
      <c r="S17" s="14">
        <v>0.12</v>
      </c>
      <c r="T17" s="14">
        <v>0.1</v>
      </c>
      <c r="U17" s="14">
        <v>0.23</v>
      </c>
      <c r="V17" s="14">
        <v>0.1</v>
      </c>
      <c r="W17" s="14">
        <v>0.24</v>
      </c>
      <c r="X17" s="14">
        <v>0.33</v>
      </c>
      <c r="Y17" s="14">
        <v>0.12</v>
      </c>
      <c r="Z17" s="14">
        <v>0.09</v>
      </c>
      <c r="AA17" s="14">
        <v>0.04</v>
      </c>
      <c r="AB17" s="14">
        <v>0.06</v>
      </c>
      <c r="AC17" s="14">
        <v>0.16</v>
      </c>
      <c r="AD17" s="14">
        <v>0.1</v>
      </c>
      <c r="AE17" s="14">
        <v>0.39</v>
      </c>
      <c r="AF17" s="14">
        <v>0.52</v>
      </c>
    </row>
    <row r="18" spans="1:32">
      <c r="A18" s="19"/>
      <c r="B18" s="11" t="s">
        <v>1040</v>
      </c>
      <c r="C18" s="12">
        <v>3808</v>
      </c>
      <c r="D18" s="12">
        <v>178</v>
      </c>
      <c r="E18" s="12">
        <v>66</v>
      </c>
      <c r="F18" s="12">
        <v>93</v>
      </c>
      <c r="G18" s="12">
        <v>290</v>
      </c>
      <c r="H18" s="12">
        <v>176</v>
      </c>
      <c r="I18" s="12">
        <v>213</v>
      </c>
      <c r="J18" s="12">
        <v>37</v>
      </c>
      <c r="K18" s="12">
        <v>126</v>
      </c>
      <c r="L18" s="12">
        <v>174</v>
      </c>
      <c r="M18" s="12">
        <v>100</v>
      </c>
      <c r="N18" s="12">
        <v>191</v>
      </c>
      <c r="O18" s="12">
        <v>137</v>
      </c>
      <c r="P18" s="12">
        <v>123</v>
      </c>
      <c r="Q18" s="12">
        <v>86</v>
      </c>
      <c r="R18" s="12">
        <v>93</v>
      </c>
      <c r="S18" s="12">
        <v>170</v>
      </c>
      <c r="T18" s="12">
        <v>130</v>
      </c>
      <c r="U18" s="12">
        <v>91</v>
      </c>
      <c r="V18" s="12">
        <v>109</v>
      </c>
      <c r="W18" s="12">
        <v>104</v>
      </c>
      <c r="X18" s="12">
        <v>323</v>
      </c>
      <c r="Y18" s="12">
        <v>119</v>
      </c>
      <c r="Z18" s="12">
        <v>120</v>
      </c>
      <c r="AA18" s="12">
        <v>33</v>
      </c>
      <c r="AB18" s="12">
        <v>56</v>
      </c>
      <c r="AC18" s="12">
        <v>182</v>
      </c>
      <c r="AD18" s="12">
        <v>146</v>
      </c>
      <c r="AE18" s="12">
        <v>345</v>
      </c>
      <c r="AF18" s="12">
        <v>423</v>
      </c>
    </row>
    <row r="19" spans="1:32">
      <c r="A19" s="19"/>
      <c r="B19" s="13" t="s">
        <v>1041</v>
      </c>
      <c r="C19" s="14">
        <v>0.14000000000000001</v>
      </c>
      <c r="D19" s="14">
        <v>0.17</v>
      </c>
      <c r="E19" s="14">
        <v>0.06</v>
      </c>
      <c r="F19" s="14">
        <v>0.09</v>
      </c>
      <c r="G19" s="14">
        <v>0.28999999999999998</v>
      </c>
      <c r="H19" s="14">
        <v>0.14000000000000001</v>
      </c>
      <c r="I19" s="14">
        <v>0.14000000000000001</v>
      </c>
      <c r="J19" s="14">
        <v>0.13</v>
      </c>
      <c r="K19" s="14">
        <v>0.13</v>
      </c>
      <c r="L19" s="14">
        <v>0.17</v>
      </c>
      <c r="M19" s="14">
        <v>0.1</v>
      </c>
      <c r="N19" s="14">
        <v>0.19</v>
      </c>
      <c r="O19" s="14">
        <v>0.14000000000000001</v>
      </c>
      <c r="P19" s="14">
        <v>0.12</v>
      </c>
      <c r="Q19" s="14">
        <v>0.08</v>
      </c>
      <c r="R19" s="14">
        <v>0.19</v>
      </c>
      <c r="S19" s="14">
        <v>0.17</v>
      </c>
      <c r="T19" s="14">
        <v>0.13</v>
      </c>
      <c r="U19" s="14">
        <v>0.18</v>
      </c>
      <c r="V19" s="14">
        <v>0.11</v>
      </c>
      <c r="W19" s="14">
        <v>0.21</v>
      </c>
      <c r="X19" s="14">
        <v>0.32</v>
      </c>
      <c r="Y19" s="14">
        <v>0.12</v>
      </c>
      <c r="Z19" s="14">
        <v>0.12</v>
      </c>
      <c r="AA19" s="14">
        <v>0.03</v>
      </c>
      <c r="AB19" s="14">
        <v>0.05</v>
      </c>
      <c r="AC19" s="14">
        <v>0.18</v>
      </c>
      <c r="AD19" s="14">
        <v>0.15</v>
      </c>
      <c r="AE19" s="14">
        <v>0.34</v>
      </c>
      <c r="AF19" s="14">
        <v>0.41</v>
      </c>
    </row>
    <row r="20" spans="1:32">
      <c r="A20" s="19"/>
      <c r="B20" s="11" t="s">
        <v>1042</v>
      </c>
      <c r="C20" s="12">
        <v>2771</v>
      </c>
      <c r="D20" s="12">
        <v>119</v>
      </c>
      <c r="E20" s="12">
        <v>36</v>
      </c>
      <c r="F20" s="12">
        <v>62</v>
      </c>
      <c r="G20" s="12">
        <v>198</v>
      </c>
      <c r="H20" s="12">
        <v>125</v>
      </c>
      <c r="I20" s="12">
        <v>152</v>
      </c>
      <c r="J20" s="12">
        <v>28</v>
      </c>
      <c r="K20" s="12">
        <v>76</v>
      </c>
      <c r="L20" s="12">
        <v>164</v>
      </c>
      <c r="M20" s="12">
        <v>67</v>
      </c>
      <c r="N20" s="12">
        <v>153</v>
      </c>
      <c r="O20" s="12">
        <v>92</v>
      </c>
      <c r="P20" s="12">
        <v>116</v>
      </c>
      <c r="Q20" s="12">
        <v>60</v>
      </c>
      <c r="R20" s="12">
        <v>72</v>
      </c>
      <c r="S20" s="12">
        <v>133</v>
      </c>
      <c r="T20" s="12">
        <v>95</v>
      </c>
      <c r="U20" s="12">
        <v>71</v>
      </c>
      <c r="V20" s="12">
        <v>59</v>
      </c>
      <c r="W20" s="12">
        <v>81</v>
      </c>
      <c r="X20" s="12">
        <v>254</v>
      </c>
      <c r="Y20" s="12">
        <v>73</v>
      </c>
      <c r="Z20" s="12">
        <v>81</v>
      </c>
      <c r="AA20" s="12">
        <v>27</v>
      </c>
      <c r="AB20" s="12">
        <v>31</v>
      </c>
      <c r="AC20" s="12">
        <v>126</v>
      </c>
      <c r="AD20" s="12">
        <v>83</v>
      </c>
      <c r="AE20" s="12">
        <v>260</v>
      </c>
      <c r="AF20" s="12">
        <v>373</v>
      </c>
    </row>
    <row r="21" spans="1:32">
      <c r="A21" s="19"/>
      <c r="B21" s="13" t="s">
        <v>1043</v>
      </c>
      <c r="C21" s="14">
        <v>0.1</v>
      </c>
      <c r="D21" s="14">
        <v>0.12</v>
      </c>
      <c r="E21" s="14">
        <v>0.03</v>
      </c>
      <c r="F21" s="14">
        <v>0.06</v>
      </c>
      <c r="G21" s="14">
        <v>0.19</v>
      </c>
      <c r="H21" s="14">
        <v>0.1</v>
      </c>
      <c r="I21" s="14">
        <v>0.1</v>
      </c>
      <c r="J21" s="14">
        <v>0.09</v>
      </c>
      <c r="K21" s="14">
        <v>0.08</v>
      </c>
      <c r="L21" s="14">
        <v>0.16</v>
      </c>
      <c r="M21" s="14">
        <v>7.0000000000000007E-2</v>
      </c>
      <c r="N21" s="14">
        <v>0.15</v>
      </c>
      <c r="O21" s="14">
        <v>0.09</v>
      </c>
      <c r="P21" s="14">
        <v>0.12</v>
      </c>
      <c r="Q21" s="14">
        <v>0.06</v>
      </c>
      <c r="R21" s="14">
        <v>0.14000000000000001</v>
      </c>
      <c r="S21" s="14">
        <v>0.13</v>
      </c>
      <c r="T21" s="14">
        <v>0.09</v>
      </c>
      <c r="U21" s="14">
        <v>0.14000000000000001</v>
      </c>
      <c r="V21" s="14">
        <v>0.06</v>
      </c>
      <c r="W21" s="14">
        <v>0.16</v>
      </c>
      <c r="X21" s="14">
        <v>0.25</v>
      </c>
      <c r="Y21" s="14">
        <v>7.0000000000000007E-2</v>
      </c>
      <c r="Z21" s="14">
        <v>0.08</v>
      </c>
      <c r="AA21" s="14">
        <v>0.03</v>
      </c>
      <c r="AB21" s="14">
        <v>0.03</v>
      </c>
      <c r="AC21" s="14">
        <v>0.13</v>
      </c>
      <c r="AD21" s="14">
        <v>0.08</v>
      </c>
      <c r="AE21" s="14">
        <v>0.26</v>
      </c>
      <c r="AF21" s="14">
        <v>0.36</v>
      </c>
    </row>
    <row r="22" spans="1:32">
      <c r="A22" s="19"/>
      <c r="B22" s="11" t="s">
        <v>1044</v>
      </c>
      <c r="C22" s="12">
        <v>1646</v>
      </c>
      <c r="D22" s="12">
        <v>82</v>
      </c>
      <c r="E22" s="12">
        <v>24</v>
      </c>
      <c r="F22" s="12">
        <v>52</v>
      </c>
      <c r="G22" s="12">
        <v>101</v>
      </c>
      <c r="H22" s="12">
        <v>56</v>
      </c>
      <c r="I22" s="12">
        <v>70</v>
      </c>
      <c r="J22" s="12">
        <v>15</v>
      </c>
      <c r="K22" s="12">
        <v>75</v>
      </c>
      <c r="L22" s="12">
        <v>74</v>
      </c>
      <c r="M22" s="12">
        <v>31</v>
      </c>
      <c r="N22" s="12">
        <v>84</v>
      </c>
      <c r="O22" s="12">
        <v>54</v>
      </c>
      <c r="P22" s="12">
        <v>86</v>
      </c>
      <c r="Q22" s="12">
        <v>44</v>
      </c>
      <c r="R22" s="12">
        <v>64</v>
      </c>
      <c r="S22" s="12">
        <v>88</v>
      </c>
      <c r="T22" s="12">
        <v>41</v>
      </c>
      <c r="U22" s="12">
        <v>44</v>
      </c>
      <c r="V22" s="12">
        <v>56</v>
      </c>
      <c r="W22" s="12">
        <v>63</v>
      </c>
      <c r="X22" s="12">
        <v>134</v>
      </c>
      <c r="Y22" s="12">
        <v>66</v>
      </c>
      <c r="Z22" s="12">
        <v>68</v>
      </c>
      <c r="AA22" s="12">
        <v>17</v>
      </c>
      <c r="AB22" s="12">
        <v>34</v>
      </c>
      <c r="AC22" s="12">
        <v>82</v>
      </c>
      <c r="AD22" s="12">
        <v>52</v>
      </c>
      <c r="AE22" s="12">
        <v>153</v>
      </c>
      <c r="AF22" s="12">
        <v>195</v>
      </c>
    </row>
    <row r="23" spans="1:32">
      <c r="A23" s="19"/>
      <c r="B23" s="13" t="s">
        <v>1045</v>
      </c>
      <c r="C23" s="14">
        <v>0.06</v>
      </c>
      <c r="D23" s="14">
        <v>0.08</v>
      </c>
      <c r="E23" s="14">
        <v>0.02</v>
      </c>
      <c r="F23" s="14">
        <v>0.05</v>
      </c>
      <c r="G23" s="14">
        <v>0.1</v>
      </c>
      <c r="H23" s="14">
        <v>0.05</v>
      </c>
      <c r="I23" s="14">
        <v>0.05</v>
      </c>
      <c r="J23" s="14">
        <v>0.05</v>
      </c>
      <c r="K23" s="14">
        <v>7.0000000000000007E-2</v>
      </c>
      <c r="L23" s="14">
        <v>7.0000000000000007E-2</v>
      </c>
      <c r="M23" s="14">
        <v>0.03</v>
      </c>
      <c r="N23" s="14">
        <v>0.08</v>
      </c>
      <c r="O23" s="14">
        <v>0.05</v>
      </c>
      <c r="P23" s="14">
        <v>0.09</v>
      </c>
      <c r="Q23" s="14">
        <v>0.04</v>
      </c>
      <c r="R23" s="14">
        <v>0.13</v>
      </c>
      <c r="S23" s="14">
        <v>0.09</v>
      </c>
      <c r="T23" s="14">
        <v>0.04</v>
      </c>
      <c r="U23" s="14">
        <v>0.09</v>
      </c>
      <c r="V23" s="14">
        <v>0.05</v>
      </c>
      <c r="W23" s="14">
        <v>0.13</v>
      </c>
      <c r="X23" s="14">
        <v>0.13</v>
      </c>
      <c r="Y23" s="14">
        <v>7.0000000000000007E-2</v>
      </c>
      <c r="Z23" s="14">
        <v>7.0000000000000007E-2</v>
      </c>
      <c r="AA23" s="14">
        <v>0.02</v>
      </c>
      <c r="AB23" s="14">
        <v>0.03</v>
      </c>
      <c r="AC23" s="14">
        <v>0.08</v>
      </c>
      <c r="AD23" s="14">
        <v>0.05</v>
      </c>
      <c r="AE23" s="14">
        <v>0.15</v>
      </c>
      <c r="AF23" s="14">
        <v>0.19</v>
      </c>
    </row>
    <row r="24" spans="1:32">
      <c r="A24" s="19"/>
      <c r="B24" s="11" t="s">
        <v>1046</v>
      </c>
      <c r="C24" s="12">
        <v>881</v>
      </c>
      <c r="D24" s="12">
        <v>54</v>
      </c>
      <c r="E24" s="12">
        <v>27</v>
      </c>
      <c r="F24" s="12">
        <v>54</v>
      </c>
      <c r="G24" s="12">
        <v>48</v>
      </c>
      <c r="H24" s="12">
        <v>21</v>
      </c>
      <c r="I24" s="12">
        <v>23</v>
      </c>
      <c r="J24" s="12">
        <v>2</v>
      </c>
      <c r="K24" s="12">
        <v>35</v>
      </c>
      <c r="L24" s="12">
        <v>24</v>
      </c>
      <c r="M24" s="12">
        <v>11</v>
      </c>
      <c r="N24" s="12">
        <v>46</v>
      </c>
      <c r="O24" s="12">
        <v>38</v>
      </c>
      <c r="P24" s="12">
        <v>68</v>
      </c>
      <c r="Q24" s="12">
        <v>23</v>
      </c>
      <c r="R24" s="12">
        <v>43</v>
      </c>
      <c r="S24" s="12">
        <v>49</v>
      </c>
      <c r="T24" s="12">
        <v>17</v>
      </c>
      <c r="U24" s="12">
        <v>9</v>
      </c>
      <c r="V24" s="12">
        <v>56</v>
      </c>
      <c r="W24" s="12">
        <v>23</v>
      </c>
      <c r="X24" s="12">
        <v>42</v>
      </c>
      <c r="Y24" s="12">
        <v>33</v>
      </c>
      <c r="Z24" s="12">
        <v>45</v>
      </c>
      <c r="AA24" s="12">
        <v>17</v>
      </c>
      <c r="AB24" s="12">
        <v>20</v>
      </c>
      <c r="AC24" s="12">
        <v>86</v>
      </c>
      <c r="AD24" s="12">
        <v>75</v>
      </c>
      <c r="AE24" s="12">
        <v>43</v>
      </c>
      <c r="AF24" s="12">
        <v>56</v>
      </c>
    </row>
    <row r="25" spans="1:32">
      <c r="A25" s="19"/>
      <c r="B25" s="13" t="s">
        <v>1047</v>
      </c>
      <c r="C25" s="14">
        <v>0.03</v>
      </c>
      <c r="D25" s="14">
        <v>0.05</v>
      </c>
      <c r="E25" s="14">
        <v>0.03</v>
      </c>
      <c r="F25" s="14">
        <v>0.05</v>
      </c>
      <c r="G25" s="14">
        <v>0.05</v>
      </c>
      <c r="H25" s="14">
        <v>0.02</v>
      </c>
      <c r="I25" s="14">
        <v>0.02</v>
      </c>
      <c r="J25" s="14">
        <v>0.01</v>
      </c>
      <c r="K25" s="14">
        <v>0.03</v>
      </c>
      <c r="L25" s="14">
        <v>0.02</v>
      </c>
      <c r="M25" s="14">
        <v>0.01</v>
      </c>
      <c r="N25" s="14">
        <v>0.05</v>
      </c>
      <c r="O25" s="14">
        <v>0.04</v>
      </c>
      <c r="P25" s="14">
        <v>7.0000000000000007E-2</v>
      </c>
      <c r="Q25" s="14">
        <v>0.02</v>
      </c>
      <c r="R25" s="14">
        <v>0.09</v>
      </c>
      <c r="S25" s="14">
        <v>0.05</v>
      </c>
      <c r="T25" s="14">
        <v>0.02</v>
      </c>
      <c r="U25" s="14">
        <v>0.02</v>
      </c>
      <c r="V25" s="14">
        <v>0.05</v>
      </c>
      <c r="W25" s="14">
        <v>0.05</v>
      </c>
      <c r="X25" s="14">
        <v>0.04</v>
      </c>
      <c r="Y25" s="14">
        <v>0.03</v>
      </c>
      <c r="Z25" s="14">
        <v>0.04</v>
      </c>
      <c r="AA25" s="14">
        <v>0.02</v>
      </c>
      <c r="AB25" s="14">
        <v>0.02</v>
      </c>
      <c r="AC25" s="14">
        <v>0.09</v>
      </c>
      <c r="AD25" s="14">
        <v>0.08</v>
      </c>
      <c r="AE25" s="14">
        <v>0.04</v>
      </c>
      <c r="AF25" s="14">
        <v>0.05</v>
      </c>
    </row>
    <row r="26" spans="1:32">
      <c r="A26" s="19"/>
      <c r="B26" s="11" t="s">
        <v>1048</v>
      </c>
      <c r="C26" s="12">
        <v>2993</v>
      </c>
      <c r="D26" s="12">
        <v>129</v>
      </c>
      <c r="E26" s="12">
        <v>73</v>
      </c>
      <c r="F26" s="12">
        <v>125</v>
      </c>
      <c r="G26" s="12">
        <v>202</v>
      </c>
      <c r="H26" s="12">
        <v>174</v>
      </c>
      <c r="I26" s="12">
        <v>206</v>
      </c>
      <c r="J26" s="12">
        <v>31</v>
      </c>
      <c r="K26" s="12">
        <v>122</v>
      </c>
      <c r="L26" s="12">
        <v>153</v>
      </c>
      <c r="M26" s="12">
        <v>61</v>
      </c>
      <c r="N26" s="12">
        <v>108</v>
      </c>
      <c r="O26" s="12">
        <v>105</v>
      </c>
      <c r="P26" s="12">
        <v>124</v>
      </c>
      <c r="Q26" s="12">
        <v>39</v>
      </c>
      <c r="R26" s="12">
        <v>51</v>
      </c>
      <c r="S26" s="12">
        <v>135</v>
      </c>
      <c r="T26" s="12">
        <v>119</v>
      </c>
      <c r="U26" s="12">
        <v>67</v>
      </c>
      <c r="V26" s="12">
        <v>67</v>
      </c>
      <c r="W26" s="12">
        <v>65</v>
      </c>
      <c r="X26" s="12">
        <v>285</v>
      </c>
      <c r="Y26" s="12">
        <v>104</v>
      </c>
      <c r="Z26" s="12">
        <v>75</v>
      </c>
      <c r="AA26" s="12">
        <v>30</v>
      </c>
      <c r="AB26" s="12">
        <v>72</v>
      </c>
      <c r="AC26" s="12">
        <v>165</v>
      </c>
      <c r="AD26" s="12">
        <v>206</v>
      </c>
      <c r="AE26" s="12">
        <v>259</v>
      </c>
      <c r="AF26" s="12">
        <v>395</v>
      </c>
    </row>
    <row r="27" spans="1:32">
      <c r="A27" s="19"/>
      <c r="B27" s="13" t="s">
        <v>1049</v>
      </c>
      <c r="C27" s="14">
        <v>0.11</v>
      </c>
      <c r="D27" s="14">
        <v>0.13</v>
      </c>
      <c r="E27" s="14">
        <v>7.0000000000000007E-2</v>
      </c>
      <c r="F27" s="14">
        <v>0.12</v>
      </c>
      <c r="G27" s="14">
        <v>0.2</v>
      </c>
      <c r="H27" s="14">
        <v>0.14000000000000001</v>
      </c>
      <c r="I27" s="14">
        <v>0.13</v>
      </c>
      <c r="J27" s="14">
        <v>0.11</v>
      </c>
      <c r="K27" s="14">
        <v>0.12</v>
      </c>
      <c r="L27" s="14">
        <v>0.15</v>
      </c>
      <c r="M27" s="14">
        <v>0.06</v>
      </c>
      <c r="N27" s="14">
        <v>0.11</v>
      </c>
      <c r="O27" s="14">
        <v>0.1</v>
      </c>
      <c r="P27" s="14">
        <v>0.12</v>
      </c>
      <c r="Q27" s="14">
        <v>0.04</v>
      </c>
      <c r="R27" s="14">
        <v>0.1</v>
      </c>
      <c r="S27" s="14">
        <v>0.13</v>
      </c>
      <c r="T27" s="14">
        <v>0.12</v>
      </c>
      <c r="U27" s="14">
        <v>0.13</v>
      </c>
      <c r="V27" s="14">
        <v>7.0000000000000007E-2</v>
      </c>
      <c r="W27" s="14">
        <v>0.13</v>
      </c>
      <c r="X27" s="14">
        <v>0.28000000000000003</v>
      </c>
      <c r="Y27" s="14">
        <v>0.1</v>
      </c>
      <c r="Z27" s="14">
        <v>7.0000000000000007E-2</v>
      </c>
      <c r="AA27" s="14">
        <v>0.03</v>
      </c>
      <c r="AB27" s="14">
        <v>7.0000000000000007E-2</v>
      </c>
      <c r="AC27" s="14">
        <v>0.16</v>
      </c>
      <c r="AD27" s="14">
        <v>0.2</v>
      </c>
      <c r="AE27" s="14">
        <v>0.26</v>
      </c>
      <c r="AF27" s="14">
        <v>0.38</v>
      </c>
    </row>
    <row r="28" spans="1:32">
      <c r="A28" s="19"/>
      <c r="B28" s="11" t="s">
        <v>1050</v>
      </c>
      <c r="C28" s="12">
        <v>2985</v>
      </c>
      <c r="D28" s="12">
        <v>167</v>
      </c>
      <c r="E28" s="12">
        <v>84</v>
      </c>
      <c r="F28" s="12">
        <v>129</v>
      </c>
      <c r="G28" s="12">
        <v>174</v>
      </c>
      <c r="H28" s="12">
        <v>200</v>
      </c>
      <c r="I28" s="12">
        <v>237</v>
      </c>
      <c r="J28" s="12">
        <v>37</v>
      </c>
      <c r="K28" s="12">
        <v>202</v>
      </c>
      <c r="L28" s="12">
        <v>75</v>
      </c>
      <c r="M28" s="12">
        <v>115</v>
      </c>
      <c r="N28" s="12">
        <v>122</v>
      </c>
      <c r="O28" s="12">
        <v>86</v>
      </c>
      <c r="P28" s="12">
        <v>152</v>
      </c>
      <c r="Q28" s="12">
        <v>47</v>
      </c>
      <c r="R28" s="12">
        <v>53</v>
      </c>
      <c r="S28" s="12">
        <v>145</v>
      </c>
      <c r="T28" s="12">
        <v>124</v>
      </c>
      <c r="U28" s="12">
        <v>62</v>
      </c>
      <c r="V28" s="12">
        <v>74</v>
      </c>
      <c r="W28" s="12">
        <v>93</v>
      </c>
      <c r="X28" s="12">
        <v>216</v>
      </c>
      <c r="Y28" s="12">
        <v>69</v>
      </c>
      <c r="Z28" s="12">
        <v>66</v>
      </c>
      <c r="AA28" s="12">
        <v>32</v>
      </c>
      <c r="AB28" s="12">
        <v>93</v>
      </c>
      <c r="AC28" s="12">
        <v>179</v>
      </c>
      <c r="AD28" s="12">
        <v>290</v>
      </c>
      <c r="AE28" s="12">
        <v>149</v>
      </c>
      <c r="AF28" s="12">
        <v>289</v>
      </c>
    </row>
    <row r="29" spans="1:32">
      <c r="A29" s="19"/>
      <c r="B29" s="13" t="s">
        <v>1051</v>
      </c>
      <c r="C29" s="14">
        <v>0.11</v>
      </c>
      <c r="D29" s="14">
        <v>0.16</v>
      </c>
      <c r="E29" s="14">
        <v>0.08</v>
      </c>
      <c r="F29" s="14">
        <v>0.12</v>
      </c>
      <c r="G29" s="14">
        <v>0.17</v>
      </c>
      <c r="H29" s="14">
        <v>0.16</v>
      </c>
      <c r="I29" s="14">
        <v>0.16</v>
      </c>
      <c r="J29" s="14">
        <v>0.12</v>
      </c>
      <c r="K29" s="14">
        <v>0.2</v>
      </c>
      <c r="L29" s="14">
        <v>7.0000000000000007E-2</v>
      </c>
      <c r="M29" s="14">
        <v>0.11</v>
      </c>
      <c r="N29" s="14">
        <v>0.12</v>
      </c>
      <c r="O29" s="14">
        <v>0.09</v>
      </c>
      <c r="P29" s="14">
        <v>0.15</v>
      </c>
      <c r="Q29" s="14">
        <v>0.05</v>
      </c>
      <c r="R29" s="14">
        <v>0.11</v>
      </c>
      <c r="S29" s="14">
        <v>0.14000000000000001</v>
      </c>
      <c r="T29" s="14">
        <v>0.12</v>
      </c>
      <c r="U29" s="14">
        <v>0.12</v>
      </c>
      <c r="V29" s="14">
        <v>7.0000000000000007E-2</v>
      </c>
      <c r="W29" s="14">
        <v>0.19</v>
      </c>
      <c r="X29" s="14">
        <v>0.21</v>
      </c>
      <c r="Y29" s="14">
        <v>7.0000000000000007E-2</v>
      </c>
      <c r="Z29" s="14">
        <v>0.06</v>
      </c>
      <c r="AA29" s="14">
        <v>0.03</v>
      </c>
      <c r="AB29" s="14">
        <v>0.09</v>
      </c>
      <c r="AC29" s="14">
        <v>0.18</v>
      </c>
      <c r="AD29" s="14">
        <v>0.28999999999999998</v>
      </c>
      <c r="AE29" s="14">
        <v>0.15</v>
      </c>
      <c r="AF29" s="14">
        <v>0.28000000000000003</v>
      </c>
    </row>
    <row r="30" spans="1:32">
      <c r="A30" s="19"/>
      <c r="B30" s="11" t="s">
        <v>1052</v>
      </c>
      <c r="C30" s="12">
        <v>16090</v>
      </c>
      <c r="D30" s="12">
        <v>524</v>
      </c>
      <c r="E30" s="12">
        <v>697</v>
      </c>
      <c r="F30" s="12">
        <v>661</v>
      </c>
      <c r="G30" s="12">
        <v>448</v>
      </c>
      <c r="H30" s="12">
        <v>714</v>
      </c>
      <c r="I30" s="12">
        <v>915</v>
      </c>
      <c r="J30" s="12">
        <v>200</v>
      </c>
      <c r="K30" s="12">
        <v>521</v>
      </c>
      <c r="L30" s="12">
        <v>588</v>
      </c>
      <c r="M30" s="12">
        <v>610</v>
      </c>
      <c r="N30" s="12">
        <v>589</v>
      </c>
      <c r="O30" s="12">
        <v>613</v>
      </c>
      <c r="P30" s="12">
        <v>516</v>
      </c>
      <c r="Q30" s="12">
        <v>790</v>
      </c>
      <c r="R30" s="12">
        <v>249</v>
      </c>
      <c r="S30" s="12">
        <v>534</v>
      </c>
      <c r="T30" s="12">
        <v>592</v>
      </c>
      <c r="U30" s="12">
        <v>289</v>
      </c>
      <c r="V30" s="12">
        <v>674</v>
      </c>
      <c r="W30" s="12">
        <v>217</v>
      </c>
      <c r="X30" s="12">
        <v>422</v>
      </c>
      <c r="Y30" s="12">
        <v>605</v>
      </c>
      <c r="Z30" s="12">
        <v>641</v>
      </c>
      <c r="AA30" s="12">
        <v>764</v>
      </c>
      <c r="AB30" s="12">
        <v>726</v>
      </c>
      <c r="AC30" s="12">
        <v>568</v>
      </c>
      <c r="AD30" s="12">
        <v>390</v>
      </c>
      <c r="AE30" s="12">
        <v>401</v>
      </c>
      <c r="AF30" s="12">
        <v>278</v>
      </c>
    </row>
    <row r="31" spans="1:32">
      <c r="A31" s="19"/>
      <c r="B31" s="13" t="s">
        <v>1053</v>
      </c>
      <c r="C31" s="14">
        <v>0.61</v>
      </c>
      <c r="D31" s="14">
        <v>0.51</v>
      </c>
      <c r="E31" s="14">
        <v>0.67</v>
      </c>
      <c r="F31" s="14">
        <v>0.62</v>
      </c>
      <c r="G31" s="14">
        <v>0.44</v>
      </c>
      <c r="H31" s="14">
        <v>0.57999999999999996</v>
      </c>
      <c r="I31" s="14">
        <v>0.6</v>
      </c>
      <c r="J31" s="14">
        <v>0.67</v>
      </c>
      <c r="K31" s="14">
        <v>0.52</v>
      </c>
      <c r="L31" s="14">
        <v>0.59</v>
      </c>
      <c r="M31" s="14">
        <v>0.6</v>
      </c>
      <c r="N31" s="14">
        <v>0.57999999999999996</v>
      </c>
      <c r="O31" s="14">
        <v>0.61</v>
      </c>
      <c r="P31" s="14">
        <v>0.51</v>
      </c>
      <c r="Q31" s="14">
        <v>0.77</v>
      </c>
      <c r="R31" s="14">
        <v>0.5</v>
      </c>
      <c r="S31" s="14">
        <v>0.53</v>
      </c>
      <c r="T31" s="14">
        <v>0.57999999999999996</v>
      </c>
      <c r="U31" s="14">
        <v>0.57000000000000006</v>
      </c>
      <c r="V31" s="14">
        <v>0.66</v>
      </c>
      <c r="W31" s="14">
        <v>0.43</v>
      </c>
      <c r="X31" s="14">
        <v>0.42</v>
      </c>
      <c r="Y31" s="14">
        <v>0.6</v>
      </c>
      <c r="Z31" s="14">
        <v>0.63</v>
      </c>
      <c r="AA31" s="14">
        <v>0.74</v>
      </c>
      <c r="AB31" s="14">
        <v>0.70000000000000007</v>
      </c>
      <c r="AC31" s="14">
        <v>0.57000000000000006</v>
      </c>
      <c r="AD31" s="14">
        <v>0.39</v>
      </c>
      <c r="AE31" s="14">
        <v>0.4</v>
      </c>
      <c r="AF31" s="14">
        <v>0.27</v>
      </c>
    </row>
    <row r="32" spans="1:32">
      <c r="A32" s="19"/>
      <c r="B32" s="11" t="s">
        <v>1054</v>
      </c>
      <c r="C32" s="12">
        <v>985</v>
      </c>
      <c r="D32" s="12">
        <v>8</v>
      </c>
      <c r="E32" s="12">
        <v>86</v>
      </c>
      <c r="F32" s="12">
        <v>43</v>
      </c>
      <c r="G32" s="12">
        <v>11</v>
      </c>
      <c r="H32" s="12">
        <v>68</v>
      </c>
      <c r="I32" s="12">
        <v>78</v>
      </c>
      <c r="J32" s="12">
        <v>9</v>
      </c>
      <c r="K32" s="12">
        <v>53</v>
      </c>
      <c r="L32" s="12">
        <v>20</v>
      </c>
      <c r="M32" s="12">
        <v>117</v>
      </c>
      <c r="N32" s="12">
        <v>39</v>
      </c>
      <c r="O32" s="12">
        <v>27</v>
      </c>
      <c r="P32" s="12">
        <v>46</v>
      </c>
      <c r="Q32" s="12">
        <v>12</v>
      </c>
      <c r="R32" s="12">
        <v>11</v>
      </c>
      <c r="S32" s="12">
        <v>52</v>
      </c>
      <c r="T32" s="12">
        <v>89</v>
      </c>
      <c r="U32" s="12">
        <v>11</v>
      </c>
      <c r="V32" s="12">
        <v>26</v>
      </c>
      <c r="W32" s="12">
        <v>24</v>
      </c>
      <c r="X32" s="12">
        <v>1</v>
      </c>
      <c r="Y32" s="12">
        <v>62</v>
      </c>
      <c r="Z32" s="12">
        <v>39</v>
      </c>
      <c r="AA32" s="12">
        <v>116</v>
      </c>
      <c r="AB32" s="12">
        <v>57</v>
      </c>
      <c r="AC32" s="12">
        <v>35</v>
      </c>
      <c r="AD32" s="12">
        <v>33</v>
      </c>
      <c r="AE32" s="12">
        <v>24</v>
      </c>
      <c r="AF32" s="12">
        <v>7</v>
      </c>
    </row>
    <row r="33" spans="1:32">
      <c r="A33" s="19"/>
      <c r="B33" s="13" t="s">
        <v>1055</v>
      </c>
      <c r="C33" s="14">
        <v>0.04</v>
      </c>
      <c r="D33" s="14">
        <v>0.01</v>
      </c>
      <c r="E33" s="14">
        <v>0.08</v>
      </c>
      <c r="F33" s="14">
        <v>0.04</v>
      </c>
      <c r="G33" s="14">
        <v>0.01</v>
      </c>
      <c r="H33" s="14">
        <v>0.06</v>
      </c>
      <c r="I33" s="14">
        <v>0.05</v>
      </c>
      <c r="J33" s="14">
        <v>0.03</v>
      </c>
      <c r="K33" s="14">
        <v>0.05</v>
      </c>
      <c r="L33" s="14">
        <v>0.02</v>
      </c>
      <c r="M33" s="14">
        <v>0.12</v>
      </c>
      <c r="N33" s="14">
        <v>0.04</v>
      </c>
      <c r="O33" s="14">
        <v>0.03</v>
      </c>
      <c r="P33" s="14">
        <v>0.05</v>
      </c>
      <c r="Q33" s="14">
        <v>0.01</v>
      </c>
      <c r="R33" s="14">
        <v>0.02</v>
      </c>
      <c r="S33" s="14">
        <v>0.05</v>
      </c>
      <c r="T33" s="14">
        <v>0.09</v>
      </c>
      <c r="U33" s="14">
        <v>0.02</v>
      </c>
      <c r="V33" s="14">
        <v>0.02</v>
      </c>
      <c r="W33" s="14">
        <v>0.05</v>
      </c>
      <c r="X33" s="15" t="s">
        <v>375</v>
      </c>
      <c r="Y33" s="14">
        <v>0.06</v>
      </c>
      <c r="Z33" s="14">
        <v>0.04</v>
      </c>
      <c r="AA33" s="14">
        <v>0.11</v>
      </c>
      <c r="AB33" s="14">
        <v>0.06</v>
      </c>
      <c r="AC33" s="14">
        <v>0.03</v>
      </c>
      <c r="AD33" s="14">
        <v>0.03</v>
      </c>
      <c r="AE33" s="14">
        <v>0.02</v>
      </c>
      <c r="AF33" s="14">
        <v>0.01</v>
      </c>
    </row>
    <row r="34" spans="1:32">
      <c r="A34" s="19"/>
      <c r="B34" s="11" t="s">
        <v>386</v>
      </c>
      <c r="C34" s="12">
        <v>115</v>
      </c>
      <c r="D34" s="12">
        <v>0</v>
      </c>
      <c r="E34" s="12">
        <v>18</v>
      </c>
      <c r="F34" s="12">
        <v>12</v>
      </c>
      <c r="G34" s="12">
        <v>10</v>
      </c>
      <c r="H34" s="12">
        <v>6</v>
      </c>
      <c r="I34" s="12">
        <v>6</v>
      </c>
      <c r="J34" s="12">
        <v>0</v>
      </c>
      <c r="K34" s="12">
        <v>32</v>
      </c>
      <c r="L34" s="12">
        <v>4</v>
      </c>
      <c r="M34" s="12">
        <v>1</v>
      </c>
      <c r="N34" s="12">
        <v>3</v>
      </c>
      <c r="O34" s="12">
        <v>4</v>
      </c>
      <c r="P34" s="12">
        <v>3</v>
      </c>
      <c r="Q34" s="12">
        <v>1</v>
      </c>
      <c r="R34" s="12">
        <v>9</v>
      </c>
      <c r="S34" s="12">
        <v>7</v>
      </c>
      <c r="T34" s="12">
        <v>10</v>
      </c>
      <c r="U34" s="12">
        <v>3</v>
      </c>
      <c r="V34" s="12">
        <v>1</v>
      </c>
      <c r="W34" s="12">
        <v>0</v>
      </c>
      <c r="X34" s="12">
        <v>1</v>
      </c>
      <c r="Y34" s="12">
        <v>6</v>
      </c>
      <c r="Z34" s="12">
        <v>6</v>
      </c>
      <c r="AA34" s="12">
        <v>22</v>
      </c>
      <c r="AB34" s="12">
        <v>3</v>
      </c>
      <c r="AC34" s="12">
        <v>4</v>
      </c>
      <c r="AD34" s="12">
        <v>18</v>
      </c>
      <c r="AE34" s="12">
        <v>5</v>
      </c>
      <c r="AF34" s="12">
        <v>2</v>
      </c>
    </row>
    <row r="35" spans="1:32">
      <c r="A35" s="19"/>
      <c r="B35" s="13" t="s">
        <v>399</v>
      </c>
      <c r="C35" s="15" t="s">
        <v>375</v>
      </c>
      <c r="D35" s="15" t="s">
        <v>375</v>
      </c>
      <c r="E35" s="14">
        <v>0.02</v>
      </c>
      <c r="F35" s="14">
        <v>0.01</v>
      </c>
      <c r="G35" s="14">
        <v>0.01</v>
      </c>
      <c r="H35" s="15" t="s">
        <v>375</v>
      </c>
      <c r="I35" s="15" t="s">
        <v>375</v>
      </c>
      <c r="J35" s="15" t="s">
        <v>375</v>
      </c>
      <c r="K35" s="14">
        <v>0.03</v>
      </c>
      <c r="L35" s="15" t="s">
        <v>375</v>
      </c>
      <c r="M35" s="15" t="s">
        <v>375</v>
      </c>
      <c r="N35" s="15" t="s">
        <v>375</v>
      </c>
      <c r="O35" s="15" t="s">
        <v>375</v>
      </c>
      <c r="P35" s="15" t="s">
        <v>375</v>
      </c>
      <c r="Q35" s="15" t="s">
        <v>375</v>
      </c>
      <c r="R35" s="14">
        <v>0.02</v>
      </c>
      <c r="S35" s="14">
        <v>0.01</v>
      </c>
      <c r="T35" s="14">
        <v>0.01</v>
      </c>
      <c r="U35" s="14">
        <v>0.01</v>
      </c>
      <c r="V35" s="15" t="s">
        <v>375</v>
      </c>
      <c r="W35" s="15" t="s">
        <v>375</v>
      </c>
      <c r="X35" s="15" t="s">
        <v>375</v>
      </c>
      <c r="Y35" s="14">
        <v>0.01</v>
      </c>
      <c r="Z35" s="14">
        <v>0.01</v>
      </c>
      <c r="AA35" s="14">
        <v>0.02</v>
      </c>
      <c r="AB35" s="15" t="s">
        <v>375</v>
      </c>
      <c r="AC35" s="15" t="s">
        <v>375</v>
      </c>
      <c r="AD35" s="14">
        <v>0.02</v>
      </c>
      <c r="AE35" s="14">
        <v>0.01</v>
      </c>
      <c r="AF35" s="15" t="s">
        <v>375</v>
      </c>
    </row>
    <row r="36" spans="1:32">
      <c r="A36" s="19"/>
      <c r="B36" s="11" t="s">
        <v>1032</v>
      </c>
      <c r="C36" s="12">
        <v>9262</v>
      </c>
      <c r="D36" s="12">
        <v>489</v>
      </c>
      <c r="E36" s="12">
        <v>245</v>
      </c>
      <c r="F36" s="12">
        <v>349</v>
      </c>
      <c r="G36" s="12">
        <v>547</v>
      </c>
      <c r="H36" s="12">
        <v>441</v>
      </c>
      <c r="I36" s="12">
        <v>529</v>
      </c>
      <c r="J36" s="12">
        <v>88</v>
      </c>
      <c r="K36" s="12">
        <v>400</v>
      </c>
      <c r="L36" s="12">
        <v>394</v>
      </c>
      <c r="M36" s="12">
        <v>279</v>
      </c>
      <c r="N36" s="12">
        <v>380</v>
      </c>
      <c r="O36" s="12">
        <v>361</v>
      </c>
      <c r="P36" s="12">
        <v>437</v>
      </c>
      <c r="Q36" s="12">
        <v>228</v>
      </c>
      <c r="R36" s="12">
        <v>232</v>
      </c>
      <c r="S36" s="12">
        <v>411</v>
      </c>
      <c r="T36" s="12">
        <v>332</v>
      </c>
      <c r="U36" s="12">
        <v>205</v>
      </c>
      <c r="V36" s="12">
        <v>326</v>
      </c>
      <c r="W36" s="12">
        <v>261</v>
      </c>
      <c r="X36" s="12">
        <v>586</v>
      </c>
      <c r="Y36" s="12">
        <v>330</v>
      </c>
      <c r="Z36" s="12">
        <v>329</v>
      </c>
      <c r="AA36" s="12">
        <v>135</v>
      </c>
      <c r="AB36" s="12">
        <v>255</v>
      </c>
      <c r="AC36" s="12">
        <v>398</v>
      </c>
      <c r="AD36" s="12">
        <v>563</v>
      </c>
      <c r="AE36" s="12">
        <v>571</v>
      </c>
      <c r="AF36" s="12">
        <v>745</v>
      </c>
    </row>
    <row r="37" spans="1:32">
      <c r="A37" s="19"/>
      <c r="B37" s="13" t="s">
        <v>1033</v>
      </c>
      <c r="C37" s="14">
        <v>0.35</v>
      </c>
      <c r="D37" s="14">
        <v>0.48</v>
      </c>
      <c r="E37" s="14">
        <v>0.23</v>
      </c>
      <c r="F37" s="14">
        <v>0.33</v>
      </c>
      <c r="G37" s="14">
        <v>0.54</v>
      </c>
      <c r="H37" s="14">
        <v>0.36</v>
      </c>
      <c r="I37" s="14">
        <v>0.35</v>
      </c>
      <c r="J37" s="14">
        <v>0.3</v>
      </c>
      <c r="K37" s="14">
        <v>0.4</v>
      </c>
      <c r="L37" s="14">
        <v>0.39</v>
      </c>
      <c r="M37" s="14">
        <v>0.28000000000000003</v>
      </c>
      <c r="N37" s="14">
        <v>0.38</v>
      </c>
      <c r="O37" s="14">
        <v>0.36</v>
      </c>
      <c r="P37" s="14">
        <v>0.44</v>
      </c>
      <c r="Q37" s="14">
        <v>0.22</v>
      </c>
      <c r="R37" s="14">
        <v>0.46</v>
      </c>
      <c r="S37" s="14">
        <v>0.41</v>
      </c>
      <c r="T37" s="14">
        <v>0.32</v>
      </c>
      <c r="U37" s="14">
        <v>0.4</v>
      </c>
      <c r="V37" s="14">
        <v>0.32</v>
      </c>
      <c r="W37" s="14">
        <v>0.52</v>
      </c>
      <c r="X37" s="14">
        <v>0.57999999999999996</v>
      </c>
      <c r="Y37" s="14">
        <v>0.33</v>
      </c>
      <c r="Z37" s="14">
        <v>0.32</v>
      </c>
      <c r="AA37" s="14">
        <v>0.13</v>
      </c>
      <c r="AB37" s="14">
        <v>0.24</v>
      </c>
      <c r="AC37" s="14">
        <v>0.4</v>
      </c>
      <c r="AD37" s="14">
        <v>0.56000000000000005</v>
      </c>
      <c r="AE37" s="14">
        <v>0.57000000000000006</v>
      </c>
      <c r="AF37" s="14">
        <v>0.72</v>
      </c>
    </row>
    <row r="38" spans="1:32">
      <c r="A38" s="19"/>
      <c r="B38" s="11" t="s">
        <v>676</v>
      </c>
      <c r="C38" s="12">
        <v>16090</v>
      </c>
      <c r="D38" s="12">
        <v>524</v>
      </c>
      <c r="E38" s="12">
        <v>697</v>
      </c>
      <c r="F38" s="12">
        <v>661</v>
      </c>
      <c r="G38" s="12">
        <v>448</v>
      </c>
      <c r="H38" s="12">
        <v>714</v>
      </c>
      <c r="I38" s="12">
        <v>915</v>
      </c>
      <c r="J38" s="12">
        <v>200</v>
      </c>
      <c r="K38" s="12">
        <v>521</v>
      </c>
      <c r="L38" s="12">
        <v>588</v>
      </c>
      <c r="M38" s="12">
        <v>610</v>
      </c>
      <c r="N38" s="12">
        <v>589</v>
      </c>
      <c r="O38" s="12">
        <v>613</v>
      </c>
      <c r="P38" s="12">
        <v>516</v>
      </c>
      <c r="Q38" s="12">
        <v>790</v>
      </c>
      <c r="R38" s="12">
        <v>249</v>
      </c>
      <c r="S38" s="12">
        <v>534</v>
      </c>
      <c r="T38" s="12">
        <v>592</v>
      </c>
      <c r="U38" s="12">
        <v>289</v>
      </c>
      <c r="V38" s="12">
        <v>674</v>
      </c>
      <c r="W38" s="12">
        <v>217</v>
      </c>
      <c r="X38" s="12">
        <v>422</v>
      </c>
      <c r="Y38" s="12">
        <v>605</v>
      </c>
      <c r="Z38" s="12">
        <v>641</v>
      </c>
      <c r="AA38" s="12">
        <v>764</v>
      </c>
      <c r="AB38" s="12">
        <v>726</v>
      </c>
      <c r="AC38" s="12">
        <v>568</v>
      </c>
      <c r="AD38" s="12">
        <v>390</v>
      </c>
      <c r="AE38" s="12">
        <v>401</v>
      </c>
      <c r="AF38" s="12">
        <v>278</v>
      </c>
    </row>
    <row r="39" spans="1:32">
      <c r="A39" s="19"/>
      <c r="B39" s="13" t="s">
        <v>677</v>
      </c>
      <c r="C39" s="14">
        <v>0.61</v>
      </c>
      <c r="D39" s="14">
        <v>0.51</v>
      </c>
      <c r="E39" s="14">
        <v>0.67</v>
      </c>
      <c r="F39" s="14">
        <v>0.62</v>
      </c>
      <c r="G39" s="14">
        <v>0.44</v>
      </c>
      <c r="H39" s="14">
        <v>0.57999999999999996</v>
      </c>
      <c r="I39" s="14">
        <v>0.6</v>
      </c>
      <c r="J39" s="14">
        <v>0.67</v>
      </c>
      <c r="K39" s="14">
        <v>0.52</v>
      </c>
      <c r="L39" s="14">
        <v>0.59</v>
      </c>
      <c r="M39" s="14">
        <v>0.6</v>
      </c>
      <c r="N39" s="14">
        <v>0.57999999999999996</v>
      </c>
      <c r="O39" s="14">
        <v>0.61</v>
      </c>
      <c r="P39" s="14">
        <v>0.51</v>
      </c>
      <c r="Q39" s="14">
        <v>0.77</v>
      </c>
      <c r="R39" s="14">
        <v>0.5</v>
      </c>
      <c r="S39" s="14">
        <v>0.53</v>
      </c>
      <c r="T39" s="14">
        <v>0.57999999999999996</v>
      </c>
      <c r="U39" s="14">
        <v>0.57000000000000006</v>
      </c>
      <c r="V39" s="14">
        <v>0.66</v>
      </c>
      <c r="W39" s="14">
        <v>0.43</v>
      </c>
      <c r="X39" s="14">
        <v>0.42</v>
      </c>
      <c r="Y39" s="14">
        <v>0.6</v>
      </c>
      <c r="Z39" s="14">
        <v>0.63</v>
      </c>
      <c r="AA39" s="14">
        <v>0.74</v>
      </c>
      <c r="AB39" s="14">
        <v>0.70000000000000007</v>
      </c>
      <c r="AC39" s="14">
        <v>0.57000000000000006</v>
      </c>
      <c r="AD39" s="14">
        <v>0.39</v>
      </c>
      <c r="AE39" s="14">
        <v>0.4</v>
      </c>
      <c r="AF39" s="14">
        <v>0.27</v>
      </c>
    </row>
    <row r="40" spans="1:32">
      <c r="A40" s="18"/>
    </row>
    <row r="41" spans="1:32">
      <c r="A41" s="18"/>
    </row>
    <row r="42" spans="1:32">
      <c r="A42" s="18"/>
    </row>
    <row r="43" spans="1:32">
      <c r="A43" s="18"/>
    </row>
  </sheetData>
  <mergeCells count="10">
    <mergeCell ref="H3:L3"/>
    <mergeCell ref="C8:AF8"/>
    <mergeCell ref="B3:F3"/>
    <mergeCell ref="B5:F5"/>
    <mergeCell ref="H5:L5"/>
    <mergeCell ref="B10:B11"/>
    <mergeCell ref="H4:L4"/>
    <mergeCell ref="A36:A43"/>
    <mergeCell ref="A10:A35"/>
    <mergeCell ref="B4:F4"/>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201</v>
      </c>
      <c r="C3" s="17"/>
      <c r="D3" s="17"/>
      <c r="E3" s="17"/>
      <c r="F3" s="17"/>
      <c r="H3" s="17" t="s">
        <v>202</v>
      </c>
      <c r="I3" s="17"/>
      <c r="J3" s="17"/>
      <c r="K3" s="17"/>
      <c r="L3" s="17"/>
    </row>
    <row r="4" spans="1:32" ht="27" customHeight="1">
      <c r="B4" s="17"/>
      <c r="C4" s="17"/>
      <c r="D4" s="17"/>
      <c r="E4" s="17"/>
      <c r="F4" s="17"/>
      <c r="H4" s="17"/>
      <c r="I4" s="17"/>
      <c r="J4" s="17"/>
      <c r="K4" s="17"/>
      <c r="L4" s="17"/>
    </row>
    <row r="5" spans="1:32" ht="12" customHeight="1">
      <c r="B5" s="17" t="s">
        <v>1056</v>
      </c>
      <c r="C5" s="17"/>
      <c r="D5" s="17"/>
      <c r="E5" s="17"/>
      <c r="F5" s="17"/>
      <c r="H5" s="17" t="s">
        <v>1057</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9262</v>
      </c>
      <c r="D10" s="10">
        <v>489</v>
      </c>
      <c r="E10" s="10">
        <v>245</v>
      </c>
      <c r="F10" s="10">
        <v>349</v>
      </c>
      <c r="G10" s="10">
        <v>547</v>
      </c>
      <c r="H10" s="10">
        <v>441</v>
      </c>
      <c r="I10" s="10">
        <v>529</v>
      </c>
      <c r="J10" s="10">
        <v>88</v>
      </c>
      <c r="K10" s="10">
        <v>400</v>
      </c>
      <c r="L10" s="10">
        <v>394</v>
      </c>
      <c r="M10" s="10">
        <v>279</v>
      </c>
      <c r="N10" s="10">
        <v>380</v>
      </c>
      <c r="O10" s="10">
        <v>361</v>
      </c>
      <c r="P10" s="10">
        <v>437</v>
      </c>
      <c r="Q10" s="10">
        <v>228</v>
      </c>
      <c r="R10" s="10">
        <v>232</v>
      </c>
      <c r="S10" s="10">
        <v>411</v>
      </c>
      <c r="T10" s="10">
        <v>332</v>
      </c>
      <c r="U10" s="10">
        <v>205</v>
      </c>
      <c r="V10" s="10">
        <v>326</v>
      </c>
      <c r="W10" s="10">
        <v>261</v>
      </c>
      <c r="X10" s="10">
        <v>586</v>
      </c>
      <c r="Y10" s="10">
        <v>330</v>
      </c>
      <c r="Z10" s="10">
        <v>329</v>
      </c>
      <c r="AA10" s="10">
        <v>135</v>
      </c>
      <c r="AB10" s="10">
        <v>255</v>
      </c>
      <c r="AC10" s="10">
        <v>398</v>
      </c>
      <c r="AD10" s="10">
        <v>563</v>
      </c>
      <c r="AE10" s="10">
        <v>571</v>
      </c>
      <c r="AF10" s="10">
        <v>745</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805</v>
      </c>
      <c r="C12" s="12">
        <v>3900</v>
      </c>
      <c r="D12" s="12">
        <v>283</v>
      </c>
      <c r="E12" s="12">
        <v>137</v>
      </c>
      <c r="F12" s="12">
        <v>191</v>
      </c>
      <c r="G12" s="12">
        <v>373</v>
      </c>
      <c r="H12" s="12">
        <v>110</v>
      </c>
      <c r="I12" s="12">
        <v>137</v>
      </c>
      <c r="J12" s="12">
        <v>27</v>
      </c>
      <c r="K12" s="12">
        <v>172</v>
      </c>
      <c r="L12" s="12">
        <v>168</v>
      </c>
      <c r="M12" s="12">
        <v>165</v>
      </c>
      <c r="N12" s="12">
        <v>114</v>
      </c>
      <c r="O12" s="12">
        <v>122</v>
      </c>
      <c r="P12" s="12">
        <v>236</v>
      </c>
      <c r="Q12" s="12">
        <v>118</v>
      </c>
      <c r="R12" s="12">
        <v>149</v>
      </c>
      <c r="S12" s="12">
        <v>196</v>
      </c>
      <c r="T12" s="12">
        <v>184</v>
      </c>
      <c r="U12" s="12">
        <v>107</v>
      </c>
      <c r="V12" s="12">
        <v>224</v>
      </c>
      <c r="W12" s="12">
        <v>195</v>
      </c>
      <c r="X12" s="12">
        <v>240</v>
      </c>
      <c r="Y12" s="12">
        <v>104</v>
      </c>
      <c r="Z12" s="12">
        <v>179</v>
      </c>
      <c r="AA12" s="12">
        <v>63</v>
      </c>
      <c r="AB12" s="12">
        <v>126</v>
      </c>
      <c r="AC12" s="12">
        <v>231</v>
      </c>
      <c r="AD12" s="12">
        <v>342</v>
      </c>
      <c r="AE12" s="12">
        <v>258</v>
      </c>
      <c r="AF12" s="12">
        <v>434</v>
      </c>
    </row>
    <row r="13" spans="1:32">
      <c r="A13" s="19"/>
      <c r="B13" s="13" t="s">
        <v>805</v>
      </c>
      <c r="C13" s="14">
        <v>0.42</v>
      </c>
      <c r="D13" s="14">
        <v>0.57999999999999996</v>
      </c>
      <c r="E13" s="14">
        <v>0.56000000000000005</v>
      </c>
      <c r="F13" s="14">
        <v>0.55000000000000004</v>
      </c>
      <c r="G13" s="14">
        <v>0.68</v>
      </c>
      <c r="H13" s="14">
        <v>0.25</v>
      </c>
      <c r="I13" s="14">
        <v>0.26</v>
      </c>
      <c r="J13" s="14">
        <v>0.31</v>
      </c>
      <c r="K13" s="14">
        <v>0.43</v>
      </c>
      <c r="L13" s="14">
        <v>0.43</v>
      </c>
      <c r="M13" s="14">
        <v>0.59</v>
      </c>
      <c r="N13" s="14">
        <v>0.3</v>
      </c>
      <c r="O13" s="14">
        <v>0.34</v>
      </c>
      <c r="P13" s="14">
        <v>0.54</v>
      </c>
      <c r="Q13" s="14">
        <v>0.52</v>
      </c>
      <c r="R13" s="14">
        <v>0.64</v>
      </c>
      <c r="S13" s="14">
        <v>0.48</v>
      </c>
      <c r="T13" s="14">
        <v>0.55000000000000004</v>
      </c>
      <c r="U13" s="14">
        <v>0.52</v>
      </c>
      <c r="V13" s="14">
        <v>0.69000000000000006</v>
      </c>
      <c r="W13" s="14">
        <v>0.75</v>
      </c>
      <c r="X13" s="14">
        <v>0.41</v>
      </c>
      <c r="Y13" s="14">
        <v>0.32</v>
      </c>
      <c r="Z13" s="14">
        <v>0.54</v>
      </c>
      <c r="AA13" s="14">
        <v>0.47</v>
      </c>
      <c r="AB13" s="14">
        <v>0.49</v>
      </c>
      <c r="AC13" s="14">
        <v>0.57999999999999996</v>
      </c>
      <c r="AD13" s="14">
        <v>0.61</v>
      </c>
      <c r="AE13" s="14">
        <v>0.45</v>
      </c>
      <c r="AF13" s="14">
        <v>0.57999999999999996</v>
      </c>
    </row>
    <row r="14" spans="1:32">
      <c r="A14" s="19"/>
      <c r="B14" s="11" t="s">
        <v>806</v>
      </c>
      <c r="C14" s="12">
        <v>1079</v>
      </c>
      <c r="D14" s="12">
        <v>51</v>
      </c>
      <c r="E14" s="12">
        <v>1</v>
      </c>
      <c r="F14" s="12">
        <v>29</v>
      </c>
      <c r="G14" s="12">
        <v>64</v>
      </c>
      <c r="H14" s="12">
        <v>55</v>
      </c>
      <c r="I14" s="12">
        <v>61</v>
      </c>
      <c r="J14" s="12">
        <v>6</v>
      </c>
      <c r="K14" s="12">
        <v>21</v>
      </c>
      <c r="L14" s="12">
        <v>95</v>
      </c>
      <c r="M14" s="12">
        <v>6</v>
      </c>
      <c r="N14" s="12">
        <v>71</v>
      </c>
      <c r="O14" s="12">
        <v>51</v>
      </c>
      <c r="P14" s="12">
        <v>17</v>
      </c>
      <c r="Q14" s="12">
        <v>16</v>
      </c>
      <c r="R14" s="12">
        <v>25</v>
      </c>
      <c r="S14" s="12">
        <v>35</v>
      </c>
      <c r="T14" s="12">
        <v>16</v>
      </c>
      <c r="U14" s="12">
        <v>30</v>
      </c>
      <c r="V14" s="12">
        <v>13</v>
      </c>
      <c r="W14" s="12">
        <v>22</v>
      </c>
      <c r="X14" s="12">
        <v>93</v>
      </c>
      <c r="Y14" s="12">
        <v>46</v>
      </c>
      <c r="Z14" s="12">
        <v>11</v>
      </c>
      <c r="AA14" s="12">
        <v>10</v>
      </c>
      <c r="AB14" s="12">
        <v>5</v>
      </c>
      <c r="AC14" s="12">
        <v>34</v>
      </c>
      <c r="AD14" s="12">
        <v>24</v>
      </c>
      <c r="AE14" s="12">
        <v>102</v>
      </c>
      <c r="AF14" s="12">
        <v>154</v>
      </c>
    </row>
    <row r="15" spans="1:32">
      <c r="A15" s="19"/>
      <c r="B15" s="13" t="s">
        <v>807</v>
      </c>
      <c r="C15" s="14">
        <v>0.12</v>
      </c>
      <c r="D15" s="14">
        <v>0.1</v>
      </c>
      <c r="E15" s="15" t="s">
        <v>375</v>
      </c>
      <c r="F15" s="14">
        <v>0.08</v>
      </c>
      <c r="G15" s="14">
        <v>0.12</v>
      </c>
      <c r="H15" s="14">
        <v>0.12</v>
      </c>
      <c r="I15" s="14">
        <v>0.12</v>
      </c>
      <c r="J15" s="14">
        <v>7.0000000000000007E-2</v>
      </c>
      <c r="K15" s="14">
        <v>0.05</v>
      </c>
      <c r="L15" s="14">
        <v>0.24</v>
      </c>
      <c r="M15" s="14">
        <v>0.02</v>
      </c>
      <c r="N15" s="14">
        <v>0.19</v>
      </c>
      <c r="O15" s="14">
        <v>0.14000000000000001</v>
      </c>
      <c r="P15" s="14">
        <v>0.04</v>
      </c>
      <c r="Q15" s="14">
        <v>7.0000000000000007E-2</v>
      </c>
      <c r="R15" s="14">
        <v>0.11</v>
      </c>
      <c r="S15" s="14">
        <v>0.08</v>
      </c>
      <c r="T15" s="14">
        <v>0.05</v>
      </c>
      <c r="U15" s="14">
        <v>0.15</v>
      </c>
      <c r="V15" s="14">
        <v>0.04</v>
      </c>
      <c r="W15" s="14">
        <v>0.08</v>
      </c>
      <c r="X15" s="14">
        <v>0.16</v>
      </c>
      <c r="Y15" s="14">
        <v>0.14000000000000001</v>
      </c>
      <c r="Z15" s="14">
        <v>0.03</v>
      </c>
      <c r="AA15" s="14">
        <v>7.0000000000000007E-2</v>
      </c>
      <c r="AB15" s="14">
        <v>0.02</v>
      </c>
      <c r="AC15" s="14">
        <v>0.09</v>
      </c>
      <c r="AD15" s="14">
        <v>0.04</v>
      </c>
      <c r="AE15" s="14">
        <v>0.18</v>
      </c>
      <c r="AF15" s="14">
        <v>0.21</v>
      </c>
    </row>
    <row r="16" spans="1:32">
      <c r="A16" s="19"/>
      <c r="B16" s="11" t="s">
        <v>808</v>
      </c>
      <c r="C16" s="12">
        <v>2585</v>
      </c>
      <c r="D16" s="12">
        <v>135</v>
      </c>
      <c r="E16" s="12">
        <v>22</v>
      </c>
      <c r="F16" s="12">
        <v>69</v>
      </c>
      <c r="G16" s="12">
        <v>159</v>
      </c>
      <c r="H16" s="12">
        <v>158</v>
      </c>
      <c r="I16" s="12">
        <v>180</v>
      </c>
      <c r="J16" s="12">
        <v>22</v>
      </c>
      <c r="K16" s="12">
        <v>67</v>
      </c>
      <c r="L16" s="12">
        <v>112</v>
      </c>
      <c r="M16" s="12">
        <v>50</v>
      </c>
      <c r="N16" s="12">
        <v>141</v>
      </c>
      <c r="O16" s="12">
        <v>99</v>
      </c>
      <c r="P16" s="12">
        <v>51</v>
      </c>
      <c r="Q16" s="12">
        <v>58</v>
      </c>
      <c r="R16" s="12">
        <v>44</v>
      </c>
      <c r="S16" s="12">
        <v>71</v>
      </c>
      <c r="T16" s="12">
        <v>48</v>
      </c>
      <c r="U16" s="12">
        <v>75</v>
      </c>
      <c r="V16" s="12">
        <v>32</v>
      </c>
      <c r="W16" s="12">
        <v>63</v>
      </c>
      <c r="X16" s="12">
        <v>210</v>
      </c>
      <c r="Y16" s="12">
        <v>80</v>
      </c>
      <c r="Z16" s="12">
        <v>39</v>
      </c>
      <c r="AA16" s="12">
        <v>35</v>
      </c>
      <c r="AB16" s="12">
        <v>9</v>
      </c>
      <c r="AC16" s="12">
        <v>90</v>
      </c>
      <c r="AD16" s="12">
        <v>98</v>
      </c>
      <c r="AE16" s="12">
        <v>201</v>
      </c>
      <c r="AF16" s="12">
        <v>344</v>
      </c>
    </row>
    <row r="17" spans="1:32">
      <c r="A17" s="19"/>
      <c r="B17" s="13" t="s">
        <v>808</v>
      </c>
      <c r="C17" s="14">
        <v>0.28000000000000003</v>
      </c>
      <c r="D17" s="14">
        <v>0.28000000000000003</v>
      </c>
      <c r="E17" s="14">
        <v>0.09</v>
      </c>
      <c r="F17" s="14">
        <v>0.2</v>
      </c>
      <c r="G17" s="14">
        <v>0.28999999999999998</v>
      </c>
      <c r="H17" s="14">
        <v>0.36</v>
      </c>
      <c r="I17" s="14">
        <v>0.34</v>
      </c>
      <c r="J17" s="14">
        <v>0.26</v>
      </c>
      <c r="K17" s="14">
        <v>0.17</v>
      </c>
      <c r="L17" s="14">
        <v>0.28000000000000003</v>
      </c>
      <c r="M17" s="14">
        <v>0.18</v>
      </c>
      <c r="N17" s="14">
        <v>0.37</v>
      </c>
      <c r="O17" s="14">
        <v>0.27</v>
      </c>
      <c r="P17" s="14">
        <v>0.12</v>
      </c>
      <c r="Q17" s="14">
        <v>0.26</v>
      </c>
      <c r="R17" s="14">
        <v>0.19</v>
      </c>
      <c r="S17" s="14">
        <v>0.17</v>
      </c>
      <c r="T17" s="14">
        <v>0.14000000000000001</v>
      </c>
      <c r="U17" s="14">
        <v>0.37</v>
      </c>
      <c r="V17" s="14">
        <v>0.1</v>
      </c>
      <c r="W17" s="14">
        <v>0.24</v>
      </c>
      <c r="X17" s="14">
        <v>0.36</v>
      </c>
      <c r="Y17" s="14">
        <v>0.24</v>
      </c>
      <c r="Z17" s="14">
        <v>0.12</v>
      </c>
      <c r="AA17" s="14">
        <v>0.26</v>
      </c>
      <c r="AB17" s="14">
        <v>0.04</v>
      </c>
      <c r="AC17" s="14">
        <v>0.23</v>
      </c>
      <c r="AD17" s="14">
        <v>0.17</v>
      </c>
      <c r="AE17" s="14">
        <v>0.35</v>
      </c>
      <c r="AF17" s="14">
        <v>0.46</v>
      </c>
    </row>
    <row r="18" spans="1:32">
      <c r="A18" s="19"/>
      <c r="B18" s="11" t="s">
        <v>809</v>
      </c>
      <c r="C18" s="12">
        <v>136</v>
      </c>
      <c r="D18" s="12">
        <v>20</v>
      </c>
      <c r="E18" s="12">
        <v>1</v>
      </c>
      <c r="F18" s="12">
        <v>5</v>
      </c>
      <c r="G18" s="12">
        <v>7</v>
      </c>
      <c r="H18" s="12">
        <v>3</v>
      </c>
      <c r="I18" s="12">
        <v>5</v>
      </c>
      <c r="J18" s="12">
        <v>1</v>
      </c>
      <c r="K18" s="12">
        <v>10</v>
      </c>
      <c r="L18" s="12">
        <v>10</v>
      </c>
      <c r="M18" s="12">
        <v>0</v>
      </c>
      <c r="N18" s="12">
        <v>1</v>
      </c>
      <c r="O18" s="12">
        <v>0</v>
      </c>
      <c r="P18" s="12">
        <v>8</v>
      </c>
      <c r="Q18" s="12">
        <v>8</v>
      </c>
      <c r="R18" s="12">
        <v>1</v>
      </c>
      <c r="S18" s="12">
        <v>4</v>
      </c>
      <c r="T18" s="12">
        <v>0</v>
      </c>
      <c r="U18" s="12">
        <v>7</v>
      </c>
      <c r="V18" s="12">
        <v>12</v>
      </c>
      <c r="W18" s="12">
        <v>15</v>
      </c>
      <c r="X18" s="12">
        <v>27</v>
      </c>
      <c r="Y18" s="12">
        <v>14</v>
      </c>
      <c r="Z18" s="12">
        <v>4</v>
      </c>
      <c r="AA18" s="12">
        <v>4</v>
      </c>
      <c r="AB18" s="12">
        <v>2</v>
      </c>
      <c r="AC18" s="12">
        <v>1</v>
      </c>
      <c r="AD18" s="12">
        <v>9</v>
      </c>
      <c r="AE18" s="12">
        <v>5</v>
      </c>
      <c r="AF18" s="12">
        <v>4</v>
      </c>
    </row>
    <row r="19" spans="1:32">
      <c r="A19" s="19"/>
      <c r="B19" s="13" t="s">
        <v>809</v>
      </c>
      <c r="C19" s="14">
        <v>0.01</v>
      </c>
      <c r="D19" s="14">
        <v>0.04</v>
      </c>
      <c r="E19" s="15" t="s">
        <v>375</v>
      </c>
      <c r="F19" s="14">
        <v>0.01</v>
      </c>
      <c r="G19" s="14">
        <v>0.01</v>
      </c>
      <c r="H19" s="14">
        <v>0.01</v>
      </c>
      <c r="I19" s="14">
        <v>0.01</v>
      </c>
      <c r="J19" s="14">
        <v>0.02</v>
      </c>
      <c r="K19" s="14">
        <v>0.03</v>
      </c>
      <c r="L19" s="14">
        <v>0.02</v>
      </c>
      <c r="M19" s="15" t="s">
        <v>375</v>
      </c>
      <c r="N19" s="15" t="s">
        <v>375</v>
      </c>
      <c r="O19" s="15" t="s">
        <v>375</v>
      </c>
      <c r="P19" s="14">
        <v>0.02</v>
      </c>
      <c r="Q19" s="14">
        <v>0.04</v>
      </c>
      <c r="R19" s="14">
        <v>0.01</v>
      </c>
      <c r="S19" s="14">
        <v>0.01</v>
      </c>
      <c r="T19" s="15" t="s">
        <v>375</v>
      </c>
      <c r="U19" s="14">
        <v>0.03</v>
      </c>
      <c r="V19" s="14">
        <v>0.04</v>
      </c>
      <c r="W19" s="14">
        <v>0.06</v>
      </c>
      <c r="X19" s="14">
        <v>0.05</v>
      </c>
      <c r="Y19" s="14">
        <v>0.04</v>
      </c>
      <c r="Z19" s="14">
        <v>0.01</v>
      </c>
      <c r="AA19" s="14">
        <v>0.03</v>
      </c>
      <c r="AB19" s="14">
        <v>0.01</v>
      </c>
      <c r="AC19" s="15" t="s">
        <v>375</v>
      </c>
      <c r="AD19" s="14">
        <v>0.02</v>
      </c>
      <c r="AE19" s="14">
        <v>0.01</v>
      </c>
      <c r="AF19" s="14">
        <v>0.01</v>
      </c>
    </row>
    <row r="20" spans="1:32">
      <c r="A20" s="19"/>
      <c r="B20" s="11" t="s">
        <v>810</v>
      </c>
      <c r="C20" s="12">
        <v>2040</v>
      </c>
      <c r="D20" s="12">
        <v>99</v>
      </c>
      <c r="E20" s="12">
        <v>30</v>
      </c>
      <c r="F20" s="12">
        <v>87</v>
      </c>
      <c r="G20" s="12">
        <v>117</v>
      </c>
      <c r="H20" s="12">
        <v>132</v>
      </c>
      <c r="I20" s="12">
        <v>155</v>
      </c>
      <c r="J20" s="12">
        <v>23</v>
      </c>
      <c r="K20" s="12">
        <v>116</v>
      </c>
      <c r="L20" s="12">
        <v>82</v>
      </c>
      <c r="M20" s="12">
        <v>46</v>
      </c>
      <c r="N20" s="12">
        <v>68</v>
      </c>
      <c r="O20" s="12">
        <v>60</v>
      </c>
      <c r="P20" s="12">
        <v>73</v>
      </c>
      <c r="Q20" s="12">
        <v>31</v>
      </c>
      <c r="R20" s="12">
        <v>38</v>
      </c>
      <c r="S20" s="12">
        <v>101</v>
      </c>
      <c r="T20" s="12">
        <v>72</v>
      </c>
      <c r="U20" s="12">
        <v>32</v>
      </c>
      <c r="V20" s="12">
        <v>98</v>
      </c>
      <c r="W20" s="12">
        <v>46</v>
      </c>
      <c r="X20" s="12">
        <v>173</v>
      </c>
      <c r="Y20" s="12">
        <v>88</v>
      </c>
      <c r="Z20" s="12">
        <v>68</v>
      </c>
      <c r="AA20" s="12">
        <v>25</v>
      </c>
      <c r="AB20" s="12">
        <v>31</v>
      </c>
      <c r="AC20" s="12">
        <v>77</v>
      </c>
      <c r="AD20" s="12">
        <v>139</v>
      </c>
      <c r="AE20" s="12">
        <v>157</v>
      </c>
      <c r="AF20" s="12">
        <v>242</v>
      </c>
    </row>
    <row r="21" spans="1:32">
      <c r="A21" s="19"/>
      <c r="B21" s="13" t="s">
        <v>810</v>
      </c>
      <c r="C21" s="14">
        <v>0.22</v>
      </c>
      <c r="D21" s="14">
        <v>0.2</v>
      </c>
      <c r="E21" s="14">
        <v>0.12</v>
      </c>
      <c r="F21" s="14">
        <v>0.25</v>
      </c>
      <c r="G21" s="14">
        <v>0.21</v>
      </c>
      <c r="H21" s="14">
        <v>0.3</v>
      </c>
      <c r="I21" s="14">
        <v>0.28999999999999998</v>
      </c>
      <c r="J21" s="14">
        <v>0.26</v>
      </c>
      <c r="K21" s="14">
        <v>0.28999999999999998</v>
      </c>
      <c r="L21" s="14">
        <v>0.21</v>
      </c>
      <c r="M21" s="14">
        <v>0.17</v>
      </c>
      <c r="N21" s="14">
        <v>0.18</v>
      </c>
      <c r="O21" s="14">
        <v>0.17</v>
      </c>
      <c r="P21" s="14">
        <v>0.17</v>
      </c>
      <c r="Q21" s="14">
        <v>0.13</v>
      </c>
      <c r="R21" s="14">
        <v>0.17</v>
      </c>
      <c r="S21" s="14">
        <v>0.25</v>
      </c>
      <c r="T21" s="14">
        <v>0.22</v>
      </c>
      <c r="U21" s="14">
        <v>0.16</v>
      </c>
      <c r="V21" s="14">
        <v>0.3</v>
      </c>
      <c r="W21" s="14">
        <v>0.18</v>
      </c>
      <c r="X21" s="14">
        <v>0.3</v>
      </c>
      <c r="Y21" s="14">
        <v>0.27</v>
      </c>
      <c r="Z21" s="14">
        <v>0.21</v>
      </c>
      <c r="AA21" s="14">
        <v>0.19</v>
      </c>
      <c r="AB21" s="14">
        <v>0.12</v>
      </c>
      <c r="AC21" s="14">
        <v>0.19</v>
      </c>
      <c r="AD21" s="14">
        <v>0.25</v>
      </c>
      <c r="AE21" s="14">
        <v>0.27</v>
      </c>
      <c r="AF21" s="14">
        <v>0.33</v>
      </c>
    </row>
    <row r="22" spans="1:32">
      <c r="A22" s="19"/>
      <c r="B22" s="11" t="s">
        <v>811</v>
      </c>
      <c r="C22" s="12">
        <v>414</v>
      </c>
      <c r="D22" s="12">
        <v>20</v>
      </c>
      <c r="E22" s="12">
        <v>3</v>
      </c>
      <c r="F22" s="12">
        <v>7</v>
      </c>
      <c r="G22" s="12">
        <v>62</v>
      </c>
      <c r="H22" s="12">
        <v>33</v>
      </c>
      <c r="I22" s="12">
        <v>36</v>
      </c>
      <c r="J22" s="12">
        <v>3</v>
      </c>
      <c r="K22" s="12">
        <v>15</v>
      </c>
      <c r="L22" s="12">
        <v>31</v>
      </c>
      <c r="M22" s="12">
        <v>0</v>
      </c>
      <c r="N22" s="12">
        <v>4</v>
      </c>
      <c r="O22" s="12">
        <v>7</v>
      </c>
      <c r="P22" s="12">
        <v>18</v>
      </c>
      <c r="Q22" s="12">
        <v>2</v>
      </c>
      <c r="R22" s="12">
        <v>5</v>
      </c>
      <c r="S22" s="12">
        <v>15</v>
      </c>
      <c r="T22" s="12">
        <v>18</v>
      </c>
      <c r="U22" s="12">
        <v>4</v>
      </c>
      <c r="V22" s="12">
        <v>17</v>
      </c>
      <c r="W22" s="12">
        <v>21</v>
      </c>
      <c r="X22" s="12">
        <v>60</v>
      </c>
      <c r="Y22" s="12">
        <v>21</v>
      </c>
      <c r="Z22" s="12">
        <v>3</v>
      </c>
      <c r="AA22" s="12">
        <v>3</v>
      </c>
      <c r="AB22" s="12">
        <v>7</v>
      </c>
      <c r="AC22" s="12">
        <v>18</v>
      </c>
      <c r="AD22" s="12">
        <v>10</v>
      </c>
      <c r="AE22" s="12">
        <v>52</v>
      </c>
      <c r="AF22" s="12">
        <v>118</v>
      </c>
    </row>
    <row r="23" spans="1:32">
      <c r="A23" s="19"/>
      <c r="B23" s="13" t="s">
        <v>811</v>
      </c>
      <c r="C23" s="14">
        <v>0.04</v>
      </c>
      <c r="D23" s="14">
        <v>0.04</v>
      </c>
      <c r="E23" s="14">
        <v>0.01</v>
      </c>
      <c r="F23" s="14">
        <v>0.02</v>
      </c>
      <c r="G23" s="14">
        <v>0.11</v>
      </c>
      <c r="H23" s="14">
        <v>7.0000000000000007E-2</v>
      </c>
      <c r="I23" s="14">
        <v>7.0000000000000007E-2</v>
      </c>
      <c r="J23" s="14">
        <v>0.03</v>
      </c>
      <c r="K23" s="14">
        <v>0.04</v>
      </c>
      <c r="L23" s="14">
        <v>0.08</v>
      </c>
      <c r="M23" s="15" t="s">
        <v>375</v>
      </c>
      <c r="N23" s="14">
        <v>0.01</v>
      </c>
      <c r="O23" s="14">
        <v>0.02</v>
      </c>
      <c r="P23" s="14">
        <v>0.04</v>
      </c>
      <c r="Q23" s="14">
        <v>0.01</v>
      </c>
      <c r="R23" s="14">
        <v>0.02</v>
      </c>
      <c r="S23" s="14">
        <v>0.04</v>
      </c>
      <c r="T23" s="14">
        <v>0.06</v>
      </c>
      <c r="U23" s="14">
        <v>0.02</v>
      </c>
      <c r="V23" s="14">
        <v>0.05</v>
      </c>
      <c r="W23" s="14">
        <v>0.08</v>
      </c>
      <c r="X23" s="14">
        <v>0.1</v>
      </c>
      <c r="Y23" s="14">
        <v>0.06</v>
      </c>
      <c r="Z23" s="14">
        <v>0.01</v>
      </c>
      <c r="AA23" s="14">
        <v>0.02</v>
      </c>
      <c r="AB23" s="14">
        <v>0.03</v>
      </c>
      <c r="AC23" s="14">
        <v>0.05</v>
      </c>
      <c r="AD23" s="14">
        <v>0.02</v>
      </c>
      <c r="AE23" s="14">
        <v>0.09</v>
      </c>
      <c r="AF23" s="14">
        <v>0.16</v>
      </c>
    </row>
    <row r="24" spans="1:32">
      <c r="A24" s="19"/>
      <c r="B24" s="11" t="s">
        <v>812</v>
      </c>
      <c r="C24" s="12">
        <v>285</v>
      </c>
      <c r="D24" s="12">
        <v>24</v>
      </c>
      <c r="E24" s="12">
        <v>1</v>
      </c>
      <c r="F24" s="12">
        <v>7</v>
      </c>
      <c r="G24" s="12">
        <v>26</v>
      </c>
      <c r="H24" s="12">
        <v>7</v>
      </c>
      <c r="I24" s="12">
        <v>7</v>
      </c>
      <c r="J24" s="12">
        <v>0</v>
      </c>
      <c r="K24" s="12">
        <v>15</v>
      </c>
      <c r="L24" s="12">
        <v>12</v>
      </c>
      <c r="M24" s="12">
        <v>6</v>
      </c>
      <c r="N24" s="12">
        <v>1</v>
      </c>
      <c r="O24" s="12">
        <v>25</v>
      </c>
      <c r="P24" s="12">
        <v>16</v>
      </c>
      <c r="Q24" s="12">
        <v>5</v>
      </c>
      <c r="R24" s="12">
        <v>0</v>
      </c>
      <c r="S24" s="12">
        <v>9</v>
      </c>
      <c r="T24" s="12">
        <v>3</v>
      </c>
      <c r="U24" s="12">
        <v>5</v>
      </c>
      <c r="V24" s="12">
        <v>11</v>
      </c>
      <c r="W24" s="12">
        <v>8</v>
      </c>
      <c r="X24" s="12">
        <v>27</v>
      </c>
      <c r="Y24" s="12">
        <v>24</v>
      </c>
      <c r="Z24" s="12">
        <v>4</v>
      </c>
      <c r="AA24" s="12">
        <v>1</v>
      </c>
      <c r="AB24" s="12">
        <v>2</v>
      </c>
      <c r="AC24" s="12">
        <v>5</v>
      </c>
      <c r="AD24" s="12">
        <v>11</v>
      </c>
      <c r="AE24" s="12">
        <v>23</v>
      </c>
      <c r="AF24" s="12">
        <v>54</v>
      </c>
    </row>
    <row r="25" spans="1:32">
      <c r="A25" s="19"/>
      <c r="B25" s="13" t="s">
        <v>812</v>
      </c>
      <c r="C25" s="14">
        <v>0.03</v>
      </c>
      <c r="D25" s="14">
        <v>0.05</v>
      </c>
      <c r="E25" s="15" t="s">
        <v>375</v>
      </c>
      <c r="F25" s="14">
        <v>0.02</v>
      </c>
      <c r="G25" s="14">
        <v>0.05</v>
      </c>
      <c r="H25" s="14">
        <v>0.01</v>
      </c>
      <c r="I25" s="14">
        <v>0.01</v>
      </c>
      <c r="J25" s="15" t="s">
        <v>375</v>
      </c>
      <c r="K25" s="14">
        <v>0.04</v>
      </c>
      <c r="L25" s="14">
        <v>0.03</v>
      </c>
      <c r="M25" s="14">
        <v>0.02</v>
      </c>
      <c r="N25" s="15" t="s">
        <v>375</v>
      </c>
      <c r="O25" s="14">
        <v>7.0000000000000007E-2</v>
      </c>
      <c r="P25" s="14">
        <v>0.04</v>
      </c>
      <c r="Q25" s="14">
        <v>0.02</v>
      </c>
      <c r="R25" s="15" t="s">
        <v>375</v>
      </c>
      <c r="S25" s="14">
        <v>0.02</v>
      </c>
      <c r="T25" s="14">
        <v>0.01</v>
      </c>
      <c r="U25" s="14">
        <v>0.02</v>
      </c>
      <c r="V25" s="14">
        <v>0.03</v>
      </c>
      <c r="W25" s="14">
        <v>0.03</v>
      </c>
      <c r="X25" s="14">
        <v>0.05</v>
      </c>
      <c r="Y25" s="14">
        <v>7.0000000000000007E-2</v>
      </c>
      <c r="Z25" s="14">
        <v>0.01</v>
      </c>
      <c r="AA25" s="14">
        <v>0.01</v>
      </c>
      <c r="AB25" s="14">
        <v>0.01</v>
      </c>
      <c r="AC25" s="14">
        <v>0.01</v>
      </c>
      <c r="AD25" s="14">
        <v>0.02</v>
      </c>
      <c r="AE25" s="14">
        <v>0.04</v>
      </c>
      <c r="AF25" s="14">
        <v>7.0000000000000007E-2</v>
      </c>
    </row>
    <row r="26" spans="1:32">
      <c r="A26" s="19"/>
      <c r="B26" s="11" t="s">
        <v>813</v>
      </c>
      <c r="C26" s="12">
        <v>2241</v>
      </c>
      <c r="D26" s="12">
        <v>105</v>
      </c>
      <c r="E26" s="12">
        <v>56</v>
      </c>
      <c r="F26" s="12">
        <v>35</v>
      </c>
      <c r="G26" s="12">
        <v>92</v>
      </c>
      <c r="H26" s="12">
        <v>91</v>
      </c>
      <c r="I26" s="12">
        <v>110</v>
      </c>
      <c r="J26" s="12">
        <v>19</v>
      </c>
      <c r="K26" s="12">
        <v>99</v>
      </c>
      <c r="L26" s="12">
        <v>103</v>
      </c>
      <c r="M26" s="12">
        <v>102</v>
      </c>
      <c r="N26" s="12">
        <v>123</v>
      </c>
      <c r="O26" s="12">
        <v>129</v>
      </c>
      <c r="P26" s="12">
        <v>70</v>
      </c>
      <c r="Q26" s="12">
        <v>46</v>
      </c>
      <c r="R26" s="12">
        <v>75</v>
      </c>
      <c r="S26" s="12">
        <v>143</v>
      </c>
      <c r="T26" s="12">
        <v>103</v>
      </c>
      <c r="U26" s="12">
        <v>56</v>
      </c>
      <c r="V26" s="12">
        <v>77</v>
      </c>
      <c r="W26" s="12">
        <v>75</v>
      </c>
      <c r="X26" s="12">
        <v>122</v>
      </c>
      <c r="Y26" s="12">
        <v>55</v>
      </c>
      <c r="Z26" s="12">
        <v>55</v>
      </c>
      <c r="AA26" s="12">
        <v>37</v>
      </c>
      <c r="AB26" s="12">
        <v>63</v>
      </c>
      <c r="AC26" s="12">
        <v>71</v>
      </c>
      <c r="AD26" s="12">
        <v>87</v>
      </c>
      <c r="AE26" s="12">
        <v>132</v>
      </c>
      <c r="AF26" s="12">
        <v>125</v>
      </c>
    </row>
    <row r="27" spans="1:32">
      <c r="A27" s="19"/>
      <c r="B27" s="13" t="s">
        <v>813</v>
      </c>
      <c r="C27" s="14">
        <v>0.24</v>
      </c>
      <c r="D27" s="14">
        <v>0.21</v>
      </c>
      <c r="E27" s="14">
        <v>0.23</v>
      </c>
      <c r="F27" s="14">
        <v>0.1</v>
      </c>
      <c r="G27" s="14">
        <v>0.17</v>
      </c>
      <c r="H27" s="14">
        <v>0.21</v>
      </c>
      <c r="I27" s="14">
        <v>0.21</v>
      </c>
      <c r="J27" s="14">
        <v>0.21</v>
      </c>
      <c r="K27" s="14">
        <v>0.25</v>
      </c>
      <c r="L27" s="14">
        <v>0.26</v>
      </c>
      <c r="M27" s="14">
        <v>0.37</v>
      </c>
      <c r="N27" s="14">
        <v>0.32</v>
      </c>
      <c r="O27" s="14">
        <v>0.36</v>
      </c>
      <c r="P27" s="14">
        <v>0.16</v>
      </c>
      <c r="Q27" s="14">
        <v>0.2</v>
      </c>
      <c r="R27" s="14">
        <v>0.32</v>
      </c>
      <c r="S27" s="14">
        <v>0.35</v>
      </c>
      <c r="T27" s="14">
        <v>0.31</v>
      </c>
      <c r="U27" s="14">
        <v>0.27</v>
      </c>
      <c r="V27" s="14">
        <v>0.24</v>
      </c>
      <c r="W27" s="14">
        <v>0.28999999999999998</v>
      </c>
      <c r="X27" s="14">
        <v>0.21</v>
      </c>
      <c r="Y27" s="14">
        <v>0.17</v>
      </c>
      <c r="Z27" s="14">
        <v>0.17</v>
      </c>
      <c r="AA27" s="14">
        <v>0.27</v>
      </c>
      <c r="AB27" s="14">
        <v>0.25</v>
      </c>
      <c r="AC27" s="14">
        <v>0.18</v>
      </c>
      <c r="AD27" s="14">
        <v>0.15</v>
      </c>
      <c r="AE27" s="14">
        <v>0.23</v>
      </c>
      <c r="AF27" s="14">
        <v>0.17</v>
      </c>
    </row>
    <row r="28" spans="1:32">
      <c r="A28" s="19"/>
      <c r="B28" s="11" t="s">
        <v>814</v>
      </c>
      <c r="C28" s="12">
        <v>85</v>
      </c>
      <c r="D28" s="12">
        <v>8</v>
      </c>
      <c r="E28" s="12">
        <v>4</v>
      </c>
      <c r="F28" s="12">
        <v>7</v>
      </c>
      <c r="G28" s="12">
        <v>1</v>
      </c>
      <c r="H28" s="12">
        <v>3</v>
      </c>
      <c r="I28" s="12">
        <v>5</v>
      </c>
      <c r="J28" s="12">
        <v>2</v>
      </c>
      <c r="K28" s="12">
        <v>9</v>
      </c>
      <c r="L28" s="12">
        <v>2</v>
      </c>
      <c r="M28" s="12">
        <v>0</v>
      </c>
      <c r="N28" s="12">
        <v>0</v>
      </c>
      <c r="O28" s="12">
        <v>1</v>
      </c>
      <c r="P28" s="12">
        <v>6</v>
      </c>
      <c r="Q28" s="12">
        <v>2</v>
      </c>
      <c r="R28" s="12">
        <v>0</v>
      </c>
      <c r="S28" s="12">
        <v>3</v>
      </c>
      <c r="T28" s="12">
        <v>3</v>
      </c>
      <c r="U28" s="12">
        <v>0</v>
      </c>
      <c r="V28" s="12">
        <v>24</v>
      </c>
      <c r="W28" s="12">
        <v>7</v>
      </c>
      <c r="X28" s="12">
        <v>12</v>
      </c>
      <c r="Y28" s="12">
        <v>5</v>
      </c>
      <c r="Z28" s="12">
        <v>3</v>
      </c>
      <c r="AA28" s="12">
        <v>3</v>
      </c>
      <c r="AB28" s="12">
        <v>0</v>
      </c>
      <c r="AC28" s="12">
        <v>0</v>
      </c>
      <c r="AD28" s="12">
        <v>5</v>
      </c>
      <c r="AE28" s="12">
        <v>3</v>
      </c>
      <c r="AF28" s="12">
        <v>3</v>
      </c>
    </row>
    <row r="29" spans="1:32">
      <c r="A29" s="19"/>
      <c r="B29" s="13" t="s">
        <v>814</v>
      </c>
      <c r="C29" s="14">
        <v>0.01</v>
      </c>
      <c r="D29" s="14">
        <v>0.02</v>
      </c>
      <c r="E29" s="14">
        <v>0.01</v>
      </c>
      <c r="F29" s="14">
        <v>0.02</v>
      </c>
      <c r="G29" s="15" t="s">
        <v>375</v>
      </c>
      <c r="H29" s="14">
        <v>0.01</v>
      </c>
      <c r="I29" s="14">
        <v>0.01</v>
      </c>
      <c r="J29" s="14">
        <v>0.02</v>
      </c>
      <c r="K29" s="14">
        <v>0.02</v>
      </c>
      <c r="L29" s="14">
        <v>0.01</v>
      </c>
      <c r="M29" s="15" t="s">
        <v>375</v>
      </c>
      <c r="N29" s="15" t="s">
        <v>375</v>
      </c>
      <c r="O29" s="15" t="s">
        <v>375</v>
      </c>
      <c r="P29" s="14">
        <v>0.01</v>
      </c>
      <c r="Q29" s="14">
        <v>0.01</v>
      </c>
      <c r="R29" s="15" t="s">
        <v>375</v>
      </c>
      <c r="S29" s="14">
        <v>0.01</v>
      </c>
      <c r="T29" s="14">
        <v>0.01</v>
      </c>
      <c r="U29" s="15" t="s">
        <v>375</v>
      </c>
      <c r="V29" s="14">
        <v>7.0000000000000007E-2</v>
      </c>
      <c r="W29" s="14">
        <v>0.03</v>
      </c>
      <c r="X29" s="14">
        <v>0.02</v>
      </c>
      <c r="Y29" s="14">
        <v>0.02</v>
      </c>
      <c r="Z29" s="14">
        <v>0.01</v>
      </c>
      <c r="AA29" s="14">
        <v>0.02</v>
      </c>
      <c r="AB29" s="15" t="s">
        <v>375</v>
      </c>
      <c r="AC29" s="15" t="s">
        <v>375</v>
      </c>
      <c r="AD29" s="14">
        <v>0.01</v>
      </c>
      <c r="AE29" s="14">
        <v>0.01</v>
      </c>
      <c r="AF29" s="15" t="s">
        <v>375</v>
      </c>
    </row>
    <row r="30" spans="1:32">
      <c r="A30" s="19"/>
      <c r="B30" s="11" t="s">
        <v>1058</v>
      </c>
      <c r="C30" s="12">
        <v>475</v>
      </c>
      <c r="D30" s="12">
        <v>40</v>
      </c>
      <c r="E30" s="12">
        <v>11</v>
      </c>
      <c r="F30" s="12">
        <v>48</v>
      </c>
      <c r="G30" s="12">
        <v>22</v>
      </c>
      <c r="H30" s="12">
        <v>11</v>
      </c>
      <c r="I30" s="12">
        <v>11</v>
      </c>
      <c r="J30" s="12">
        <v>1</v>
      </c>
      <c r="K30" s="12">
        <v>34</v>
      </c>
      <c r="L30" s="12">
        <v>19</v>
      </c>
      <c r="M30" s="12">
        <v>11</v>
      </c>
      <c r="N30" s="12">
        <v>3</v>
      </c>
      <c r="O30" s="12">
        <v>11</v>
      </c>
      <c r="P30" s="12">
        <v>30</v>
      </c>
      <c r="Q30" s="12">
        <v>22</v>
      </c>
      <c r="R30" s="12">
        <v>3</v>
      </c>
      <c r="S30" s="12">
        <v>7</v>
      </c>
      <c r="T30" s="12">
        <v>10</v>
      </c>
      <c r="U30" s="12">
        <v>2</v>
      </c>
      <c r="V30" s="12">
        <v>41</v>
      </c>
      <c r="W30" s="12">
        <v>24</v>
      </c>
      <c r="X30" s="12">
        <v>10</v>
      </c>
      <c r="Y30" s="12">
        <v>12</v>
      </c>
      <c r="Z30" s="12">
        <v>61</v>
      </c>
      <c r="AA30" s="12">
        <v>6</v>
      </c>
      <c r="AB30" s="12">
        <v>15</v>
      </c>
      <c r="AC30" s="12">
        <v>12</v>
      </c>
      <c r="AD30" s="12">
        <v>32</v>
      </c>
      <c r="AE30" s="12">
        <v>6</v>
      </c>
      <c r="AF30" s="12">
        <v>21</v>
      </c>
    </row>
    <row r="31" spans="1:32">
      <c r="A31" s="19"/>
      <c r="B31" s="13" t="s">
        <v>815</v>
      </c>
      <c r="C31" s="14">
        <v>0.05</v>
      </c>
      <c r="D31" s="14">
        <v>0.08</v>
      </c>
      <c r="E31" s="14">
        <v>0.05</v>
      </c>
      <c r="F31" s="14">
        <v>0.14000000000000001</v>
      </c>
      <c r="G31" s="14">
        <v>0.04</v>
      </c>
      <c r="H31" s="14">
        <v>0.02</v>
      </c>
      <c r="I31" s="14">
        <v>0.02</v>
      </c>
      <c r="J31" s="14">
        <v>0.01</v>
      </c>
      <c r="K31" s="14">
        <v>0.08</v>
      </c>
      <c r="L31" s="14">
        <v>0.05</v>
      </c>
      <c r="M31" s="14">
        <v>0.04</v>
      </c>
      <c r="N31" s="14">
        <v>0.01</v>
      </c>
      <c r="O31" s="14">
        <v>0.03</v>
      </c>
      <c r="P31" s="14">
        <v>7.0000000000000007E-2</v>
      </c>
      <c r="Q31" s="14">
        <v>0.1</v>
      </c>
      <c r="R31" s="14">
        <v>0.01</v>
      </c>
      <c r="S31" s="14">
        <v>0.02</v>
      </c>
      <c r="T31" s="14">
        <v>0.03</v>
      </c>
      <c r="U31" s="14">
        <v>0.01</v>
      </c>
      <c r="V31" s="14">
        <v>0.13</v>
      </c>
      <c r="W31" s="14">
        <v>0.09</v>
      </c>
      <c r="X31" s="14">
        <v>0.02</v>
      </c>
      <c r="Y31" s="14">
        <v>0.04</v>
      </c>
      <c r="Z31" s="14">
        <v>0.19</v>
      </c>
      <c r="AA31" s="14">
        <v>0.04</v>
      </c>
      <c r="AB31" s="14">
        <v>0.06</v>
      </c>
      <c r="AC31" s="14">
        <v>0.03</v>
      </c>
      <c r="AD31" s="14">
        <v>0.06</v>
      </c>
      <c r="AE31" s="14">
        <v>0.01</v>
      </c>
      <c r="AF31" s="14">
        <v>0.03</v>
      </c>
    </row>
    <row r="32" spans="1:32">
      <c r="A32" s="19"/>
      <c r="B32" s="11" t="s">
        <v>816</v>
      </c>
      <c r="C32" s="12">
        <v>828</v>
      </c>
      <c r="D32" s="12">
        <v>65</v>
      </c>
      <c r="E32" s="12">
        <v>7</v>
      </c>
      <c r="F32" s="12">
        <v>40</v>
      </c>
      <c r="G32" s="12">
        <v>6</v>
      </c>
      <c r="H32" s="12">
        <v>47</v>
      </c>
      <c r="I32" s="12">
        <v>70</v>
      </c>
      <c r="J32" s="12">
        <v>23</v>
      </c>
      <c r="K32" s="12">
        <v>13</v>
      </c>
      <c r="L32" s="12">
        <v>51</v>
      </c>
      <c r="M32" s="12">
        <v>1</v>
      </c>
      <c r="N32" s="12">
        <v>21</v>
      </c>
      <c r="O32" s="12">
        <v>14</v>
      </c>
      <c r="P32" s="12">
        <v>27</v>
      </c>
      <c r="Q32" s="12">
        <v>37</v>
      </c>
      <c r="R32" s="12">
        <v>2</v>
      </c>
      <c r="S32" s="12">
        <v>25</v>
      </c>
      <c r="T32" s="12">
        <v>3</v>
      </c>
      <c r="U32" s="12">
        <v>3</v>
      </c>
      <c r="V32" s="12">
        <v>5</v>
      </c>
      <c r="W32" s="12">
        <v>26</v>
      </c>
      <c r="X32" s="12">
        <v>92</v>
      </c>
      <c r="Y32" s="12">
        <v>39</v>
      </c>
      <c r="Z32" s="12">
        <v>35</v>
      </c>
      <c r="AA32" s="12">
        <v>9</v>
      </c>
      <c r="AB32" s="12">
        <v>27</v>
      </c>
      <c r="AC32" s="12">
        <v>8</v>
      </c>
      <c r="AD32" s="12">
        <v>42</v>
      </c>
      <c r="AE32" s="12">
        <v>35</v>
      </c>
      <c r="AF32" s="12">
        <v>7</v>
      </c>
    </row>
    <row r="33" spans="1:32">
      <c r="A33" s="19"/>
      <c r="B33" s="13" t="s">
        <v>816</v>
      </c>
      <c r="C33" s="14">
        <v>0.09</v>
      </c>
      <c r="D33" s="14">
        <v>0.13</v>
      </c>
      <c r="E33" s="14">
        <v>0.03</v>
      </c>
      <c r="F33" s="14">
        <v>0.11</v>
      </c>
      <c r="G33" s="14">
        <v>0.01</v>
      </c>
      <c r="H33" s="14">
        <v>0.11</v>
      </c>
      <c r="I33" s="14">
        <v>0.13</v>
      </c>
      <c r="J33" s="14">
        <v>0.26</v>
      </c>
      <c r="K33" s="14">
        <v>0.03</v>
      </c>
      <c r="L33" s="14">
        <v>0.13</v>
      </c>
      <c r="M33" s="15" t="s">
        <v>375</v>
      </c>
      <c r="N33" s="14">
        <v>0.06</v>
      </c>
      <c r="O33" s="14">
        <v>0.04</v>
      </c>
      <c r="P33" s="14">
        <v>0.06</v>
      </c>
      <c r="Q33" s="14">
        <v>0.16</v>
      </c>
      <c r="R33" s="14">
        <v>0.01</v>
      </c>
      <c r="S33" s="14">
        <v>0.06</v>
      </c>
      <c r="T33" s="14">
        <v>0.01</v>
      </c>
      <c r="U33" s="14">
        <v>0.01</v>
      </c>
      <c r="V33" s="14">
        <v>0.01</v>
      </c>
      <c r="W33" s="14">
        <v>0.1</v>
      </c>
      <c r="X33" s="14">
        <v>0.16</v>
      </c>
      <c r="Y33" s="14">
        <v>0.12</v>
      </c>
      <c r="Z33" s="14">
        <v>0.11</v>
      </c>
      <c r="AA33" s="14">
        <v>7.0000000000000007E-2</v>
      </c>
      <c r="AB33" s="14">
        <v>0.1</v>
      </c>
      <c r="AC33" s="14">
        <v>0.02</v>
      </c>
      <c r="AD33" s="14">
        <v>7.0000000000000007E-2</v>
      </c>
      <c r="AE33" s="14">
        <v>0.06</v>
      </c>
      <c r="AF33" s="14">
        <v>0.01</v>
      </c>
    </row>
    <row r="34" spans="1:32">
      <c r="A34" s="19"/>
      <c r="B34" s="11" t="s">
        <v>817</v>
      </c>
      <c r="C34" s="12">
        <v>372</v>
      </c>
      <c r="D34" s="12">
        <v>19</v>
      </c>
      <c r="E34" s="12">
        <v>6</v>
      </c>
      <c r="F34" s="12">
        <v>8</v>
      </c>
      <c r="G34" s="12">
        <v>3</v>
      </c>
      <c r="H34" s="12">
        <v>27</v>
      </c>
      <c r="I34" s="12">
        <v>31</v>
      </c>
      <c r="J34" s="12">
        <v>5</v>
      </c>
      <c r="K34" s="12">
        <v>41</v>
      </c>
      <c r="L34" s="12">
        <v>8</v>
      </c>
      <c r="M34" s="12">
        <v>2</v>
      </c>
      <c r="N34" s="12">
        <v>13</v>
      </c>
      <c r="O34" s="12">
        <v>14</v>
      </c>
      <c r="P34" s="12">
        <v>14</v>
      </c>
      <c r="Q34" s="12">
        <v>19</v>
      </c>
      <c r="R34" s="12">
        <v>1</v>
      </c>
      <c r="S34" s="12">
        <v>34</v>
      </c>
      <c r="T34" s="12">
        <v>8</v>
      </c>
      <c r="U34" s="12">
        <v>5</v>
      </c>
      <c r="V34" s="12">
        <v>13</v>
      </c>
      <c r="W34" s="12">
        <v>5</v>
      </c>
      <c r="X34" s="12">
        <v>16</v>
      </c>
      <c r="Y34" s="12">
        <v>24</v>
      </c>
      <c r="Z34" s="12">
        <v>6</v>
      </c>
      <c r="AA34" s="12">
        <v>5</v>
      </c>
      <c r="AB34" s="12">
        <v>6</v>
      </c>
      <c r="AC34" s="12">
        <v>6</v>
      </c>
      <c r="AD34" s="12">
        <v>13</v>
      </c>
      <c r="AE34" s="12">
        <v>12</v>
      </c>
      <c r="AF34" s="12">
        <v>11</v>
      </c>
    </row>
    <row r="35" spans="1:32">
      <c r="A35" s="19"/>
      <c r="B35" s="13" t="s">
        <v>817</v>
      </c>
      <c r="C35" s="14">
        <v>0.04</v>
      </c>
      <c r="D35" s="14">
        <v>0.04</v>
      </c>
      <c r="E35" s="14">
        <v>0.02</v>
      </c>
      <c r="F35" s="14">
        <v>0.02</v>
      </c>
      <c r="G35" s="14">
        <v>0.01</v>
      </c>
      <c r="H35" s="14">
        <v>0.06</v>
      </c>
      <c r="I35" s="14">
        <v>0.06</v>
      </c>
      <c r="J35" s="14">
        <v>0.05</v>
      </c>
      <c r="K35" s="14">
        <v>0.1</v>
      </c>
      <c r="L35" s="14">
        <v>0.02</v>
      </c>
      <c r="M35" s="14">
        <v>0.01</v>
      </c>
      <c r="N35" s="14">
        <v>0.04</v>
      </c>
      <c r="O35" s="14">
        <v>0.04</v>
      </c>
      <c r="P35" s="14">
        <v>0.03</v>
      </c>
      <c r="Q35" s="14">
        <v>0.08</v>
      </c>
      <c r="R35" s="15" t="s">
        <v>375</v>
      </c>
      <c r="S35" s="14">
        <v>0.08</v>
      </c>
      <c r="T35" s="14">
        <v>0.02</v>
      </c>
      <c r="U35" s="14">
        <v>0.02</v>
      </c>
      <c r="V35" s="14">
        <v>0.04</v>
      </c>
      <c r="W35" s="14">
        <v>0.02</v>
      </c>
      <c r="X35" s="14">
        <v>0.03</v>
      </c>
      <c r="Y35" s="14">
        <v>7.0000000000000007E-2</v>
      </c>
      <c r="Z35" s="14">
        <v>0.02</v>
      </c>
      <c r="AA35" s="14">
        <v>0.04</v>
      </c>
      <c r="AB35" s="14">
        <v>0.02</v>
      </c>
      <c r="AC35" s="14">
        <v>0.02</v>
      </c>
      <c r="AD35" s="14">
        <v>0.02</v>
      </c>
      <c r="AE35" s="14">
        <v>0.02</v>
      </c>
      <c r="AF35" s="14">
        <v>0.01</v>
      </c>
    </row>
    <row r="36" spans="1:32">
      <c r="A36" s="19"/>
      <c r="B36" s="11" t="s">
        <v>818</v>
      </c>
      <c r="C36" s="12">
        <v>91</v>
      </c>
      <c r="D36" s="12">
        <v>6</v>
      </c>
      <c r="E36" s="12">
        <v>2</v>
      </c>
      <c r="F36" s="12">
        <v>5</v>
      </c>
      <c r="G36" s="12">
        <v>7</v>
      </c>
      <c r="H36" s="12">
        <v>1</v>
      </c>
      <c r="I36" s="12">
        <v>2</v>
      </c>
      <c r="J36" s="12">
        <v>1</v>
      </c>
      <c r="K36" s="12">
        <v>4</v>
      </c>
      <c r="L36" s="12">
        <v>5</v>
      </c>
      <c r="M36" s="12">
        <v>0</v>
      </c>
      <c r="N36" s="12">
        <v>4</v>
      </c>
      <c r="O36" s="12">
        <v>4</v>
      </c>
      <c r="P36" s="12">
        <v>6</v>
      </c>
      <c r="Q36" s="12">
        <v>4</v>
      </c>
      <c r="R36" s="12">
        <v>0</v>
      </c>
      <c r="S36" s="12">
        <v>2</v>
      </c>
      <c r="T36" s="12">
        <v>6</v>
      </c>
      <c r="U36" s="12">
        <v>0</v>
      </c>
      <c r="V36" s="12">
        <v>3</v>
      </c>
      <c r="W36" s="12">
        <v>10</v>
      </c>
      <c r="X36" s="12">
        <v>5</v>
      </c>
      <c r="Y36" s="12">
        <v>6</v>
      </c>
      <c r="Z36" s="12">
        <v>6</v>
      </c>
      <c r="AA36" s="12">
        <v>1</v>
      </c>
      <c r="AB36" s="12">
        <v>0</v>
      </c>
      <c r="AC36" s="12">
        <v>3</v>
      </c>
      <c r="AD36" s="12">
        <v>6</v>
      </c>
      <c r="AE36" s="12">
        <v>8</v>
      </c>
      <c r="AF36" s="12">
        <v>4</v>
      </c>
    </row>
    <row r="37" spans="1:32">
      <c r="A37" s="19"/>
      <c r="B37" s="13" t="s">
        <v>818</v>
      </c>
      <c r="C37" s="14">
        <v>0.01</v>
      </c>
      <c r="D37" s="14">
        <v>0.01</v>
      </c>
      <c r="E37" s="14">
        <v>0.01</v>
      </c>
      <c r="F37" s="14">
        <v>0.02</v>
      </c>
      <c r="G37" s="14">
        <v>0.01</v>
      </c>
      <c r="H37" s="15" t="s">
        <v>375</v>
      </c>
      <c r="I37" s="15" t="s">
        <v>375</v>
      </c>
      <c r="J37" s="14">
        <v>0.01</v>
      </c>
      <c r="K37" s="14">
        <v>0.01</v>
      </c>
      <c r="L37" s="14">
        <v>0.01</v>
      </c>
      <c r="M37" s="15" t="s">
        <v>375</v>
      </c>
      <c r="N37" s="14">
        <v>0.01</v>
      </c>
      <c r="O37" s="14">
        <v>0.01</v>
      </c>
      <c r="P37" s="14">
        <v>0.01</v>
      </c>
      <c r="Q37" s="14">
        <v>0.02</v>
      </c>
      <c r="R37" s="15" t="s">
        <v>375</v>
      </c>
      <c r="S37" s="15" t="s">
        <v>375</v>
      </c>
      <c r="T37" s="14">
        <v>0.02</v>
      </c>
      <c r="U37" s="15" t="s">
        <v>375</v>
      </c>
      <c r="V37" s="14">
        <v>0.01</v>
      </c>
      <c r="W37" s="14">
        <v>0.04</v>
      </c>
      <c r="X37" s="14">
        <v>0.01</v>
      </c>
      <c r="Y37" s="14">
        <v>0.02</v>
      </c>
      <c r="Z37" s="14">
        <v>0.02</v>
      </c>
      <c r="AA37" s="14">
        <v>0.01</v>
      </c>
      <c r="AB37" s="15" t="s">
        <v>375</v>
      </c>
      <c r="AC37" s="14">
        <v>0.01</v>
      </c>
      <c r="AD37" s="14">
        <v>0.01</v>
      </c>
      <c r="AE37" s="14">
        <v>0.01</v>
      </c>
      <c r="AF37" s="14">
        <v>0.01</v>
      </c>
    </row>
    <row r="38" spans="1:32">
      <c r="A38" s="19"/>
      <c r="B38" s="11" t="s">
        <v>819</v>
      </c>
      <c r="C38" s="12">
        <v>52</v>
      </c>
      <c r="D38" s="12">
        <v>4</v>
      </c>
      <c r="E38" s="12">
        <v>4</v>
      </c>
      <c r="F38" s="12">
        <v>0</v>
      </c>
      <c r="G38" s="12">
        <v>3</v>
      </c>
      <c r="H38" s="12">
        <v>4</v>
      </c>
      <c r="I38" s="12">
        <v>4</v>
      </c>
      <c r="J38" s="12">
        <v>0</v>
      </c>
      <c r="K38" s="12">
        <v>2</v>
      </c>
      <c r="L38" s="12">
        <v>1</v>
      </c>
      <c r="M38" s="12">
        <v>0</v>
      </c>
      <c r="N38" s="12">
        <v>1</v>
      </c>
      <c r="O38" s="12">
        <v>0</v>
      </c>
      <c r="P38" s="12">
        <v>9</v>
      </c>
      <c r="Q38" s="12">
        <v>2</v>
      </c>
      <c r="R38" s="12">
        <v>0</v>
      </c>
      <c r="S38" s="12">
        <v>1</v>
      </c>
      <c r="T38" s="12">
        <v>0</v>
      </c>
      <c r="U38" s="12">
        <v>0</v>
      </c>
      <c r="V38" s="12">
        <v>9</v>
      </c>
      <c r="W38" s="12">
        <v>2</v>
      </c>
      <c r="X38" s="12">
        <v>9</v>
      </c>
      <c r="Y38" s="12">
        <v>1</v>
      </c>
      <c r="Z38" s="12">
        <v>2</v>
      </c>
      <c r="AA38" s="12">
        <v>0</v>
      </c>
      <c r="AB38" s="12">
        <v>0</v>
      </c>
      <c r="AC38" s="12">
        <v>3</v>
      </c>
      <c r="AD38" s="12">
        <v>6</v>
      </c>
      <c r="AE38" s="12">
        <v>4</v>
      </c>
      <c r="AF38" s="12">
        <v>0</v>
      </c>
    </row>
    <row r="39" spans="1:32">
      <c r="A39" s="19"/>
      <c r="B39" s="13" t="s">
        <v>819</v>
      </c>
      <c r="C39" s="14">
        <v>0.01</v>
      </c>
      <c r="D39" s="14">
        <v>0.01</v>
      </c>
      <c r="E39" s="14">
        <v>0.01</v>
      </c>
      <c r="F39" s="15" t="s">
        <v>375</v>
      </c>
      <c r="G39" s="15" t="s">
        <v>375</v>
      </c>
      <c r="H39" s="14">
        <v>0.01</v>
      </c>
      <c r="I39" s="14">
        <v>0.01</v>
      </c>
      <c r="J39" s="15" t="s">
        <v>375</v>
      </c>
      <c r="K39" s="14">
        <v>0.01</v>
      </c>
      <c r="L39" s="15" t="s">
        <v>375</v>
      </c>
      <c r="M39" s="15" t="s">
        <v>375</v>
      </c>
      <c r="N39" s="15" t="s">
        <v>375</v>
      </c>
      <c r="O39" s="15" t="s">
        <v>375</v>
      </c>
      <c r="P39" s="14">
        <v>0.02</v>
      </c>
      <c r="Q39" s="14">
        <v>0.01</v>
      </c>
      <c r="R39" s="15" t="s">
        <v>375</v>
      </c>
      <c r="S39" s="15" t="s">
        <v>375</v>
      </c>
      <c r="T39" s="15" t="s">
        <v>375</v>
      </c>
      <c r="U39" s="15" t="s">
        <v>375</v>
      </c>
      <c r="V39" s="14">
        <v>0.03</v>
      </c>
      <c r="W39" s="14">
        <v>0.01</v>
      </c>
      <c r="X39" s="14">
        <v>0.02</v>
      </c>
      <c r="Y39" s="15" t="s">
        <v>375</v>
      </c>
      <c r="Z39" s="14">
        <v>0.01</v>
      </c>
      <c r="AA39" s="15" t="s">
        <v>375</v>
      </c>
      <c r="AB39" s="15" t="s">
        <v>375</v>
      </c>
      <c r="AC39" s="14">
        <v>0.01</v>
      </c>
      <c r="AD39" s="14">
        <v>0.01</v>
      </c>
      <c r="AE39" s="14">
        <v>0.01</v>
      </c>
      <c r="AF39" s="15" t="s">
        <v>375</v>
      </c>
    </row>
    <row r="40" spans="1:32">
      <c r="A40" s="19"/>
      <c r="B40" s="11" t="s">
        <v>820</v>
      </c>
      <c r="C40" s="12">
        <v>135</v>
      </c>
      <c r="D40" s="12">
        <v>10</v>
      </c>
      <c r="E40" s="12">
        <v>0</v>
      </c>
      <c r="F40" s="12">
        <v>10</v>
      </c>
      <c r="G40" s="12">
        <v>14</v>
      </c>
      <c r="H40" s="12">
        <v>4</v>
      </c>
      <c r="I40" s="12">
        <v>4</v>
      </c>
      <c r="J40" s="12">
        <v>0</v>
      </c>
      <c r="K40" s="12">
        <v>12</v>
      </c>
      <c r="L40" s="12">
        <v>2</v>
      </c>
      <c r="M40" s="12">
        <v>2</v>
      </c>
      <c r="N40" s="12">
        <v>6</v>
      </c>
      <c r="O40" s="12">
        <v>5</v>
      </c>
      <c r="P40" s="12">
        <v>4</v>
      </c>
      <c r="Q40" s="12">
        <v>0</v>
      </c>
      <c r="R40" s="12">
        <v>0</v>
      </c>
      <c r="S40" s="12">
        <v>19</v>
      </c>
      <c r="T40" s="12">
        <v>15</v>
      </c>
      <c r="U40" s="12">
        <v>0</v>
      </c>
      <c r="V40" s="12">
        <v>8</v>
      </c>
      <c r="W40" s="12">
        <v>11</v>
      </c>
      <c r="X40" s="12">
        <v>16</v>
      </c>
      <c r="Y40" s="12">
        <v>4</v>
      </c>
      <c r="Z40" s="12">
        <v>5</v>
      </c>
      <c r="AA40" s="12">
        <v>1</v>
      </c>
      <c r="AB40" s="12">
        <v>1</v>
      </c>
      <c r="AC40" s="12">
        <v>8</v>
      </c>
      <c r="AD40" s="12">
        <v>9</v>
      </c>
      <c r="AE40" s="12">
        <v>17</v>
      </c>
      <c r="AF40" s="12">
        <v>18</v>
      </c>
    </row>
    <row r="41" spans="1:32">
      <c r="A41" s="19"/>
      <c r="B41" s="13" t="s">
        <v>820</v>
      </c>
      <c r="C41" s="14">
        <v>0.01</v>
      </c>
      <c r="D41" s="14">
        <v>0.02</v>
      </c>
      <c r="E41" s="15" t="s">
        <v>375</v>
      </c>
      <c r="F41" s="14">
        <v>0.03</v>
      </c>
      <c r="G41" s="14">
        <v>0.03</v>
      </c>
      <c r="H41" s="14">
        <v>0.01</v>
      </c>
      <c r="I41" s="14">
        <v>0.01</v>
      </c>
      <c r="J41" s="15" t="s">
        <v>375</v>
      </c>
      <c r="K41" s="14">
        <v>0.03</v>
      </c>
      <c r="L41" s="14">
        <v>0.01</v>
      </c>
      <c r="M41" s="14">
        <v>0.01</v>
      </c>
      <c r="N41" s="14">
        <v>0.02</v>
      </c>
      <c r="O41" s="14">
        <v>0.01</v>
      </c>
      <c r="P41" s="14">
        <v>0.01</v>
      </c>
      <c r="Q41" s="15" t="s">
        <v>375</v>
      </c>
      <c r="R41" s="15" t="s">
        <v>375</v>
      </c>
      <c r="S41" s="14">
        <v>0.05</v>
      </c>
      <c r="T41" s="14">
        <v>0.05</v>
      </c>
      <c r="U41" s="15" t="s">
        <v>375</v>
      </c>
      <c r="V41" s="14">
        <v>0.02</v>
      </c>
      <c r="W41" s="14">
        <v>0.04</v>
      </c>
      <c r="X41" s="14">
        <v>0.03</v>
      </c>
      <c r="Y41" s="14">
        <v>0.01</v>
      </c>
      <c r="Z41" s="14">
        <v>0.02</v>
      </c>
      <c r="AA41" s="14">
        <v>0.01</v>
      </c>
      <c r="AB41" s="15" t="s">
        <v>375</v>
      </c>
      <c r="AC41" s="14">
        <v>0.02</v>
      </c>
      <c r="AD41" s="14">
        <v>0.02</v>
      </c>
      <c r="AE41" s="14">
        <v>0.03</v>
      </c>
      <c r="AF41" s="14">
        <v>0.02</v>
      </c>
    </row>
    <row r="42" spans="1:32">
      <c r="A42" s="19"/>
      <c r="B42" s="11" t="s">
        <v>896</v>
      </c>
      <c r="C42" s="12">
        <v>760</v>
      </c>
      <c r="D42" s="12">
        <v>30</v>
      </c>
      <c r="E42" s="12">
        <v>10</v>
      </c>
      <c r="F42" s="12">
        <v>25</v>
      </c>
      <c r="G42" s="12">
        <v>58</v>
      </c>
      <c r="H42" s="12">
        <v>64</v>
      </c>
      <c r="I42" s="12">
        <v>72</v>
      </c>
      <c r="J42" s="12">
        <v>9</v>
      </c>
      <c r="K42" s="12">
        <v>49</v>
      </c>
      <c r="L42" s="12">
        <v>7</v>
      </c>
      <c r="M42" s="12">
        <v>32</v>
      </c>
      <c r="N42" s="12">
        <v>20</v>
      </c>
      <c r="O42" s="12">
        <v>20</v>
      </c>
      <c r="P42" s="12">
        <v>25</v>
      </c>
      <c r="Q42" s="12">
        <v>11</v>
      </c>
      <c r="R42" s="12">
        <v>5</v>
      </c>
      <c r="S42" s="12">
        <v>34</v>
      </c>
      <c r="T42" s="12">
        <v>23</v>
      </c>
      <c r="U42" s="12">
        <v>8</v>
      </c>
      <c r="V42" s="12">
        <v>7</v>
      </c>
      <c r="W42" s="12">
        <v>12</v>
      </c>
      <c r="X42" s="12">
        <v>61</v>
      </c>
      <c r="Y42" s="12">
        <v>32</v>
      </c>
      <c r="Z42" s="12">
        <v>13</v>
      </c>
      <c r="AA42" s="12">
        <v>1</v>
      </c>
      <c r="AB42" s="12">
        <v>14</v>
      </c>
      <c r="AC42" s="12">
        <v>48</v>
      </c>
      <c r="AD42" s="12">
        <v>86</v>
      </c>
      <c r="AE42" s="12">
        <v>96</v>
      </c>
      <c r="AF42" s="12">
        <v>102</v>
      </c>
    </row>
    <row r="43" spans="1:32">
      <c r="A43" s="19"/>
      <c r="B43" s="13" t="s">
        <v>897</v>
      </c>
      <c r="C43" s="14">
        <v>0.08</v>
      </c>
      <c r="D43" s="14">
        <v>0.06</v>
      </c>
      <c r="E43" s="14">
        <v>0.04</v>
      </c>
      <c r="F43" s="14">
        <v>7.0000000000000007E-2</v>
      </c>
      <c r="G43" s="14">
        <v>0.11</v>
      </c>
      <c r="H43" s="14">
        <v>0.14000000000000001</v>
      </c>
      <c r="I43" s="14">
        <v>0.14000000000000001</v>
      </c>
      <c r="J43" s="14">
        <v>0.1</v>
      </c>
      <c r="K43" s="14">
        <v>0.12</v>
      </c>
      <c r="L43" s="14">
        <v>0.02</v>
      </c>
      <c r="M43" s="14">
        <v>0.12</v>
      </c>
      <c r="N43" s="14">
        <v>0.05</v>
      </c>
      <c r="O43" s="14">
        <v>0.06</v>
      </c>
      <c r="P43" s="14">
        <v>0.06</v>
      </c>
      <c r="Q43" s="14">
        <v>0.05</v>
      </c>
      <c r="R43" s="14">
        <v>0.02</v>
      </c>
      <c r="S43" s="14">
        <v>0.08</v>
      </c>
      <c r="T43" s="14">
        <v>7.0000000000000007E-2</v>
      </c>
      <c r="U43" s="14">
        <v>0.04</v>
      </c>
      <c r="V43" s="14">
        <v>0.02</v>
      </c>
      <c r="W43" s="14">
        <v>0.05</v>
      </c>
      <c r="X43" s="14">
        <v>0.1</v>
      </c>
      <c r="Y43" s="14">
        <v>0.1</v>
      </c>
      <c r="Z43" s="14">
        <v>0.04</v>
      </c>
      <c r="AA43" s="14">
        <v>0.01</v>
      </c>
      <c r="AB43" s="14">
        <v>0.06</v>
      </c>
      <c r="AC43" s="14">
        <v>0.12</v>
      </c>
      <c r="AD43" s="14">
        <v>0.15</v>
      </c>
      <c r="AE43" s="14">
        <v>0.17</v>
      </c>
      <c r="AF43" s="14">
        <v>0.14000000000000001</v>
      </c>
    </row>
    <row r="44" spans="1:32">
      <c r="A44" s="19"/>
      <c r="B44" s="11" t="s">
        <v>824</v>
      </c>
      <c r="C44" s="12">
        <v>503</v>
      </c>
      <c r="D44" s="12">
        <v>21</v>
      </c>
      <c r="E44" s="12">
        <v>32</v>
      </c>
      <c r="F44" s="12">
        <v>28</v>
      </c>
      <c r="G44" s="12">
        <v>9</v>
      </c>
      <c r="H44" s="12">
        <v>17</v>
      </c>
      <c r="I44" s="12">
        <v>20</v>
      </c>
      <c r="J44" s="12">
        <v>3</v>
      </c>
      <c r="K44" s="12">
        <v>21</v>
      </c>
      <c r="L44" s="12">
        <v>12</v>
      </c>
      <c r="M44" s="12">
        <v>3</v>
      </c>
      <c r="N44" s="12">
        <v>8</v>
      </c>
      <c r="O44" s="12">
        <v>8</v>
      </c>
      <c r="P44" s="12">
        <v>53</v>
      </c>
      <c r="Q44" s="12">
        <v>14</v>
      </c>
      <c r="R44" s="12">
        <v>1</v>
      </c>
      <c r="S44" s="12">
        <v>19</v>
      </c>
      <c r="T44" s="12">
        <v>20</v>
      </c>
      <c r="U44" s="12">
        <v>5</v>
      </c>
      <c r="V44" s="12">
        <v>44</v>
      </c>
      <c r="W44" s="12">
        <v>2</v>
      </c>
      <c r="X44" s="12">
        <v>8</v>
      </c>
      <c r="Y44" s="12">
        <v>25</v>
      </c>
      <c r="Z44" s="12">
        <v>67</v>
      </c>
      <c r="AA44" s="12">
        <v>6</v>
      </c>
      <c r="AB44" s="12">
        <v>54</v>
      </c>
      <c r="AC44" s="12">
        <v>20</v>
      </c>
      <c r="AD44" s="12">
        <v>17</v>
      </c>
      <c r="AE44" s="12">
        <v>14</v>
      </c>
      <c r="AF44" s="12">
        <v>7</v>
      </c>
    </row>
    <row r="45" spans="1:32">
      <c r="A45" s="19"/>
      <c r="B45" s="13" t="s">
        <v>825</v>
      </c>
      <c r="C45" s="14">
        <v>0.05</v>
      </c>
      <c r="D45" s="14">
        <v>0.04</v>
      </c>
      <c r="E45" s="14">
        <v>0.13</v>
      </c>
      <c r="F45" s="14">
        <v>0.08</v>
      </c>
      <c r="G45" s="14">
        <v>0.02</v>
      </c>
      <c r="H45" s="14">
        <v>0.04</v>
      </c>
      <c r="I45" s="14">
        <v>0.04</v>
      </c>
      <c r="J45" s="14">
        <v>0.04</v>
      </c>
      <c r="K45" s="14">
        <v>0.05</v>
      </c>
      <c r="L45" s="14">
        <v>0.03</v>
      </c>
      <c r="M45" s="14">
        <v>0.01</v>
      </c>
      <c r="N45" s="14">
        <v>0.02</v>
      </c>
      <c r="O45" s="14">
        <v>0.02</v>
      </c>
      <c r="P45" s="14">
        <v>0.12</v>
      </c>
      <c r="Q45" s="14">
        <v>0.06</v>
      </c>
      <c r="R45" s="14">
        <v>0.01</v>
      </c>
      <c r="S45" s="14">
        <v>0.05</v>
      </c>
      <c r="T45" s="14">
        <v>0.06</v>
      </c>
      <c r="U45" s="14">
        <v>0.02</v>
      </c>
      <c r="V45" s="14">
        <v>0.13</v>
      </c>
      <c r="W45" s="14">
        <v>0.01</v>
      </c>
      <c r="X45" s="14">
        <v>0.01</v>
      </c>
      <c r="Y45" s="14">
        <v>0.08</v>
      </c>
      <c r="Z45" s="14">
        <v>0.2</v>
      </c>
      <c r="AA45" s="14">
        <v>0.05</v>
      </c>
      <c r="AB45" s="14">
        <v>0.21</v>
      </c>
      <c r="AC45" s="14">
        <v>0.05</v>
      </c>
      <c r="AD45" s="14">
        <v>0.03</v>
      </c>
      <c r="AE45" s="14">
        <v>0.03</v>
      </c>
      <c r="AF45" s="14">
        <v>0.01</v>
      </c>
    </row>
    <row r="46" spans="1:32">
      <c r="A46" s="19"/>
      <c r="B46" s="11" t="s">
        <v>386</v>
      </c>
      <c r="C46" s="12">
        <v>103</v>
      </c>
      <c r="D46" s="12">
        <v>1</v>
      </c>
      <c r="E46" s="12">
        <v>7</v>
      </c>
      <c r="F46" s="12">
        <v>4</v>
      </c>
      <c r="G46" s="12">
        <v>0</v>
      </c>
      <c r="H46" s="12">
        <v>7</v>
      </c>
      <c r="I46" s="12">
        <v>7</v>
      </c>
      <c r="J46" s="12">
        <v>0</v>
      </c>
      <c r="K46" s="12">
        <v>12</v>
      </c>
      <c r="L46" s="12">
        <v>10</v>
      </c>
      <c r="M46" s="12">
        <v>4</v>
      </c>
      <c r="N46" s="12">
        <v>5</v>
      </c>
      <c r="O46" s="12">
        <v>3</v>
      </c>
      <c r="P46" s="12">
        <v>2</v>
      </c>
      <c r="Q46" s="12">
        <v>3</v>
      </c>
      <c r="R46" s="12">
        <v>0</v>
      </c>
      <c r="S46" s="12">
        <v>2</v>
      </c>
      <c r="T46" s="12">
        <v>9</v>
      </c>
      <c r="U46" s="12">
        <v>1</v>
      </c>
      <c r="V46" s="12">
        <v>0</v>
      </c>
      <c r="W46" s="12">
        <v>0</v>
      </c>
      <c r="X46" s="12">
        <v>4</v>
      </c>
      <c r="Y46" s="12">
        <v>6</v>
      </c>
      <c r="Z46" s="12">
        <v>2</v>
      </c>
      <c r="AA46" s="12">
        <v>4</v>
      </c>
      <c r="AB46" s="12">
        <v>4</v>
      </c>
      <c r="AC46" s="12">
        <v>1</v>
      </c>
      <c r="AD46" s="12">
        <v>15</v>
      </c>
      <c r="AE46" s="12">
        <v>11</v>
      </c>
      <c r="AF46" s="12">
        <v>5</v>
      </c>
    </row>
    <row r="47" spans="1:32">
      <c r="A47" s="19"/>
      <c r="B47" s="13" t="s">
        <v>399</v>
      </c>
      <c r="C47" s="14">
        <v>0.01</v>
      </c>
      <c r="D47" s="15" t="s">
        <v>375</v>
      </c>
      <c r="E47" s="14">
        <v>0.03</v>
      </c>
      <c r="F47" s="14">
        <v>0.01</v>
      </c>
      <c r="G47" s="15" t="s">
        <v>375</v>
      </c>
      <c r="H47" s="14">
        <v>0.02</v>
      </c>
      <c r="I47" s="14">
        <v>0.01</v>
      </c>
      <c r="J47" s="15" t="s">
        <v>375</v>
      </c>
      <c r="K47" s="14">
        <v>0.03</v>
      </c>
      <c r="L47" s="14">
        <v>0.02</v>
      </c>
      <c r="M47" s="14">
        <v>0.02</v>
      </c>
      <c r="N47" s="14">
        <v>0.01</v>
      </c>
      <c r="O47" s="14">
        <v>0.01</v>
      </c>
      <c r="P47" s="14">
        <v>0.01</v>
      </c>
      <c r="Q47" s="14">
        <v>0.01</v>
      </c>
      <c r="R47" s="15" t="s">
        <v>375</v>
      </c>
      <c r="S47" s="14">
        <v>0.01</v>
      </c>
      <c r="T47" s="14">
        <v>0.03</v>
      </c>
      <c r="U47" s="14">
        <v>0.01</v>
      </c>
      <c r="V47" s="15" t="s">
        <v>375</v>
      </c>
      <c r="W47" s="15" t="s">
        <v>375</v>
      </c>
      <c r="X47" s="14">
        <v>0.01</v>
      </c>
      <c r="Y47" s="14">
        <v>0.02</v>
      </c>
      <c r="Z47" s="14">
        <v>0.01</v>
      </c>
      <c r="AA47" s="14">
        <v>0.03</v>
      </c>
      <c r="AB47" s="14">
        <v>0.02</v>
      </c>
      <c r="AC47" s="15" t="s">
        <v>375</v>
      </c>
      <c r="AD47" s="14">
        <v>0.03</v>
      </c>
      <c r="AE47" s="14">
        <v>0.02</v>
      </c>
      <c r="AF47" s="14">
        <v>0.01</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203</v>
      </c>
      <c r="C3" s="17"/>
      <c r="D3" s="17"/>
      <c r="E3" s="17"/>
      <c r="F3" s="17"/>
      <c r="H3" s="17" t="s">
        <v>204</v>
      </c>
      <c r="I3" s="17"/>
      <c r="J3" s="17"/>
      <c r="K3" s="17"/>
      <c r="L3" s="17"/>
    </row>
    <row r="4" spans="1:32" ht="27" customHeight="1">
      <c r="B4" s="17"/>
      <c r="C4" s="17"/>
      <c r="D4" s="17"/>
      <c r="E4" s="17"/>
      <c r="F4" s="17"/>
      <c r="H4" s="17"/>
      <c r="I4" s="17"/>
      <c r="J4" s="17"/>
      <c r="K4" s="17"/>
      <c r="L4" s="17"/>
    </row>
    <row r="5" spans="1:32" ht="12" customHeight="1">
      <c r="B5" s="17" t="s">
        <v>1056</v>
      </c>
      <c r="C5" s="17"/>
      <c r="D5" s="17"/>
      <c r="E5" s="17"/>
      <c r="F5" s="17"/>
      <c r="H5" s="17" t="s">
        <v>1057</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9262</v>
      </c>
      <c r="D10" s="10">
        <v>489</v>
      </c>
      <c r="E10" s="10">
        <v>245</v>
      </c>
      <c r="F10" s="10">
        <v>349</v>
      </c>
      <c r="G10" s="10">
        <v>547</v>
      </c>
      <c r="H10" s="10">
        <v>441</v>
      </c>
      <c r="I10" s="10">
        <v>529</v>
      </c>
      <c r="J10" s="10">
        <v>88</v>
      </c>
      <c r="K10" s="10">
        <v>400</v>
      </c>
      <c r="L10" s="10">
        <v>394</v>
      </c>
      <c r="M10" s="10">
        <v>279</v>
      </c>
      <c r="N10" s="10">
        <v>380</v>
      </c>
      <c r="O10" s="10">
        <v>361</v>
      </c>
      <c r="P10" s="10">
        <v>437</v>
      </c>
      <c r="Q10" s="10">
        <v>228</v>
      </c>
      <c r="R10" s="10">
        <v>232</v>
      </c>
      <c r="S10" s="10">
        <v>411</v>
      </c>
      <c r="T10" s="10">
        <v>332</v>
      </c>
      <c r="U10" s="10">
        <v>205</v>
      </c>
      <c r="V10" s="10">
        <v>326</v>
      </c>
      <c r="W10" s="10">
        <v>261</v>
      </c>
      <c r="X10" s="10">
        <v>586</v>
      </c>
      <c r="Y10" s="10">
        <v>330</v>
      </c>
      <c r="Z10" s="10">
        <v>329</v>
      </c>
      <c r="AA10" s="10">
        <v>135</v>
      </c>
      <c r="AB10" s="10">
        <v>255</v>
      </c>
      <c r="AC10" s="10">
        <v>398</v>
      </c>
      <c r="AD10" s="10">
        <v>563</v>
      </c>
      <c r="AE10" s="10">
        <v>571</v>
      </c>
      <c r="AF10" s="10">
        <v>745</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1059</v>
      </c>
      <c r="C12" s="12">
        <v>4541</v>
      </c>
      <c r="D12" s="12">
        <v>261</v>
      </c>
      <c r="E12" s="12">
        <v>149</v>
      </c>
      <c r="F12" s="12">
        <v>144</v>
      </c>
      <c r="G12" s="12">
        <v>209</v>
      </c>
      <c r="H12" s="12">
        <v>193</v>
      </c>
      <c r="I12" s="12">
        <v>224</v>
      </c>
      <c r="J12" s="12">
        <v>31</v>
      </c>
      <c r="K12" s="12">
        <v>173</v>
      </c>
      <c r="L12" s="12">
        <v>195</v>
      </c>
      <c r="M12" s="12">
        <v>193</v>
      </c>
      <c r="N12" s="12">
        <v>286</v>
      </c>
      <c r="O12" s="12">
        <v>190</v>
      </c>
      <c r="P12" s="12">
        <v>214</v>
      </c>
      <c r="Q12" s="12">
        <v>116</v>
      </c>
      <c r="R12" s="12">
        <v>158</v>
      </c>
      <c r="S12" s="12">
        <v>184</v>
      </c>
      <c r="T12" s="12">
        <v>170</v>
      </c>
      <c r="U12" s="12">
        <v>88</v>
      </c>
      <c r="V12" s="12">
        <v>159</v>
      </c>
      <c r="W12" s="12">
        <v>143</v>
      </c>
      <c r="X12" s="12">
        <v>214</v>
      </c>
      <c r="Y12" s="12">
        <v>142</v>
      </c>
      <c r="Z12" s="12">
        <v>136</v>
      </c>
      <c r="AA12" s="12">
        <v>75</v>
      </c>
      <c r="AB12" s="12">
        <v>95</v>
      </c>
      <c r="AC12" s="12">
        <v>243</v>
      </c>
      <c r="AD12" s="12">
        <v>334</v>
      </c>
      <c r="AE12" s="12">
        <v>198</v>
      </c>
      <c r="AF12" s="12">
        <v>201</v>
      </c>
    </row>
    <row r="13" spans="1:32">
      <c r="A13" s="19"/>
      <c r="B13" s="13" t="s">
        <v>1060</v>
      </c>
      <c r="C13" s="14">
        <v>0.49</v>
      </c>
      <c r="D13" s="14">
        <v>0.53</v>
      </c>
      <c r="E13" s="14">
        <v>0.61</v>
      </c>
      <c r="F13" s="14">
        <v>0.41</v>
      </c>
      <c r="G13" s="14">
        <v>0.38</v>
      </c>
      <c r="H13" s="14">
        <v>0.44</v>
      </c>
      <c r="I13" s="14">
        <v>0.42</v>
      </c>
      <c r="J13" s="14">
        <v>0.35</v>
      </c>
      <c r="K13" s="14">
        <v>0.43</v>
      </c>
      <c r="L13" s="14">
        <v>0.49</v>
      </c>
      <c r="M13" s="14">
        <v>0.69000000000000006</v>
      </c>
      <c r="N13" s="14">
        <v>0.75</v>
      </c>
      <c r="O13" s="14">
        <v>0.53</v>
      </c>
      <c r="P13" s="14">
        <v>0.49</v>
      </c>
      <c r="Q13" s="14">
        <v>0.51</v>
      </c>
      <c r="R13" s="14">
        <v>0.69000000000000006</v>
      </c>
      <c r="S13" s="14">
        <v>0.45</v>
      </c>
      <c r="T13" s="14">
        <v>0.51</v>
      </c>
      <c r="U13" s="14">
        <v>0.43</v>
      </c>
      <c r="V13" s="14">
        <v>0.49</v>
      </c>
      <c r="W13" s="14">
        <v>0.55000000000000004</v>
      </c>
      <c r="X13" s="14">
        <v>0.36</v>
      </c>
      <c r="Y13" s="14">
        <v>0.43</v>
      </c>
      <c r="Z13" s="14">
        <v>0.41</v>
      </c>
      <c r="AA13" s="14">
        <v>0.56000000000000005</v>
      </c>
      <c r="AB13" s="14">
        <v>0.37</v>
      </c>
      <c r="AC13" s="14">
        <v>0.61</v>
      </c>
      <c r="AD13" s="14">
        <v>0.59</v>
      </c>
      <c r="AE13" s="14">
        <v>0.35</v>
      </c>
      <c r="AF13" s="14">
        <v>0.27</v>
      </c>
    </row>
    <row r="14" spans="1:32">
      <c r="A14" s="19"/>
      <c r="B14" s="11" t="s">
        <v>1061</v>
      </c>
      <c r="C14" s="12">
        <v>2912</v>
      </c>
      <c r="D14" s="12">
        <v>160</v>
      </c>
      <c r="E14" s="12">
        <v>64</v>
      </c>
      <c r="F14" s="12">
        <v>125</v>
      </c>
      <c r="G14" s="12">
        <v>264</v>
      </c>
      <c r="H14" s="12">
        <v>177</v>
      </c>
      <c r="I14" s="12">
        <v>220</v>
      </c>
      <c r="J14" s="12">
        <v>43</v>
      </c>
      <c r="K14" s="12">
        <v>150</v>
      </c>
      <c r="L14" s="12">
        <v>149</v>
      </c>
      <c r="M14" s="12">
        <v>67</v>
      </c>
      <c r="N14" s="12">
        <v>63</v>
      </c>
      <c r="O14" s="12">
        <v>78</v>
      </c>
      <c r="P14" s="12">
        <v>120</v>
      </c>
      <c r="Q14" s="12">
        <v>64</v>
      </c>
      <c r="R14" s="12">
        <v>49</v>
      </c>
      <c r="S14" s="12">
        <v>148</v>
      </c>
      <c r="T14" s="12">
        <v>91</v>
      </c>
      <c r="U14" s="12">
        <v>74</v>
      </c>
      <c r="V14" s="12">
        <v>74</v>
      </c>
      <c r="W14" s="12">
        <v>84</v>
      </c>
      <c r="X14" s="12">
        <v>263</v>
      </c>
      <c r="Y14" s="12">
        <v>113</v>
      </c>
      <c r="Z14" s="12">
        <v>77</v>
      </c>
      <c r="AA14" s="12">
        <v>34</v>
      </c>
      <c r="AB14" s="12">
        <v>70</v>
      </c>
      <c r="AC14" s="12">
        <v>90</v>
      </c>
      <c r="AD14" s="12">
        <v>121</v>
      </c>
      <c r="AE14" s="12">
        <v>293</v>
      </c>
      <c r="AF14" s="12">
        <v>424</v>
      </c>
    </row>
    <row r="15" spans="1:32">
      <c r="A15" s="19"/>
      <c r="B15" s="13" t="s">
        <v>1062</v>
      </c>
      <c r="C15" s="14">
        <v>0.31</v>
      </c>
      <c r="D15" s="14">
        <v>0.33</v>
      </c>
      <c r="E15" s="14">
        <v>0.26</v>
      </c>
      <c r="F15" s="14">
        <v>0.36</v>
      </c>
      <c r="G15" s="14">
        <v>0.48</v>
      </c>
      <c r="H15" s="14">
        <v>0.4</v>
      </c>
      <c r="I15" s="14">
        <v>0.42</v>
      </c>
      <c r="J15" s="14">
        <v>0.49</v>
      </c>
      <c r="K15" s="14">
        <v>0.38</v>
      </c>
      <c r="L15" s="14">
        <v>0.38</v>
      </c>
      <c r="M15" s="14">
        <v>0.24</v>
      </c>
      <c r="N15" s="14">
        <v>0.17</v>
      </c>
      <c r="O15" s="14">
        <v>0.21</v>
      </c>
      <c r="P15" s="14">
        <v>0.27</v>
      </c>
      <c r="Q15" s="14">
        <v>0.28000000000000003</v>
      </c>
      <c r="R15" s="14">
        <v>0.21</v>
      </c>
      <c r="S15" s="14">
        <v>0.36</v>
      </c>
      <c r="T15" s="14">
        <v>0.28000000000000003</v>
      </c>
      <c r="U15" s="14">
        <v>0.36</v>
      </c>
      <c r="V15" s="14">
        <v>0.23</v>
      </c>
      <c r="W15" s="14">
        <v>0.32</v>
      </c>
      <c r="X15" s="14">
        <v>0.45</v>
      </c>
      <c r="Y15" s="14">
        <v>0.34</v>
      </c>
      <c r="Z15" s="14">
        <v>0.23</v>
      </c>
      <c r="AA15" s="14">
        <v>0.25</v>
      </c>
      <c r="AB15" s="14">
        <v>0.28000000000000003</v>
      </c>
      <c r="AC15" s="14">
        <v>0.23</v>
      </c>
      <c r="AD15" s="14">
        <v>0.22</v>
      </c>
      <c r="AE15" s="14">
        <v>0.51</v>
      </c>
      <c r="AF15" s="14">
        <v>0.57000000000000006</v>
      </c>
    </row>
    <row r="16" spans="1:32">
      <c r="A16" s="19"/>
      <c r="B16" s="11" t="s">
        <v>676</v>
      </c>
      <c r="C16" s="12">
        <v>1710</v>
      </c>
      <c r="D16" s="12">
        <v>67</v>
      </c>
      <c r="E16" s="12">
        <v>32</v>
      </c>
      <c r="F16" s="12">
        <v>68</v>
      </c>
      <c r="G16" s="12">
        <v>66</v>
      </c>
      <c r="H16" s="12">
        <v>63</v>
      </c>
      <c r="I16" s="12">
        <v>77</v>
      </c>
      <c r="J16" s="12">
        <v>14</v>
      </c>
      <c r="K16" s="12">
        <v>69</v>
      </c>
      <c r="L16" s="12">
        <v>46</v>
      </c>
      <c r="M16" s="12">
        <v>15</v>
      </c>
      <c r="N16" s="12">
        <v>30</v>
      </c>
      <c r="O16" s="12">
        <v>86</v>
      </c>
      <c r="P16" s="12">
        <v>100</v>
      </c>
      <c r="Q16" s="12">
        <v>47</v>
      </c>
      <c r="R16" s="12">
        <v>22</v>
      </c>
      <c r="S16" s="12">
        <v>71</v>
      </c>
      <c r="T16" s="12">
        <v>54</v>
      </c>
      <c r="U16" s="12">
        <v>39</v>
      </c>
      <c r="V16" s="12">
        <v>86</v>
      </c>
      <c r="W16" s="12">
        <v>33</v>
      </c>
      <c r="X16" s="12">
        <v>109</v>
      </c>
      <c r="Y16" s="12">
        <v>73</v>
      </c>
      <c r="Z16" s="12">
        <v>115</v>
      </c>
      <c r="AA16" s="12">
        <v>23</v>
      </c>
      <c r="AB16" s="12">
        <v>90</v>
      </c>
      <c r="AC16" s="12">
        <v>57</v>
      </c>
      <c r="AD16" s="12">
        <v>102</v>
      </c>
      <c r="AE16" s="12">
        <v>73</v>
      </c>
      <c r="AF16" s="12">
        <v>112</v>
      </c>
    </row>
    <row r="17" spans="1:32">
      <c r="A17" s="19"/>
      <c r="B17" s="13" t="s">
        <v>677</v>
      </c>
      <c r="C17" s="14">
        <v>0.19</v>
      </c>
      <c r="D17" s="14">
        <v>0.14000000000000001</v>
      </c>
      <c r="E17" s="14">
        <v>0.13</v>
      </c>
      <c r="F17" s="14">
        <v>0.2</v>
      </c>
      <c r="G17" s="14">
        <v>0.12</v>
      </c>
      <c r="H17" s="14">
        <v>0.14000000000000001</v>
      </c>
      <c r="I17" s="14">
        <v>0.15</v>
      </c>
      <c r="J17" s="14">
        <v>0.16</v>
      </c>
      <c r="K17" s="14">
        <v>0.17</v>
      </c>
      <c r="L17" s="14">
        <v>0.12</v>
      </c>
      <c r="M17" s="14">
        <v>0.05</v>
      </c>
      <c r="N17" s="14">
        <v>0.08</v>
      </c>
      <c r="O17" s="14">
        <v>0.24</v>
      </c>
      <c r="P17" s="14">
        <v>0.23</v>
      </c>
      <c r="Q17" s="14">
        <v>0.21</v>
      </c>
      <c r="R17" s="14">
        <v>0.09</v>
      </c>
      <c r="S17" s="14">
        <v>0.17</v>
      </c>
      <c r="T17" s="14">
        <v>0.16</v>
      </c>
      <c r="U17" s="14">
        <v>0.19</v>
      </c>
      <c r="V17" s="14">
        <v>0.26</v>
      </c>
      <c r="W17" s="14">
        <v>0.13</v>
      </c>
      <c r="X17" s="14">
        <v>0.19</v>
      </c>
      <c r="Y17" s="14">
        <v>0.22</v>
      </c>
      <c r="Z17" s="14">
        <v>0.35</v>
      </c>
      <c r="AA17" s="14">
        <v>0.17</v>
      </c>
      <c r="AB17" s="14">
        <v>0.35</v>
      </c>
      <c r="AC17" s="14">
        <v>0.14000000000000001</v>
      </c>
      <c r="AD17" s="14">
        <v>0.18</v>
      </c>
      <c r="AE17" s="14">
        <v>0.13</v>
      </c>
      <c r="AF17" s="14">
        <v>0.15</v>
      </c>
    </row>
    <row r="18" spans="1:32">
      <c r="A18" s="19"/>
      <c r="B18" s="11" t="s">
        <v>386</v>
      </c>
      <c r="C18" s="12">
        <v>100</v>
      </c>
      <c r="D18" s="12">
        <v>1</v>
      </c>
      <c r="E18" s="12">
        <v>0</v>
      </c>
      <c r="F18" s="12">
        <v>10</v>
      </c>
      <c r="G18" s="12">
        <v>8</v>
      </c>
      <c r="H18" s="12">
        <v>8</v>
      </c>
      <c r="I18" s="12">
        <v>8</v>
      </c>
      <c r="J18" s="12">
        <v>0</v>
      </c>
      <c r="K18" s="12">
        <v>7</v>
      </c>
      <c r="L18" s="12">
        <v>3</v>
      </c>
      <c r="M18" s="12">
        <v>4</v>
      </c>
      <c r="N18" s="12">
        <v>1</v>
      </c>
      <c r="O18" s="12">
        <v>7</v>
      </c>
      <c r="P18" s="12">
        <v>3</v>
      </c>
      <c r="Q18" s="12">
        <v>1</v>
      </c>
      <c r="R18" s="12">
        <v>2</v>
      </c>
      <c r="S18" s="12">
        <v>8</v>
      </c>
      <c r="T18" s="12">
        <v>18</v>
      </c>
      <c r="U18" s="12">
        <v>3</v>
      </c>
      <c r="V18" s="12">
        <v>7</v>
      </c>
      <c r="W18" s="12">
        <v>0</v>
      </c>
      <c r="X18" s="12">
        <v>1</v>
      </c>
      <c r="Y18" s="12">
        <v>2</v>
      </c>
      <c r="Z18" s="12">
        <v>2</v>
      </c>
      <c r="AA18" s="12">
        <v>3</v>
      </c>
      <c r="AB18" s="12">
        <v>0</v>
      </c>
      <c r="AC18" s="12">
        <v>8</v>
      </c>
      <c r="AD18" s="12">
        <v>6</v>
      </c>
      <c r="AE18" s="12">
        <v>7</v>
      </c>
      <c r="AF18" s="12">
        <v>8</v>
      </c>
    </row>
    <row r="19" spans="1:32">
      <c r="A19" s="19"/>
      <c r="B19" s="13" t="s">
        <v>399</v>
      </c>
      <c r="C19" s="14">
        <v>0.01</v>
      </c>
      <c r="D19" s="15" t="s">
        <v>375</v>
      </c>
      <c r="E19" s="15" t="s">
        <v>375</v>
      </c>
      <c r="F19" s="14">
        <v>0.03</v>
      </c>
      <c r="G19" s="14">
        <v>0.02</v>
      </c>
      <c r="H19" s="14">
        <v>0.02</v>
      </c>
      <c r="I19" s="14">
        <v>0.01</v>
      </c>
      <c r="J19" s="15" t="s">
        <v>375</v>
      </c>
      <c r="K19" s="14">
        <v>0.02</v>
      </c>
      <c r="L19" s="14">
        <v>0.01</v>
      </c>
      <c r="M19" s="14">
        <v>0.02</v>
      </c>
      <c r="N19" s="15" t="s">
        <v>375</v>
      </c>
      <c r="O19" s="14">
        <v>0.02</v>
      </c>
      <c r="P19" s="14">
        <v>0.01</v>
      </c>
      <c r="Q19" s="15" t="s">
        <v>375</v>
      </c>
      <c r="R19" s="14">
        <v>0.01</v>
      </c>
      <c r="S19" s="14">
        <v>0.02</v>
      </c>
      <c r="T19" s="14">
        <v>0.05</v>
      </c>
      <c r="U19" s="14">
        <v>0.02</v>
      </c>
      <c r="V19" s="14">
        <v>0.02</v>
      </c>
      <c r="W19" s="15" t="s">
        <v>375</v>
      </c>
      <c r="X19" s="15" t="s">
        <v>375</v>
      </c>
      <c r="Y19" s="14">
        <v>0.01</v>
      </c>
      <c r="Z19" s="14">
        <v>0.01</v>
      </c>
      <c r="AA19" s="14">
        <v>0.02</v>
      </c>
      <c r="AB19" s="15" t="s">
        <v>375</v>
      </c>
      <c r="AC19" s="14">
        <v>0.02</v>
      </c>
      <c r="AD19" s="14">
        <v>0.01</v>
      </c>
      <c r="AE19" s="14">
        <v>0.01</v>
      </c>
      <c r="AF19" s="14">
        <v>0.01</v>
      </c>
    </row>
    <row r="20" spans="1:32">
      <c r="A20" s="19"/>
      <c r="B20" s="11" t="s">
        <v>678</v>
      </c>
      <c r="C20" s="12">
        <v>7453</v>
      </c>
      <c r="D20" s="12">
        <v>421</v>
      </c>
      <c r="E20" s="12">
        <v>213</v>
      </c>
      <c r="F20" s="12">
        <v>269</v>
      </c>
      <c r="G20" s="12">
        <v>473</v>
      </c>
      <c r="H20" s="12">
        <v>370</v>
      </c>
      <c r="I20" s="12">
        <v>444</v>
      </c>
      <c r="J20" s="12">
        <v>74</v>
      </c>
      <c r="K20" s="12">
        <v>323</v>
      </c>
      <c r="L20" s="12">
        <v>344</v>
      </c>
      <c r="M20" s="12">
        <v>260</v>
      </c>
      <c r="N20" s="12">
        <v>349</v>
      </c>
      <c r="O20" s="12">
        <v>268</v>
      </c>
      <c r="P20" s="12">
        <v>334</v>
      </c>
      <c r="Q20" s="12">
        <v>180</v>
      </c>
      <c r="R20" s="12">
        <v>207</v>
      </c>
      <c r="S20" s="12">
        <v>332</v>
      </c>
      <c r="T20" s="12">
        <v>261</v>
      </c>
      <c r="U20" s="12">
        <v>162</v>
      </c>
      <c r="V20" s="12">
        <v>233</v>
      </c>
      <c r="W20" s="12">
        <v>227</v>
      </c>
      <c r="X20" s="12">
        <v>477</v>
      </c>
      <c r="Y20" s="12">
        <v>255</v>
      </c>
      <c r="Z20" s="12">
        <v>213</v>
      </c>
      <c r="AA20" s="12">
        <v>109</v>
      </c>
      <c r="AB20" s="12">
        <v>165</v>
      </c>
      <c r="AC20" s="12">
        <v>333</v>
      </c>
      <c r="AD20" s="12">
        <v>455</v>
      </c>
      <c r="AE20" s="12">
        <v>491</v>
      </c>
      <c r="AF20" s="12">
        <v>625</v>
      </c>
    </row>
    <row r="21" spans="1:32">
      <c r="A21" s="19"/>
      <c r="B21" s="13" t="s">
        <v>679</v>
      </c>
      <c r="C21" s="14">
        <v>0.8</v>
      </c>
      <c r="D21" s="14">
        <v>0.86</v>
      </c>
      <c r="E21" s="14">
        <v>0.87</v>
      </c>
      <c r="F21" s="14">
        <v>0.77</v>
      </c>
      <c r="G21" s="14">
        <v>0.86</v>
      </c>
      <c r="H21" s="14">
        <v>0.84</v>
      </c>
      <c r="I21" s="14">
        <v>0.84</v>
      </c>
      <c r="J21" s="14">
        <v>0.84</v>
      </c>
      <c r="K21" s="14">
        <v>0.81</v>
      </c>
      <c r="L21" s="14">
        <v>0.87</v>
      </c>
      <c r="M21" s="14">
        <v>0.93</v>
      </c>
      <c r="N21" s="14">
        <v>0.92</v>
      </c>
      <c r="O21" s="14">
        <v>0.74</v>
      </c>
      <c r="P21" s="14">
        <v>0.76</v>
      </c>
      <c r="Q21" s="14">
        <v>0.79</v>
      </c>
      <c r="R21" s="14">
        <v>0.9</v>
      </c>
      <c r="S21" s="14">
        <v>0.81</v>
      </c>
      <c r="T21" s="14">
        <v>0.79</v>
      </c>
      <c r="U21" s="14">
        <v>0.79</v>
      </c>
      <c r="V21" s="14">
        <v>0.72</v>
      </c>
      <c r="W21" s="14">
        <v>0.87</v>
      </c>
      <c r="X21" s="14">
        <v>0.81</v>
      </c>
      <c r="Y21" s="14">
        <v>0.77</v>
      </c>
      <c r="Z21" s="14">
        <v>0.64</v>
      </c>
      <c r="AA21" s="14">
        <v>0.81</v>
      </c>
      <c r="AB21" s="14">
        <v>0.65</v>
      </c>
      <c r="AC21" s="14">
        <v>0.84</v>
      </c>
      <c r="AD21" s="14">
        <v>0.81</v>
      </c>
      <c r="AE21" s="14">
        <v>0.86</v>
      </c>
      <c r="AF21" s="14">
        <v>0.84</v>
      </c>
    </row>
    <row r="22" spans="1:32">
      <c r="A22" s="19"/>
      <c r="B22" s="11" t="s">
        <v>846</v>
      </c>
      <c r="C22" s="12">
        <v>1710</v>
      </c>
      <c r="D22" s="12">
        <v>67</v>
      </c>
      <c r="E22" s="12">
        <v>32</v>
      </c>
      <c r="F22" s="12">
        <v>68</v>
      </c>
      <c r="G22" s="12">
        <v>66</v>
      </c>
      <c r="H22" s="12">
        <v>63</v>
      </c>
      <c r="I22" s="12">
        <v>77</v>
      </c>
      <c r="J22" s="12">
        <v>14</v>
      </c>
      <c r="K22" s="12">
        <v>69</v>
      </c>
      <c r="L22" s="12">
        <v>46</v>
      </c>
      <c r="M22" s="12">
        <v>15</v>
      </c>
      <c r="N22" s="12">
        <v>30</v>
      </c>
      <c r="O22" s="12">
        <v>86</v>
      </c>
      <c r="P22" s="12">
        <v>100</v>
      </c>
      <c r="Q22" s="12">
        <v>47</v>
      </c>
      <c r="R22" s="12">
        <v>22</v>
      </c>
      <c r="S22" s="12">
        <v>71</v>
      </c>
      <c r="T22" s="12">
        <v>54</v>
      </c>
      <c r="U22" s="12">
        <v>39</v>
      </c>
      <c r="V22" s="12">
        <v>86</v>
      </c>
      <c r="W22" s="12">
        <v>33</v>
      </c>
      <c r="X22" s="12">
        <v>109</v>
      </c>
      <c r="Y22" s="12">
        <v>73</v>
      </c>
      <c r="Z22" s="12">
        <v>115</v>
      </c>
      <c r="AA22" s="12">
        <v>23</v>
      </c>
      <c r="AB22" s="12">
        <v>90</v>
      </c>
      <c r="AC22" s="12">
        <v>57</v>
      </c>
      <c r="AD22" s="12">
        <v>102</v>
      </c>
      <c r="AE22" s="12">
        <v>73</v>
      </c>
      <c r="AF22" s="12">
        <v>112</v>
      </c>
    </row>
    <row r="23" spans="1:32">
      <c r="A23" s="19"/>
      <c r="B23" s="13" t="s">
        <v>847</v>
      </c>
      <c r="C23" s="14">
        <v>0.19</v>
      </c>
      <c r="D23" s="14">
        <v>0.14000000000000001</v>
      </c>
      <c r="E23" s="14">
        <v>0.13</v>
      </c>
      <c r="F23" s="14">
        <v>0.2</v>
      </c>
      <c r="G23" s="14">
        <v>0.12</v>
      </c>
      <c r="H23" s="14">
        <v>0.14000000000000001</v>
      </c>
      <c r="I23" s="14">
        <v>0.15</v>
      </c>
      <c r="J23" s="14">
        <v>0.16</v>
      </c>
      <c r="K23" s="14">
        <v>0.17</v>
      </c>
      <c r="L23" s="14">
        <v>0.12</v>
      </c>
      <c r="M23" s="14">
        <v>0.05</v>
      </c>
      <c r="N23" s="14">
        <v>0.08</v>
      </c>
      <c r="O23" s="14">
        <v>0.24</v>
      </c>
      <c r="P23" s="14">
        <v>0.23</v>
      </c>
      <c r="Q23" s="14">
        <v>0.21</v>
      </c>
      <c r="R23" s="14">
        <v>0.09</v>
      </c>
      <c r="S23" s="14">
        <v>0.17</v>
      </c>
      <c r="T23" s="14">
        <v>0.16</v>
      </c>
      <c r="U23" s="14">
        <v>0.19</v>
      </c>
      <c r="V23" s="14">
        <v>0.26</v>
      </c>
      <c r="W23" s="14">
        <v>0.13</v>
      </c>
      <c r="X23" s="14">
        <v>0.19</v>
      </c>
      <c r="Y23" s="14">
        <v>0.22</v>
      </c>
      <c r="Z23" s="14">
        <v>0.35</v>
      </c>
      <c r="AA23" s="14">
        <v>0.17</v>
      </c>
      <c r="AB23" s="14">
        <v>0.35</v>
      </c>
      <c r="AC23" s="14">
        <v>0.14000000000000001</v>
      </c>
      <c r="AD23" s="14">
        <v>0.18</v>
      </c>
      <c r="AE23" s="14">
        <v>0.13</v>
      </c>
      <c r="AF23" s="14">
        <v>0.15</v>
      </c>
    </row>
  </sheetData>
  <mergeCells count="10">
    <mergeCell ref="H3:L3"/>
    <mergeCell ref="C8:AF8"/>
    <mergeCell ref="B3:F3"/>
    <mergeCell ref="B5:F5"/>
    <mergeCell ref="A10:A19"/>
    <mergeCell ref="A20:A23"/>
    <mergeCell ref="H5:L5"/>
    <mergeCell ref="B10:B11"/>
    <mergeCell ref="H4:L4"/>
    <mergeCell ref="B4:F4"/>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205</v>
      </c>
      <c r="C3" s="17"/>
      <c r="D3" s="17"/>
      <c r="E3" s="17"/>
      <c r="F3" s="17"/>
      <c r="H3" s="17" t="s">
        <v>206</v>
      </c>
      <c r="I3" s="17"/>
      <c r="J3" s="17"/>
      <c r="K3" s="17"/>
      <c r="L3" s="17"/>
    </row>
    <row r="4" spans="1:32" ht="27" customHeight="1">
      <c r="B4" s="17"/>
      <c r="C4" s="17"/>
      <c r="D4" s="17"/>
      <c r="E4" s="17"/>
      <c r="F4" s="17"/>
      <c r="H4" s="17"/>
      <c r="I4" s="17"/>
      <c r="J4" s="17"/>
      <c r="K4" s="17"/>
      <c r="L4" s="17"/>
    </row>
    <row r="5" spans="1:32" ht="12" customHeight="1">
      <c r="B5" s="17" t="s">
        <v>1056</v>
      </c>
      <c r="C5" s="17"/>
      <c r="D5" s="17"/>
      <c r="E5" s="17"/>
      <c r="F5" s="17"/>
      <c r="H5" s="17" t="s">
        <v>1057</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9262</v>
      </c>
      <c r="D10" s="10">
        <v>489</v>
      </c>
      <c r="E10" s="10">
        <v>245</v>
      </c>
      <c r="F10" s="10">
        <v>349</v>
      </c>
      <c r="G10" s="10">
        <v>547</v>
      </c>
      <c r="H10" s="10">
        <v>441</v>
      </c>
      <c r="I10" s="10">
        <v>529</v>
      </c>
      <c r="J10" s="10">
        <v>88</v>
      </c>
      <c r="K10" s="10">
        <v>400</v>
      </c>
      <c r="L10" s="10">
        <v>394</v>
      </c>
      <c r="M10" s="10">
        <v>279</v>
      </c>
      <c r="N10" s="10">
        <v>380</v>
      </c>
      <c r="O10" s="10">
        <v>361</v>
      </c>
      <c r="P10" s="10">
        <v>437</v>
      </c>
      <c r="Q10" s="10">
        <v>228</v>
      </c>
      <c r="R10" s="10">
        <v>232</v>
      </c>
      <c r="S10" s="10">
        <v>411</v>
      </c>
      <c r="T10" s="10">
        <v>332</v>
      </c>
      <c r="U10" s="10">
        <v>205</v>
      </c>
      <c r="V10" s="10">
        <v>326</v>
      </c>
      <c r="W10" s="10">
        <v>261</v>
      </c>
      <c r="X10" s="10">
        <v>586</v>
      </c>
      <c r="Y10" s="10">
        <v>330</v>
      </c>
      <c r="Z10" s="10">
        <v>329</v>
      </c>
      <c r="AA10" s="10">
        <v>135</v>
      </c>
      <c r="AB10" s="10">
        <v>255</v>
      </c>
      <c r="AC10" s="10">
        <v>398</v>
      </c>
      <c r="AD10" s="10">
        <v>563</v>
      </c>
      <c r="AE10" s="10">
        <v>571</v>
      </c>
      <c r="AF10" s="10">
        <v>745</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1063</v>
      </c>
      <c r="C12" s="12">
        <v>2770</v>
      </c>
      <c r="D12" s="12">
        <v>173</v>
      </c>
      <c r="E12" s="12">
        <v>30</v>
      </c>
      <c r="F12" s="12">
        <v>63</v>
      </c>
      <c r="G12" s="12">
        <v>218</v>
      </c>
      <c r="H12" s="12">
        <v>157</v>
      </c>
      <c r="I12" s="12">
        <v>170</v>
      </c>
      <c r="J12" s="12">
        <v>13</v>
      </c>
      <c r="K12" s="12">
        <v>59</v>
      </c>
      <c r="L12" s="12">
        <v>129</v>
      </c>
      <c r="M12" s="12">
        <v>58</v>
      </c>
      <c r="N12" s="12">
        <v>115</v>
      </c>
      <c r="O12" s="12">
        <v>132</v>
      </c>
      <c r="P12" s="12">
        <v>95</v>
      </c>
      <c r="Q12" s="12">
        <v>77</v>
      </c>
      <c r="R12" s="12">
        <v>47</v>
      </c>
      <c r="S12" s="12">
        <v>122</v>
      </c>
      <c r="T12" s="12">
        <v>75</v>
      </c>
      <c r="U12" s="12">
        <v>83</v>
      </c>
      <c r="V12" s="12">
        <v>50</v>
      </c>
      <c r="W12" s="12">
        <v>86</v>
      </c>
      <c r="X12" s="12">
        <v>223</v>
      </c>
      <c r="Y12" s="12">
        <v>79</v>
      </c>
      <c r="Z12" s="12">
        <v>40</v>
      </c>
      <c r="AA12" s="12">
        <v>27</v>
      </c>
      <c r="AB12" s="12">
        <v>47</v>
      </c>
      <c r="AC12" s="12">
        <v>93</v>
      </c>
      <c r="AD12" s="12">
        <v>87</v>
      </c>
      <c r="AE12" s="12">
        <v>185</v>
      </c>
      <c r="AF12" s="12">
        <v>299</v>
      </c>
    </row>
    <row r="13" spans="1:32">
      <c r="A13" s="19"/>
      <c r="B13" s="13" t="s">
        <v>1064</v>
      </c>
      <c r="C13" s="14">
        <v>0.3</v>
      </c>
      <c r="D13" s="14">
        <v>0.35</v>
      </c>
      <c r="E13" s="14">
        <v>0.12</v>
      </c>
      <c r="F13" s="14">
        <v>0.18</v>
      </c>
      <c r="G13" s="14">
        <v>0.4</v>
      </c>
      <c r="H13" s="14">
        <v>0.36</v>
      </c>
      <c r="I13" s="14">
        <v>0.32</v>
      </c>
      <c r="J13" s="14">
        <v>0.14000000000000001</v>
      </c>
      <c r="K13" s="14">
        <v>0.15</v>
      </c>
      <c r="L13" s="14">
        <v>0.33</v>
      </c>
      <c r="M13" s="14">
        <v>0.21</v>
      </c>
      <c r="N13" s="14">
        <v>0.3</v>
      </c>
      <c r="O13" s="14">
        <v>0.37</v>
      </c>
      <c r="P13" s="14">
        <v>0.22</v>
      </c>
      <c r="Q13" s="14">
        <v>0.34</v>
      </c>
      <c r="R13" s="14">
        <v>0.2</v>
      </c>
      <c r="S13" s="14">
        <v>0.3</v>
      </c>
      <c r="T13" s="14">
        <v>0.23</v>
      </c>
      <c r="U13" s="14">
        <v>0.41</v>
      </c>
      <c r="V13" s="14">
        <v>0.15</v>
      </c>
      <c r="W13" s="14">
        <v>0.33</v>
      </c>
      <c r="X13" s="14">
        <v>0.38</v>
      </c>
      <c r="Y13" s="14">
        <v>0.24</v>
      </c>
      <c r="Z13" s="14">
        <v>0.12</v>
      </c>
      <c r="AA13" s="14">
        <v>0.2</v>
      </c>
      <c r="AB13" s="14">
        <v>0.18</v>
      </c>
      <c r="AC13" s="14">
        <v>0.23</v>
      </c>
      <c r="AD13" s="14">
        <v>0.15</v>
      </c>
      <c r="AE13" s="14">
        <v>0.32</v>
      </c>
      <c r="AF13" s="14">
        <v>0.4</v>
      </c>
    </row>
    <row r="14" spans="1:32">
      <c r="A14" s="19"/>
      <c r="B14" s="11" t="s">
        <v>1065</v>
      </c>
      <c r="C14" s="12">
        <v>320</v>
      </c>
      <c r="D14" s="12">
        <v>15</v>
      </c>
      <c r="E14" s="12">
        <v>17</v>
      </c>
      <c r="F14" s="12">
        <v>15</v>
      </c>
      <c r="G14" s="12">
        <v>5</v>
      </c>
      <c r="H14" s="12">
        <v>21</v>
      </c>
      <c r="I14" s="12">
        <v>21</v>
      </c>
      <c r="J14" s="12">
        <v>0</v>
      </c>
      <c r="K14" s="12">
        <v>9</v>
      </c>
      <c r="L14" s="12">
        <v>9</v>
      </c>
      <c r="M14" s="12">
        <v>1</v>
      </c>
      <c r="N14" s="12">
        <v>3</v>
      </c>
      <c r="O14" s="12">
        <v>4</v>
      </c>
      <c r="P14" s="12">
        <v>17</v>
      </c>
      <c r="Q14" s="12">
        <v>27</v>
      </c>
      <c r="R14" s="12">
        <v>4</v>
      </c>
      <c r="S14" s="12">
        <v>8</v>
      </c>
      <c r="T14" s="12">
        <v>10</v>
      </c>
      <c r="U14" s="12">
        <v>3</v>
      </c>
      <c r="V14" s="12">
        <v>16</v>
      </c>
      <c r="W14" s="12">
        <v>12</v>
      </c>
      <c r="X14" s="12">
        <v>12</v>
      </c>
      <c r="Y14" s="12">
        <v>27</v>
      </c>
      <c r="Z14" s="12">
        <v>21</v>
      </c>
      <c r="AA14" s="12">
        <v>1</v>
      </c>
      <c r="AB14" s="12">
        <v>4</v>
      </c>
      <c r="AC14" s="12">
        <v>4</v>
      </c>
      <c r="AD14" s="12">
        <v>20</v>
      </c>
      <c r="AE14" s="12">
        <v>8</v>
      </c>
      <c r="AF14" s="12">
        <v>5</v>
      </c>
    </row>
    <row r="15" spans="1:32">
      <c r="A15" s="19"/>
      <c r="B15" s="13" t="s">
        <v>1066</v>
      </c>
      <c r="C15" s="14">
        <v>0.03</v>
      </c>
      <c r="D15" s="14">
        <v>0.03</v>
      </c>
      <c r="E15" s="14">
        <v>7.0000000000000007E-2</v>
      </c>
      <c r="F15" s="14">
        <v>0.04</v>
      </c>
      <c r="G15" s="14">
        <v>0.01</v>
      </c>
      <c r="H15" s="14">
        <v>0.05</v>
      </c>
      <c r="I15" s="14">
        <v>0.04</v>
      </c>
      <c r="J15" s="15" t="s">
        <v>375</v>
      </c>
      <c r="K15" s="14">
        <v>0.02</v>
      </c>
      <c r="L15" s="14">
        <v>0.02</v>
      </c>
      <c r="M15" s="15" t="s">
        <v>375</v>
      </c>
      <c r="N15" s="14">
        <v>0.01</v>
      </c>
      <c r="O15" s="14">
        <v>0.01</v>
      </c>
      <c r="P15" s="14">
        <v>0.04</v>
      </c>
      <c r="Q15" s="14">
        <v>0.12</v>
      </c>
      <c r="R15" s="14">
        <v>0.02</v>
      </c>
      <c r="S15" s="14">
        <v>0.02</v>
      </c>
      <c r="T15" s="14">
        <v>0.03</v>
      </c>
      <c r="U15" s="14">
        <v>0.01</v>
      </c>
      <c r="V15" s="14">
        <v>0.05</v>
      </c>
      <c r="W15" s="14">
        <v>0.05</v>
      </c>
      <c r="X15" s="14">
        <v>0.02</v>
      </c>
      <c r="Y15" s="14">
        <v>0.08</v>
      </c>
      <c r="Z15" s="14">
        <v>0.06</v>
      </c>
      <c r="AA15" s="14">
        <v>0.01</v>
      </c>
      <c r="AB15" s="14">
        <v>0.01</v>
      </c>
      <c r="AC15" s="14">
        <v>0.01</v>
      </c>
      <c r="AD15" s="14">
        <v>0.04</v>
      </c>
      <c r="AE15" s="14">
        <v>0.01</v>
      </c>
      <c r="AF15" s="14">
        <v>0.01</v>
      </c>
    </row>
    <row r="16" spans="1:32">
      <c r="A16" s="19"/>
      <c r="B16" s="11" t="s">
        <v>1067</v>
      </c>
      <c r="C16" s="12">
        <v>449</v>
      </c>
      <c r="D16" s="12">
        <v>40</v>
      </c>
      <c r="E16" s="12">
        <v>6</v>
      </c>
      <c r="F16" s="12">
        <v>26</v>
      </c>
      <c r="G16" s="12">
        <v>10</v>
      </c>
      <c r="H16" s="12">
        <v>14</v>
      </c>
      <c r="I16" s="12">
        <v>16</v>
      </c>
      <c r="J16" s="12">
        <v>2</v>
      </c>
      <c r="K16" s="12">
        <v>23</v>
      </c>
      <c r="L16" s="12">
        <v>6</v>
      </c>
      <c r="M16" s="12">
        <v>4</v>
      </c>
      <c r="N16" s="12">
        <v>2</v>
      </c>
      <c r="O16" s="12">
        <v>15</v>
      </c>
      <c r="P16" s="12">
        <v>40</v>
      </c>
      <c r="Q16" s="12">
        <v>28</v>
      </c>
      <c r="R16" s="12">
        <v>5</v>
      </c>
      <c r="S16" s="12">
        <v>6</v>
      </c>
      <c r="T16" s="12">
        <v>5</v>
      </c>
      <c r="U16" s="12">
        <v>6</v>
      </c>
      <c r="V16" s="12">
        <v>48</v>
      </c>
      <c r="W16" s="12">
        <v>13</v>
      </c>
      <c r="X16" s="12">
        <v>24</v>
      </c>
      <c r="Y16" s="12">
        <v>40</v>
      </c>
      <c r="Z16" s="12">
        <v>34</v>
      </c>
      <c r="AA16" s="12">
        <v>3</v>
      </c>
      <c r="AB16" s="12">
        <v>7</v>
      </c>
      <c r="AC16" s="12">
        <v>14</v>
      </c>
      <c r="AD16" s="12">
        <v>19</v>
      </c>
      <c r="AE16" s="12">
        <v>9</v>
      </c>
      <c r="AF16" s="12">
        <v>14</v>
      </c>
    </row>
    <row r="17" spans="1:32">
      <c r="A17" s="19"/>
      <c r="B17" s="13" t="s">
        <v>1068</v>
      </c>
      <c r="C17" s="14">
        <v>0.05</v>
      </c>
      <c r="D17" s="14">
        <v>0.08</v>
      </c>
      <c r="E17" s="14">
        <v>0.03</v>
      </c>
      <c r="F17" s="14">
        <v>7.0000000000000007E-2</v>
      </c>
      <c r="G17" s="14">
        <v>0.02</v>
      </c>
      <c r="H17" s="14">
        <v>0.03</v>
      </c>
      <c r="I17" s="14">
        <v>0.03</v>
      </c>
      <c r="J17" s="14">
        <v>0.02</v>
      </c>
      <c r="K17" s="14">
        <v>0.06</v>
      </c>
      <c r="L17" s="14">
        <v>0.01</v>
      </c>
      <c r="M17" s="14">
        <v>0.01</v>
      </c>
      <c r="N17" s="14">
        <v>0.01</v>
      </c>
      <c r="O17" s="14">
        <v>0.04</v>
      </c>
      <c r="P17" s="14">
        <v>0.09</v>
      </c>
      <c r="Q17" s="14">
        <v>0.12</v>
      </c>
      <c r="R17" s="14">
        <v>0.02</v>
      </c>
      <c r="S17" s="14">
        <v>0.01</v>
      </c>
      <c r="T17" s="14">
        <v>0.01</v>
      </c>
      <c r="U17" s="14">
        <v>0.03</v>
      </c>
      <c r="V17" s="14">
        <v>0.15</v>
      </c>
      <c r="W17" s="14">
        <v>0.05</v>
      </c>
      <c r="X17" s="14">
        <v>0.04</v>
      </c>
      <c r="Y17" s="14">
        <v>0.12</v>
      </c>
      <c r="Z17" s="14">
        <v>0.1</v>
      </c>
      <c r="AA17" s="14">
        <v>0.02</v>
      </c>
      <c r="AB17" s="14">
        <v>0.03</v>
      </c>
      <c r="AC17" s="14">
        <v>0.04</v>
      </c>
      <c r="AD17" s="14">
        <v>0.03</v>
      </c>
      <c r="AE17" s="14">
        <v>0.02</v>
      </c>
      <c r="AF17" s="14">
        <v>0.02</v>
      </c>
    </row>
    <row r="18" spans="1:32">
      <c r="A18" s="19"/>
      <c r="B18" s="11" t="s">
        <v>1069</v>
      </c>
      <c r="C18" s="12">
        <v>725</v>
      </c>
      <c r="D18" s="12">
        <v>31</v>
      </c>
      <c r="E18" s="12">
        <v>21</v>
      </c>
      <c r="F18" s="12">
        <v>17</v>
      </c>
      <c r="G18" s="12">
        <v>36</v>
      </c>
      <c r="H18" s="12">
        <v>48</v>
      </c>
      <c r="I18" s="12">
        <v>52</v>
      </c>
      <c r="J18" s="12">
        <v>4</v>
      </c>
      <c r="K18" s="12">
        <v>34</v>
      </c>
      <c r="L18" s="12">
        <v>19</v>
      </c>
      <c r="M18" s="12">
        <v>8</v>
      </c>
      <c r="N18" s="12">
        <v>9</v>
      </c>
      <c r="O18" s="12">
        <v>22</v>
      </c>
      <c r="P18" s="12">
        <v>45</v>
      </c>
      <c r="Q18" s="12">
        <v>29</v>
      </c>
      <c r="R18" s="12">
        <v>4</v>
      </c>
      <c r="S18" s="12">
        <v>13</v>
      </c>
      <c r="T18" s="12">
        <v>13</v>
      </c>
      <c r="U18" s="12">
        <v>9</v>
      </c>
      <c r="V18" s="12">
        <v>39</v>
      </c>
      <c r="W18" s="12">
        <v>25</v>
      </c>
      <c r="X18" s="12">
        <v>40</v>
      </c>
      <c r="Y18" s="12">
        <v>46</v>
      </c>
      <c r="Z18" s="12">
        <v>38</v>
      </c>
      <c r="AA18" s="12">
        <v>3</v>
      </c>
      <c r="AB18" s="12">
        <v>15</v>
      </c>
      <c r="AC18" s="12">
        <v>31</v>
      </c>
      <c r="AD18" s="12">
        <v>37</v>
      </c>
      <c r="AE18" s="12">
        <v>40</v>
      </c>
      <c r="AF18" s="12">
        <v>85</v>
      </c>
    </row>
    <row r="19" spans="1:32">
      <c r="A19" s="19"/>
      <c r="B19" s="13" t="s">
        <v>1070</v>
      </c>
      <c r="C19" s="14">
        <v>0.08</v>
      </c>
      <c r="D19" s="14">
        <v>0.06</v>
      </c>
      <c r="E19" s="14">
        <v>0.09</v>
      </c>
      <c r="F19" s="14">
        <v>0.05</v>
      </c>
      <c r="G19" s="14">
        <v>7.0000000000000007E-2</v>
      </c>
      <c r="H19" s="14">
        <v>0.11</v>
      </c>
      <c r="I19" s="14">
        <v>0.1</v>
      </c>
      <c r="J19" s="14">
        <v>0.05</v>
      </c>
      <c r="K19" s="14">
        <v>0.08</v>
      </c>
      <c r="L19" s="14">
        <v>0.05</v>
      </c>
      <c r="M19" s="14">
        <v>0.03</v>
      </c>
      <c r="N19" s="14">
        <v>0.02</v>
      </c>
      <c r="O19" s="14">
        <v>0.06</v>
      </c>
      <c r="P19" s="14">
        <v>0.1</v>
      </c>
      <c r="Q19" s="14">
        <v>0.13</v>
      </c>
      <c r="R19" s="14">
        <v>0.02</v>
      </c>
      <c r="S19" s="14">
        <v>0.03</v>
      </c>
      <c r="T19" s="14">
        <v>0.04</v>
      </c>
      <c r="U19" s="14">
        <v>0.05</v>
      </c>
      <c r="V19" s="14">
        <v>0.12</v>
      </c>
      <c r="W19" s="14">
        <v>0.1</v>
      </c>
      <c r="X19" s="14">
        <v>7.0000000000000007E-2</v>
      </c>
      <c r="Y19" s="14">
        <v>0.14000000000000001</v>
      </c>
      <c r="Z19" s="14">
        <v>0.12</v>
      </c>
      <c r="AA19" s="14">
        <v>0.02</v>
      </c>
      <c r="AB19" s="14">
        <v>0.06</v>
      </c>
      <c r="AC19" s="14">
        <v>0.08</v>
      </c>
      <c r="AD19" s="14">
        <v>7.0000000000000007E-2</v>
      </c>
      <c r="AE19" s="14">
        <v>7.0000000000000007E-2</v>
      </c>
      <c r="AF19" s="14">
        <v>0.11</v>
      </c>
    </row>
    <row r="20" spans="1:32">
      <c r="A20" s="19"/>
      <c r="B20" s="11" t="s">
        <v>1071</v>
      </c>
      <c r="C20" s="12">
        <v>715</v>
      </c>
      <c r="D20" s="12">
        <v>36</v>
      </c>
      <c r="E20" s="12">
        <v>29</v>
      </c>
      <c r="F20" s="12">
        <v>24</v>
      </c>
      <c r="G20" s="12">
        <v>34</v>
      </c>
      <c r="H20" s="12">
        <v>37</v>
      </c>
      <c r="I20" s="12">
        <v>45</v>
      </c>
      <c r="J20" s="12">
        <v>8</v>
      </c>
      <c r="K20" s="12">
        <v>25</v>
      </c>
      <c r="L20" s="12">
        <v>26</v>
      </c>
      <c r="M20" s="12">
        <v>38</v>
      </c>
      <c r="N20" s="12">
        <v>10</v>
      </c>
      <c r="O20" s="12">
        <v>22</v>
      </c>
      <c r="P20" s="12">
        <v>74</v>
      </c>
      <c r="Q20" s="12">
        <v>26</v>
      </c>
      <c r="R20" s="12">
        <v>16</v>
      </c>
      <c r="S20" s="12">
        <v>20</v>
      </c>
      <c r="T20" s="12">
        <v>24</v>
      </c>
      <c r="U20" s="12">
        <v>10</v>
      </c>
      <c r="V20" s="12">
        <v>25</v>
      </c>
      <c r="W20" s="12">
        <v>22</v>
      </c>
      <c r="X20" s="12">
        <v>42</v>
      </c>
      <c r="Y20" s="12">
        <v>46</v>
      </c>
      <c r="Z20" s="12">
        <v>23</v>
      </c>
      <c r="AA20" s="12">
        <v>6</v>
      </c>
      <c r="AB20" s="12">
        <v>17</v>
      </c>
      <c r="AC20" s="12">
        <v>48</v>
      </c>
      <c r="AD20" s="12">
        <v>58</v>
      </c>
      <c r="AE20" s="12">
        <v>76</v>
      </c>
      <c r="AF20" s="12">
        <v>71</v>
      </c>
    </row>
    <row r="21" spans="1:32">
      <c r="A21" s="19"/>
      <c r="B21" s="13" t="s">
        <v>1072</v>
      </c>
      <c r="C21" s="14">
        <v>0.08</v>
      </c>
      <c r="D21" s="14">
        <v>7.0000000000000007E-2</v>
      </c>
      <c r="E21" s="14">
        <v>0.12</v>
      </c>
      <c r="F21" s="14">
        <v>7.0000000000000007E-2</v>
      </c>
      <c r="G21" s="14">
        <v>0.06</v>
      </c>
      <c r="H21" s="14">
        <v>0.08</v>
      </c>
      <c r="I21" s="14">
        <v>0.08</v>
      </c>
      <c r="J21" s="14">
        <v>0.09</v>
      </c>
      <c r="K21" s="14">
        <v>0.06</v>
      </c>
      <c r="L21" s="14">
        <v>7.0000000000000007E-2</v>
      </c>
      <c r="M21" s="14">
        <v>0.14000000000000001</v>
      </c>
      <c r="N21" s="14">
        <v>0.03</v>
      </c>
      <c r="O21" s="14">
        <v>0.06</v>
      </c>
      <c r="P21" s="14">
        <v>0.17</v>
      </c>
      <c r="Q21" s="14">
        <v>0.11</v>
      </c>
      <c r="R21" s="14">
        <v>7.0000000000000007E-2</v>
      </c>
      <c r="S21" s="14">
        <v>0.05</v>
      </c>
      <c r="T21" s="14">
        <v>7.0000000000000007E-2</v>
      </c>
      <c r="U21" s="14">
        <v>0.05</v>
      </c>
      <c r="V21" s="14">
        <v>0.08</v>
      </c>
      <c r="W21" s="14">
        <v>0.08</v>
      </c>
      <c r="X21" s="14">
        <v>7.0000000000000007E-2</v>
      </c>
      <c r="Y21" s="14">
        <v>0.14000000000000001</v>
      </c>
      <c r="Z21" s="14">
        <v>7.0000000000000007E-2</v>
      </c>
      <c r="AA21" s="14">
        <v>0.05</v>
      </c>
      <c r="AB21" s="14">
        <v>7.0000000000000007E-2</v>
      </c>
      <c r="AC21" s="14">
        <v>0.12</v>
      </c>
      <c r="AD21" s="14">
        <v>0.1</v>
      </c>
      <c r="AE21" s="14">
        <v>0.13</v>
      </c>
      <c r="AF21" s="14">
        <v>0.09</v>
      </c>
    </row>
    <row r="22" spans="1:32">
      <c r="A22" s="19"/>
      <c r="B22" s="11" t="s">
        <v>1052</v>
      </c>
      <c r="C22" s="12">
        <v>4998</v>
      </c>
      <c r="D22" s="12">
        <v>231</v>
      </c>
      <c r="E22" s="12">
        <v>147</v>
      </c>
      <c r="F22" s="12">
        <v>214</v>
      </c>
      <c r="G22" s="12">
        <v>273</v>
      </c>
      <c r="H22" s="12">
        <v>205</v>
      </c>
      <c r="I22" s="12">
        <v>266</v>
      </c>
      <c r="J22" s="12">
        <v>61</v>
      </c>
      <c r="K22" s="12">
        <v>258</v>
      </c>
      <c r="L22" s="12">
        <v>227</v>
      </c>
      <c r="M22" s="12">
        <v>176</v>
      </c>
      <c r="N22" s="12">
        <v>244</v>
      </c>
      <c r="O22" s="12">
        <v>181</v>
      </c>
      <c r="P22" s="12">
        <v>208</v>
      </c>
      <c r="Q22" s="12">
        <v>92</v>
      </c>
      <c r="R22" s="12">
        <v>159</v>
      </c>
      <c r="S22" s="12">
        <v>237</v>
      </c>
      <c r="T22" s="12">
        <v>206</v>
      </c>
      <c r="U22" s="12">
        <v>102</v>
      </c>
      <c r="V22" s="12">
        <v>182</v>
      </c>
      <c r="W22" s="12">
        <v>128</v>
      </c>
      <c r="X22" s="12">
        <v>308</v>
      </c>
      <c r="Y22" s="12">
        <v>146</v>
      </c>
      <c r="Z22" s="12">
        <v>205</v>
      </c>
      <c r="AA22" s="12">
        <v>96</v>
      </c>
      <c r="AB22" s="12">
        <v>174</v>
      </c>
      <c r="AC22" s="12">
        <v>226</v>
      </c>
      <c r="AD22" s="12">
        <v>375</v>
      </c>
      <c r="AE22" s="12">
        <v>301</v>
      </c>
      <c r="AF22" s="12">
        <v>376</v>
      </c>
    </row>
    <row r="23" spans="1:32">
      <c r="A23" s="19"/>
      <c r="B23" s="13" t="s">
        <v>1073</v>
      </c>
      <c r="C23" s="14">
        <v>0.54</v>
      </c>
      <c r="D23" s="14">
        <v>0.47</v>
      </c>
      <c r="E23" s="14">
        <v>0.6</v>
      </c>
      <c r="F23" s="14">
        <v>0.61</v>
      </c>
      <c r="G23" s="14">
        <v>0.5</v>
      </c>
      <c r="H23" s="14">
        <v>0.47</v>
      </c>
      <c r="I23" s="14">
        <v>0.5</v>
      </c>
      <c r="J23" s="14">
        <v>0.70000000000000007</v>
      </c>
      <c r="K23" s="14">
        <v>0.65</v>
      </c>
      <c r="L23" s="14">
        <v>0.57999999999999996</v>
      </c>
      <c r="M23" s="14">
        <v>0.63</v>
      </c>
      <c r="N23" s="14">
        <v>0.64</v>
      </c>
      <c r="O23" s="14">
        <v>0.5</v>
      </c>
      <c r="P23" s="14">
        <v>0.48</v>
      </c>
      <c r="Q23" s="14">
        <v>0.41</v>
      </c>
      <c r="R23" s="14">
        <v>0.68</v>
      </c>
      <c r="S23" s="14">
        <v>0.57999999999999996</v>
      </c>
      <c r="T23" s="14">
        <v>0.62</v>
      </c>
      <c r="U23" s="14">
        <v>0.5</v>
      </c>
      <c r="V23" s="14">
        <v>0.56000000000000005</v>
      </c>
      <c r="W23" s="14">
        <v>0.49</v>
      </c>
      <c r="X23" s="14">
        <v>0.52</v>
      </c>
      <c r="Y23" s="14">
        <v>0.44</v>
      </c>
      <c r="Z23" s="14">
        <v>0.62</v>
      </c>
      <c r="AA23" s="14">
        <v>0.71</v>
      </c>
      <c r="AB23" s="14">
        <v>0.68</v>
      </c>
      <c r="AC23" s="14">
        <v>0.57000000000000006</v>
      </c>
      <c r="AD23" s="14">
        <v>0.67</v>
      </c>
      <c r="AE23" s="14">
        <v>0.53</v>
      </c>
      <c r="AF23" s="14">
        <v>0.5</v>
      </c>
    </row>
    <row r="24" spans="1:32">
      <c r="A24" s="19"/>
      <c r="B24" s="11" t="s">
        <v>436</v>
      </c>
      <c r="C24" s="12">
        <v>32</v>
      </c>
      <c r="D24" s="12">
        <v>0</v>
      </c>
      <c r="E24" s="12">
        <v>1</v>
      </c>
      <c r="F24" s="12">
        <v>4</v>
      </c>
      <c r="G24" s="12">
        <v>0</v>
      </c>
      <c r="H24" s="12">
        <v>3</v>
      </c>
      <c r="I24" s="12">
        <v>4</v>
      </c>
      <c r="J24" s="12">
        <v>1</v>
      </c>
      <c r="K24" s="12">
        <v>5</v>
      </c>
      <c r="L24" s="12">
        <v>1</v>
      </c>
      <c r="M24" s="12">
        <v>0</v>
      </c>
      <c r="N24" s="12">
        <v>1</v>
      </c>
      <c r="O24" s="12">
        <v>0</v>
      </c>
      <c r="P24" s="12">
        <v>0</v>
      </c>
      <c r="Q24" s="12">
        <v>0</v>
      </c>
      <c r="R24" s="12">
        <v>0</v>
      </c>
      <c r="S24" s="12">
        <v>5</v>
      </c>
      <c r="T24" s="12">
        <v>13</v>
      </c>
      <c r="U24" s="12">
        <v>1</v>
      </c>
      <c r="V24" s="12">
        <v>0</v>
      </c>
      <c r="W24" s="12">
        <v>0</v>
      </c>
      <c r="X24" s="12">
        <v>4</v>
      </c>
      <c r="Y24" s="12">
        <v>5</v>
      </c>
      <c r="Z24" s="12">
        <v>0</v>
      </c>
      <c r="AA24" s="12">
        <v>0</v>
      </c>
      <c r="AB24" s="12">
        <v>0</v>
      </c>
      <c r="AC24" s="12">
        <v>0</v>
      </c>
      <c r="AD24" s="12">
        <v>0</v>
      </c>
      <c r="AE24" s="12">
        <v>3</v>
      </c>
      <c r="AF24" s="12">
        <v>4</v>
      </c>
    </row>
    <row r="25" spans="1:32">
      <c r="A25" s="19"/>
      <c r="B25" s="13" t="s">
        <v>437</v>
      </c>
      <c r="C25" s="15" t="s">
        <v>375</v>
      </c>
      <c r="D25" s="15" t="s">
        <v>375</v>
      </c>
      <c r="E25" s="15" t="s">
        <v>375</v>
      </c>
      <c r="F25" s="14">
        <v>0.01</v>
      </c>
      <c r="G25" s="15" t="s">
        <v>375</v>
      </c>
      <c r="H25" s="14">
        <v>0.01</v>
      </c>
      <c r="I25" s="14">
        <v>0.01</v>
      </c>
      <c r="J25" s="14">
        <v>0.01</v>
      </c>
      <c r="K25" s="14">
        <v>0.01</v>
      </c>
      <c r="L25" s="15" t="s">
        <v>375</v>
      </c>
      <c r="M25" s="15" t="s">
        <v>375</v>
      </c>
      <c r="N25" s="15" t="s">
        <v>375</v>
      </c>
      <c r="O25" s="15" t="s">
        <v>375</v>
      </c>
      <c r="P25" s="15" t="s">
        <v>375</v>
      </c>
      <c r="Q25" s="15" t="s">
        <v>375</v>
      </c>
      <c r="R25" s="15" t="s">
        <v>375</v>
      </c>
      <c r="S25" s="14">
        <v>0.01</v>
      </c>
      <c r="T25" s="14">
        <v>0.04</v>
      </c>
      <c r="U25" s="14">
        <v>0.01</v>
      </c>
      <c r="V25" s="15" t="s">
        <v>375</v>
      </c>
      <c r="W25" s="15" t="s">
        <v>375</v>
      </c>
      <c r="X25" s="14">
        <v>0.01</v>
      </c>
      <c r="Y25" s="14">
        <v>0.01</v>
      </c>
      <c r="Z25" s="15" t="s">
        <v>375</v>
      </c>
      <c r="AA25" s="15" t="s">
        <v>375</v>
      </c>
      <c r="AB25" s="15" t="s">
        <v>375</v>
      </c>
      <c r="AC25" s="15" t="s">
        <v>375</v>
      </c>
      <c r="AD25" s="15" t="s">
        <v>375</v>
      </c>
      <c r="AE25" s="14">
        <v>0.01</v>
      </c>
      <c r="AF25" s="14">
        <v>0.01</v>
      </c>
    </row>
    <row r="26" spans="1:32">
      <c r="A26" s="19"/>
      <c r="B26" s="11" t="s">
        <v>386</v>
      </c>
      <c r="C26" s="12">
        <v>10</v>
      </c>
      <c r="D26" s="12">
        <v>1</v>
      </c>
      <c r="E26" s="12">
        <v>1</v>
      </c>
      <c r="F26" s="12">
        <v>1</v>
      </c>
      <c r="G26" s="12">
        <v>2</v>
      </c>
      <c r="H26" s="12">
        <v>1</v>
      </c>
      <c r="I26" s="12">
        <v>1</v>
      </c>
      <c r="J26" s="12">
        <v>0</v>
      </c>
      <c r="K26" s="12">
        <v>0</v>
      </c>
      <c r="L26" s="12">
        <v>1</v>
      </c>
      <c r="M26" s="12">
        <v>0</v>
      </c>
      <c r="N26" s="12">
        <v>0</v>
      </c>
      <c r="O26" s="12">
        <v>0</v>
      </c>
      <c r="P26" s="12">
        <v>2</v>
      </c>
      <c r="Q26" s="12">
        <v>0</v>
      </c>
      <c r="R26" s="12">
        <v>0</v>
      </c>
      <c r="S26" s="12">
        <v>3</v>
      </c>
      <c r="T26" s="12">
        <v>0</v>
      </c>
      <c r="U26" s="12">
        <v>0</v>
      </c>
      <c r="V26" s="12">
        <v>1</v>
      </c>
      <c r="W26" s="12">
        <v>0</v>
      </c>
      <c r="X26" s="12">
        <v>1</v>
      </c>
      <c r="Y26" s="12">
        <v>1</v>
      </c>
      <c r="Z26" s="12">
        <v>0</v>
      </c>
      <c r="AA26" s="12">
        <v>1</v>
      </c>
      <c r="AB26" s="12">
        <v>0</v>
      </c>
      <c r="AC26" s="12">
        <v>0</v>
      </c>
      <c r="AD26" s="12">
        <v>0</v>
      </c>
      <c r="AE26" s="12">
        <v>2</v>
      </c>
      <c r="AF26" s="12">
        <v>1</v>
      </c>
    </row>
    <row r="27" spans="1:32">
      <c r="A27" s="19"/>
      <c r="B27" s="13" t="s">
        <v>399</v>
      </c>
      <c r="C27" s="15" t="s">
        <v>375</v>
      </c>
      <c r="D27" s="15" t="s">
        <v>375</v>
      </c>
      <c r="E27" s="15" t="s">
        <v>375</v>
      </c>
      <c r="F27" s="15" t="s">
        <v>375</v>
      </c>
      <c r="G27" s="15" t="s">
        <v>375</v>
      </c>
      <c r="H27" s="15" t="s">
        <v>375</v>
      </c>
      <c r="I27" s="15" t="s">
        <v>375</v>
      </c>
      <c r="J27" s="15" t="s">
        <v>375</v>
      </c>
      <c r="K27" s="15" t="s">
        <v>375</v>
      </c>
      <c r="L27" s="15" t="s">
        <v>375</v>
      </c>
      <c r="M27" s="15" t="s">
        <v>375</v>
      </c>
      <c r="N27" s="15" t="s">
        <v>375</v>
      </c>
      <c r="O27" s="15" t="s">
        <v>375</v>
      </c>
      <c r="P27" s="15" t="s">
        <v>375</v>
      </c>
      <c r="Q27" s="15" t="s">
        <v>375</v>
      </c>
      <c r="R27" s="15" t="s">
        <v>375</v>
      </c>
      <c r="S27" s="14">
        <v>0.01</v>
      </c>
      <c r="T27" s="15" t="s">
        <v>375</v>
      </c>
      <c r="U27" s="15" t="s">
        <v>375</v>
      </c>
      <c r="V27" s="15" t="s">
        <v>375</v>
      </c>
      <c r="W27" s="15" t="s">
        <v>375</v>
      </c>
      <c r="X27" s="15" t="s">
        <v>375</v>
      </c>
      <c r="Y27" s="15" t="s">
        <v>375</v>
      </c>
      <c r="Z27" s="15" t="s">
        <v>375</v>
      </c>
      <c r="AA27" s="14">
        <v>0.01</v>
      </c>
      <c r="AB27" s="15" t="s">
        <v>375</v>
      </c>
      <c r="AC27" s="15" t="s">
        <v>375</v>
      </c>
      <c r="AD27" s="15" t="s">
        <v>375</v>
      </c>
      <c r="AE27" s="15" t="s">
        <v>375</v>
      </c>
      <c r="AF27" s="15" t="s">
        <v>375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207</v>
      </c>
      <c r="C3" s="17"/>
      <c r="D3" s="17"/>
      <c r="E3" s="17"/>
      <c r="F3" s="17"/>
      <c r="H3" s="17" t="s">
        <v>208</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1074</v>
      </c>
      <c r="C12" s="12">
        <v>943</v>
      </c>
      <c r="D12" s="12">
        <v>72</v>
      </c>
      <c r="E12" s="12">
        <v>35</v>
      </c>
      <c r="F12" s="12">
        <v>34</v>
      </c>
      <c r="G12" s="12">
        <v>93</v>
      </c>
      <c r="H12" s="12">
        <v>26</v>
      </c>
      <c r="I12" s="12">
        <v>32</v>
      </c>
      <c r="J12" s="12">
        <v>6</v>
      </c>
      <c r="K12" s="12">
        <v>82</v>
      </c>
      <c r="L12" s="12">
        <v>51</v>
      </c>
      <c r="M12" s="12">
        <v>8</v>
      </c>
      <c r="N12" s="12">
        <v>65</v>
      </c>
      <c r="O12" s="12">
        <v>47</v>
      </c>
      <c r="P12" s="12">
        <v>50</v>
      </c>
      <c r="Q12" s="12">
        <v>16</v>
      </c>
      <c r="R12" s="12">
        <v>20</v>
      </c>
      <c r="S12" s="12">
        <v>52</v>
      </c>
      <c r="T12" s="12">
        <v>22</v>
      </c>
      <c r="U12" s="12">
        <v>41</v>
      </c>
      <c r="V12" s="12">
        <v>31</v>
      </c>
      <c r="W12" s="12">
        <v>29</v>
      </c>
      <c r="X12" s="12">
        <v>58</v>
      </c>
      <c r="Y12" s="12">
        <v>69</v>
      </c>
      <c r="Z12" s="12">
        <v>16</v>
      </c>
      <c r="AA12" s="12">
        <v>12</v>
      </c>
      <c r="AB12" s="12">
        <v>12</v>
      </c>
      <c r="AC12" s="12">
        <v>60</v>
      </c>
      <c r="AD12" s="12">
        <v>53</v>
      </c>
      <c r="AE12" s="12">
        <v>43</v>
      </c>
      <c r="AF12" s="12">
        <v>67</v>
      </c>
    </row>
    <row r="13" spans="1:32">
      <c r="A13" s="19"/>
      <c r="B13" s="13" t="s">
        <v>1075</v>
      </c>
      <c r="C13" s="14">
        <v>0.04</v>
      </c>
      <c r="D13" s="14">
        <v>7.0000000000000007E-2</v>
      </c>
      <c r="E13" s="14">
        <v>0.03</v>
      </c>
      <c r="F13" s="14">
        <v>0.03</v>
      </c>
      <c r="G13" s="14">
        <v>0.09</v>
      </c>
      <c r="H13" s="14">
        <v>0.02</v>
      </c>
      <c r="I13" s="14">
        <v>0.02</v>
      </c>
      <c r="J13" s="14">
        <v>0.02</v>
      </c>
      <c r="K13" s="14">
        <v>0.08</v>
      </c>
      <c r="L13" s="14">
        <v>0.05</v>
      </c>
      <c r="M13" s="14">
        <v>0.01</v>
      </c>
      <c r="N13" s="14">
        <v>0.06</v>
      </c>
      <c r="O13" s="14">
        <v>0.05</v>
      </c>
      <c r="P13" s="14">
        <v>0.05</v>
      </c>
      <c r="Q13" s="14">
        <v>0.01</v>
      </c>
      <c r="R13" s="14">
        <v>0.04</v>
      </c>
      <c r="S13" s="14">
        <v>0.05</v>
      </c>
      <c r="T13" s="14">
        <v>0.02</v>
      </c>
      <c r="U13" s="14">
        <v>0.08</v>
      </c>
      <c r="V13" s="14">
        <v>0.03</v>
      </c>
      <c r="W13" s="14">
        <v>0.06</v>
      </c>
      <c r="X13" s="14">
        <v>0.06</v>
      </c>
      <c r="Y13" s="14">
        <v>7.0000000000000007E-2</v>
      </c>
      <c r="Z13" s="14">
        <v>0.02</v>
      </c>
      <c r="AA13" s="14">
        <v>0.01</v>
      </c>
      <c r="AB13" s="14">
        <v>0.01</v>
      </c>
      <c r="AC13" s="14">
        <v>0.06</v>
      </c>
      <c r="AD13" s="14">
        <v>0.05</v>
      </c>
      <c r="AE13" s="14">
        <v>0.04</v>
      </c>
      <c r="AF13" s="14">
        <v>7.0000000000000007E-2</v>
      </c>
    </row>
    <row r="14" spans="1:32">
      <c r="A14" s="19"/>
      <c r="B14" s="11" t="s">
        <v>1076</v>
      </c>
      <c r="C14" s="12">
        <v>1351</v>
      </c>
      <c r="D14" s="12">
        <v>72</v>
      </c>
      <c r="E14" s="12">
        <v>56</v>
      </c>
      <c r="F14" s="12">
        <v>78</v>
      </c>
      <c r="G14" s="12">
        <v>88</v>
      </c>
      <c r="H14" s="12">
        <v>65</v>
      </c>
      <c r="I14" s="12">
        <v>71</v>
      </c>
      <c r="J14" s="12">
        <v>6</v>
      </c>
      <c r="K14" s="12">
        <v>73</v>
      </c>
      <c r="L14" s="12">
        <v>46</v>
      </c>
      <c r="M14" s="12">
        <v>22</v>
      </c>
      <c r="N14" s="12">
        <v>39</v>
      </c>
      <c r="O14" s="12">
        <v>49</v>
      </c>
      <c r="P14" s="12">
        <v>75</v>
      </c>
      <c r="Q14" s="12">
        <v>59</v>
      </c>
      <c r="R14" s="12">
        <v>24</v>
      </c>
      <c r="S14" s="12">
        <v>57</v>
      </c>
      <c r="T14" s="12">
        <v>62</v>
      </c>
      <c r="U14" s="12">
        <v>27</v>
      </c>
      <c r="V14" s="12">
        <v>82</v>
      </c>
      <c r="W14" s="12">
        <v>46</v>
      </c>
      <c r="X14" s="12">
        <v>65</v>
      </c>
      <c r="Y14" s="12">
        <v>61</v>
      </c>
      <c r="Z14" s="12">
        <v>36</v>
      </c>
      <c r="AA14" s="12">
        <v>31</v>
      </c>
      <c r="AB14" s="12">
        <v>60</v>
      </c>
      <c r="AC14" s="12">
        <v>46</v>
      </c>
      <c r="AD14" s="12">
        <v>48</v>
      </c>
      <c r="AE14" s="12">
        <v>80</v>
      </c>
      <c r="AF14" s="12">
        <v>71</v>
      </c>
    </row>
    <row r="15" spans="1:32">
      <c r="A15" s="19"/>
      <c r="B15" s="13" t="s">
        <v>1077</v>
      </c>
      <c r="C15" s="14">
        <v>0.05</v>
      </c>
      <c r="D15" s="14">
        <v>7.0000000000000007E-2</v>
      </c>
      <c r="E15" s="14">
        <v>0.05</v>
      </c>
      <c r="F15" s="14">
        <v>7.0000000000000007E-2</v>
      </c>
      <c r="G15" s="14">
        <v>0.09</v>
      </c>
      <c r="H15" s="14">
        <v>0.05</v>
      </c>
      <c r="I15" s="14">
        <v>0.05</v>
      </c>
      <c r="J15" s="14">
        <v>0.02</v>
      </c>
      <c r="K15" s="14">
        <v>7.0000000000000007E-2</v>
      </c>
      <c r="L15" s="14">
        <v>0.05</v>
      </c>
      <c r="M15" s="14">
        <v>0.02</v>
      </c>
      <c r="N15" s="14">
        <v>0.04</v>
      </c>
      <c r="O15" s="14">
        <v>0.05</v>
      </c>
      <c r="P15" s="14">
        <v>7.0000000000000007E-2</v>
      </c>
      <c r="Q15" s="14">
        <v>0.06</v>
      </c>
      <c r="R15" s="14">
        <v>0.05</v>
      </c>
      <c r="S15" s="14">
        <v>0.06</v>
      </c>
      <c r="T15" s="14">
        <v>0.06</v>
      </c>
      <c r="U15" s="14">
        <v>0.05</v>
      </c>
      <c r="V15" s="14">
        <v>0.08</v>
      </c>
      <c r="W15" s="14">
        <v>0.09</v>
      </c>
      <c r="X15" s="14">
        <v>0.06</v>
      </c>
      <c r="Y15" s="14">
        <v>0.06</v>
      </c>
      <c r="Z15" s="14">
        <v>0.04</v>
      </c>
      <c r="AA15" s="14">
        <v>0.03</v>
      </c>
      <c r="AB15" s="14">
        <v>0.06</v>
      </c>
      <c r="AC15" s="14">
        <v>0.05</v>
      </c>
      <c r="AD15" s="14">
        <v>0.05</v>
      </c>
      <c r="AE15" s="14">
        <v>0.08</v>
      </c>
      <c r="AF15" s="14">
        <v>7.0000000000000007E-2</v>
      </c>
    </row>
    <row r="16" spans="1:32">
      <c r="A16" s="19"/>
      <c r="B16" s="11" t="s">
        <v>842</v>
      </c>
      <c r="C16" s="12">
        <v>23957</v>
      </c>
      <c r="D16" s="12">
        <v>872</v>
      </c>
      <c r="E16" s="12">
        <v>933</v>
      </c>
      <c r="F16" s="12">
        <v>944</v>
      </c>
      <c r="G16" s="12">
        <v>827</v>
      </c>
      <c r="H16" s="12">
        <v>1129</v>
      </c>
      <c r="I16" s="12">
        <v>1411</v>
      </c>
      <c r="J16" s="12">
        <v>281</v>
      </c>
      <c r="K16" s="12">
        <v>816</v>
      </c>
      <c r="L16" s="12">
        <v>904</v>
      </c>
      <c r="M16" s="12">
        <v>952</v>
      </c>
      <c r="N16" s="12">
        <v>906</v>
      </c>
      <c r="O16" s="12">
        <v>899</v>
      </c>
      <c r="P16" s="12">
        <v>858</v>
      </c>
      <c r="Q16" s="12">
        <v>956</v>
      </c>
      <c r="R16" s="12">
        <v>453</v>
      </c>
      <c r="S16" s="12">
        <v>864</v>
      </c>
      <c r="T16" s="12">
        <v>906</v>
      </c>
      <c r="U16" s="12">
        <v>439</v>
      </c>
      <c r="V16" s="12">
        <v>903</v>
      </c>
      <c r="W16" s="12">
        <v>426</v>
      </c>
      <c r="X16" s="12">
        <v>884</v>
      </c>
      <c r="Y16" s="12">
        <v>860</v>
      </c>
      <c r="Z16" s="12">
        <v>961</v>
      </c>
      <c r="AA16" s="12">
        <v>967</v>
      </c>
      <c r="AB16" s="12">
        <v>946</v>
      </c>
      <c r="AC16" s="12">
        <v>891</v>
      </c>
      <c r="AD16" s="12">
        <v>895</v>
      </c>
      <c r="AE16" s="12">
        <v>871</v>
      </c>
      <c r="AF16" s="12">
        <v>891</v>
      </c>
    </row>
    <row r="17" spans="1:32">
      <c r="A17" s="19"/>
      <c r="B17" s="13" t="s">
        <v>843</v>
      </c>
      <c r="C17" s="14">
        <v>0.91</v>
      </c>
      <c r="D17" s="14">
        <v>0.86</v>
      </c>
      <c r="E17" s="14">
        <v>0.89</v>
      </c>
      <c r="F17" s="14">
        <v>0.89</v>
      </c>
      <c r="G17" s="14">
        <v>0.81</v>
      </c>
      <c r="H17" s="14">
        <v>0.92</v>
      </c>
      <c r="I17" s="14">
        <v>0.92</v>
      </c>
      <c r="J17" s="14">
        <v>0.95000000000000007</v>
      </c>
      <c r="K17" s="14">
        <v>0.81</v>
      </c>
      <c r="L17" s="14">
        <v>0.9</v>
      </c>
      <c r="M17" s="14">
        <v>0.95000000000000007</v>
      </c>
      <c r="N17" s="14">
        <v>0.9</v>
      </c>
      <c r="O17" s="14">
        <v>0.9</v>
      </c>
      <c r="P17" s="14">
        <v>0.86</v>
      </c>
      <c r="Q17" s="14">
        <v>0.93</v>
      </c>
      <c r="R17" s="14">
        <v>0.9</v>
      </c>
      <c r="S17" s="14">
        <v>0.86</v>
      </c>
      <c r="T17" s="14">
        <v>0.89</v>
      </c>
      <c r="U17" s="14">
        <v>0.87</v>
      </c>
      <c r="V17" s="14">
        <v>0.88</v>
      </c>
      <c r="W17" s="14">
        <v>0.85</v>
      </c>
      <c r="X17" s="14">
        <v>0.88</v>
      </c>
      <c r="Y17" s="14">
        <v>0.86</v>
      </c>
      <c r="Z17" s="14">
        <v>0.94000000000000006</v>
      </c>
      <c r="AA17" s="14">
        <v>0.93</v>
      </c>
      <c r="AB17" s="14">
        <v>0.91</v>
      </c>
      <c r="AC17" s="14">
        <v>0.88</v>
      </c>
      <c r="AD17" s="14">
        <v>0.89</v>
      </c>
      <c r="AE17" s="14">
        <v>0.87</v>
      </c>
      <c r="AF17" s="14">
        <v>0.86</v>
      </c>
    </row>
    <row r="18" spans="1:32">
      <c r="A18" s="19"/>
      <c r="B18" s="11" t="s">
        <v>1078</v>
      </c>
      <c r="C18" s="12">
        <v>64</v>
      </c>
      <c r="D18" s="12">
        <v>2</v>
      </c>
      <c r="E18" s="12">
        <v>6</v>
      </c>
      <c r="F18" s="12">
        <v>2</v>
      </c>
      <c r="G18" s="12">
        <v>1</v>
      </c>
      <c r="H18" s="12">
        <v>4</v>
      </c>
      <c r="I18" s="12">
        <v>7</v>
      </c>
      <c r="J18" s="12">
        <v>3</v>
      </c>
      <c r="K18" s="12">
        <v>10</v>
      </c>
      <c r="L18" s="12">
        <v>0</v>
      </c>
      <c r="M18" s="12">
        <v>2</v>
      </c>
      <c r="N18" s="12">
        <v>0</v>
      </c>
      <c r="O18" s="12">
        <v>3</v>
      </c>
      <c r="P18" s="12">
        <v>4</v>
      </c>
      <c r="Q18" s="12">
        <v>0</v>
      </c>
      <c r="R18" s="12">
        <v>1</v>
      </c>
      <c r="S18" s="12">
        <v>6</v>
      </c>
      <c r="T18" s="12">
        <v>8</v>
      </c>
      <c r="U18" s="12">
        <v>0</v>
      </c>
      <c r="V18" s="12">
        <v>6</v>
      </c>
      <c r="W18" s="12">
        <v>0</v>
      </c>
      <c r="X18" s="12">
        <v>0</v>
      </c>
      <c r="Y18" s="12">
        <v>10</v>
      </c>
      <c r="Z18" s="12">
        <v>0</v>
      </c>
      <c r="AA18" s="12">
        <v>8</v>
      </c>
      <c r="AB18" s="12">
        <v>2</v>
      </c>
      <c r="AC18" s="12">
        <v>1</v>
      </c>
      <c r="AD18" s="12">
        <v>2</v>
      </c>
      <c r="AE18" s="12">
        <v>1</v>
      </c>
      <c r="AF18" s="12">
        <v>0</v>
      </c>
    </row>
    <row r="19" spans="1:32">
      <c r="A19" s="19"/>
      <c r="B19" s="13" t="s">
        <v>1079</v>
      </c>
      <c r="C19" s="15" t="s">
        <v>375</v>
      </c>
      <c r="D19" s="15" t="s">
        <v>375</v>
      </c>
      <c r="E19" s="14">
        <v>0.01</v>
      </c>
      <c r="F19" s="15" t="s">
        <v>375</v>
      </c>
      <c r="G19" s="15" t="s">
        <v>375</v>
      </c>
      <c r="H19" s="15" t="s">
        <v>375</v>
      </c>
      <c r="I19" s="14">
        <v>0.01</v>
      </c>
      <c r="J19" s="14">
        <v>0.01</v>
      </c>
      <c r="K19" s="14">
        <v>0.01</v>
      </c>
      <c r="L19" s="15" t="s">
        <v>375</v>
      </c>
      <c r="M19" s="15" t="s">
        <v>375</v>
      </c>
      <c r="N19" s="15" t="s">
        <v>375</v>
      </c>
      <c r="O19" s="15" t="s">
        <v>375</v>
      </c>
      <c r="P19" s="15" t="s">
        <v>375</v>
      </c>
      <c r="Q19" s="15" t="s">
        <v>375</v>
      </c>
      <c r="R19" s="15" t="s">
        <v>375</v>
      </c>
      <c r="S19" s="14">
        <v>0.01</v>
      </c>
      <c r="T19" s="14">
        <v>0.01</v>
      </c>
      <c r="U19" s="15" t="s">
        <v>375</v>
      </c>
      <c r="V19" s="14">
        <v>0.01</v>
      </c>
      <c r="W19" s="15" t="s">
        <v>375</v>
      </c>
      <c r="X19" s="15" t="s">
        <v>375</v>
      </c>
      <c r="Y19" s="14">
        <v>0.01</v>
      </c>
      <c r="Z19" s="15" t="s">
        <v>375</v>
      </c>
      <c r="AA19" s="14">
        <v>0.01</v>
      </c>
      <c r="AB19" s="15" t="s">
        <v>375</v>
      </c>
      <c r="AC19" s="15" t="s">
        <v>375</v>
      </c>
      <c r="AD19" s="15" t="s">
        <v>375</v>
      </c>
      <c r="AE19" s="15" t="s">
        <v>375</v>
      </c>
      <c r="AF19" s="15" t="s">
        <v>375</v>
      </c>
    </row>
    <row r="20" spans="1:32">
      <c r="A20" s="19"/>
      <c r="B20" s="11" t="s">
        <v>386</v>
      </c>
      <c r="C20" s="12">
        <v>138</v>
      </c>
      <c r="D20" s="12">
        <v>3</v>
      </c>
      <c r="E20" s="12">
        <v>15</v>
      </c>
      <c r="F20" s="12">
        <v>6</v>
      </c>
      <c r="G20" s="12">
        <v>6</v>
      </c>
      <c r="H20" s="12">
        <v>5</v>
      </c>
      <c r="I20" s="12">
        <v>6</v>
      </c>
      <c r="J20" s="12">
        <v>1</v>
      </c>
      <c r="K20" s="12">
        <v>25</v>
      </c>
      <c r="L20" s="12">
        <v>4</v>
      </c>
      <c r="M20" s="12">
        <v>22</v>
      </c>
      <c r="N20" s="12">
        <v>1</v>
      </c>
      <c r="O20" s="12">
        <v>5</v>
      </c>
      <c r="P20" s="12">
        <v>16</v>
      </c>
      <c r="Q20" s="12">
        <v>0</v>
      </c>
      <c r="R20" s="12">
        <v>4</v>
      </c>
      <c r="S20" s="12">
        <v>25</v>
      </c>
      <c r="T20" s="12">
        <v>25</v>
      </c>
      <c r="U20" s="12">
        <v>1</v>
      </c>
      <c r="V20" s="12">
        <v>4</v>
      </c>
      <c r="W20" s="12">
        <v>1</v>
      </c>
      <c r="X20" s="12">
        <v>2</v>
      </c>
      <c r="Y20" s="12">
        <v>2</v>
      </c>
      <c r="Z20" s="12">
        <v>3</v>
      </c>
      <c r="AA20" s="12">
        <v>20</v>
      </c>
      <c r="AB20" s="12">
        <v>21</v>
      </c>
      <c r="AC20" s="12">
        <v>7</v>
      </c>
      <c r="AD20" s="12">
        <v>6</v>
      </c>
      <c r="AE20" s="12">
        <v>6</v>
      </c>
      <c r="AF20" s="12">
        <v>2</v>
      </c>
    </row>
    <row r="21" spans="1:32">
      <c r="A21" s="19"/>
      <c r="B21" s="13" t="s">
        <v>399</v>
      </c>
      <c r="C21" s="15" t="s">
        <v>375</v>
      </c>
      <c r="D21" s="15" t="s">
        <v>375</v>
      </c>
      <c r="E21" s="14">
        <v>0.02</v>
      </c>
      <c r="F21" s="14">
        <v>0.01</v>
      </c>
      <c r="G21" s="14">
        <v>0.01</v>
      </c>
      <c r="H21" s="14">
        <v>0.01</v>
      </c>
      <c r="I21" s="15" t="s">
        <v>375</v>
      </c>
      <c r="J21" s="15" t="s">
        <v>375</v>
      </c>
      <c r="K21" s="14">
        <v>0.03</v>
      </c>
      <c r="L21" s="15" t="s">
        <v>375</v>
      </c>
      <c r="M21" s="14">
        <v>0.02</v>
      </c>
      <c r="N21" s="15" t="s">
        <v>375</v>
      </c>
      <c r="O21" s="15" t="s">
        <v>375</v>
      </c>
      <c r="P21" s="14">
        <v>0.02</v>
      </c>
      <c r="Q21" s="15" t="s">
        <v>375</v>
      </c>
      <c r="R21" s="14">
        <v>0.01</v>
      </c>
      <c r="S21" s="14">
        <v>0.02</v>
      </c>
      <c r="T21" s="14">
        <v>0.02</v>
      </c>
      <c r="U21" s="15" t="s">
        <v>375</v>
      </c>
      <c r="V21" s="15" t="s">
        <v>375</v>
      </c>
      <c r="W21" s="15" t="s">
        <v>375</v>
      </c>
      <c r="X21" s="15" t="s">
        <v>375</v>
      </c>
      <c r="Y21" s="15" t="s">
        <v>375</v>
      </c>
      <c r="Z21" s="15" t="s">
        <v>375</v>
      </c>
      <c r="AA21" s="14">
        <v>0.02</v>
      </c>
      <c r="AB21" s="14">
        <v>0.02</v>
      </c>
      <c r="AC21" s="14">
        <v>0.01</v>
      </c>
      <c r="AD21" s="14">
        <v>0.01</v>
      </c>
      <c r="AE21" s="14">
        <v>0.01</v>
      </c>
      <c r="AF21" s="15" t="s">
        <v>375</v>
      </c>
    </row>
    <row r="22" spans="1:32">
      <c r="A22" s="19"/>
      <c r="B22" s="11" t="s">
        <v>678</v>
      </c>
      <c r="C22" s="12">
        <v>2294</v>
      </c>
      <c r="D22" s="12">
        <v>144</v>
      </c>
      <c r="E22" s="12">
        <v>91</v>
      </c>
      <c r="F22" s="12">
        <v>112</v>
      </c>
      <c r="G22" s="12">
        <v>181</v>
      </c>
      <c r="H22" s="12">
        <v>91</v>
      </c>
      <c r="I22" s="12">
        <v>103</v>
      </c>
      <c r="J22" s="12">
        <v>12</v>
      </c>
      <c r="K22" s="12">
        <v>155</v>
      </c>
      <c r="L22" s="12">
        <v>97</v>
      </c>
      <c r="M22" s="12">
        <v>30</v>
      </c>
      <c r="N22" s="12">
        <v>104</v>
      </c>
      <c r="O22" s="12">
        <v>96</v>
      </c>
      <c r="P22" s="12">
        <v>125</v>
      </c>
      <c r="Q22" s="12">
        <v>75</v>
      </c>
      <c r="R22" s="12">
        <v>44</v>
      </c>
      <c r="S22" s="12">
        <v>109</v>
      </c>
      <c r="T22" s="12">
        <v>84</v>
      </c>
      <c r="U22" s="12">
        <v>68</v>
      </c>
      <c r="V22" s="12">
        <v>113</v>
      </c>
      <c r="W22" s="12">
        <v>75</v>
      </c>
      <c r="X22" s="12">
        <v>123</v>
      </c>
      <c r="Y22" s="12">
        <v>130</v>
      </c>
      <c r="Z22" s="12">
        <v>52</v>
      </c>
      <c r="AA22" s="12">
        <v>43</v>
      </c>
      <c r="AB22" s="12">
        <v>72</v>
      </c>
      <c r="AC22" s="12">
        <v>106</v>
      </c>
      <c r="AD22" s="12">
        <v>101</v>
      </c>
      <c r="AE22" s="12">
        <v>123</v>
      </c>
      <c r="AF22" s="12">
        <v>138</v>
      </c>
    </row>
    <row r="23" spans="1:32">
      <c r="A23" s="19"/>
      <c r="B23" s="13" t="s">
        <v>679</v>
      </c>
      <c r="C23" s="14">
        <v>0.09</v>
      </c>
      <c r="D23" s="14">
        <v>0.14000000000000001</v>
      </c>
      <c r="E23" s="14">
        <v>0.08</v>
      </c>
      <c r="F23" s="14">
        <v>0.1</v>
      </c>
      <c r="G23" s="14">
        <v>0.18</v>
      </c>
      <c r="H23" s="14">
        <v>7.0000000000000007E-2</v>
      </c>
      <c r="I23" s="14">
        <v>7.0000000000000007E-2</v>
      </c>
      <c r="J23" s="14">
        <v>0.04</v>
      </c>
      <c r="K23" s="14">
        <v>0.15</v>
      </c>
      <c r="L23" s="14">
        <v>0.1</v>
      </c>
      <c r="M23" s="14">
        <v>0.03</v>
      </c>
      <c r="N23" s="14">
        <v>0.1</v>
      </c>
      <c r="O23" s="14">
        <v>0.1</v>
      </c>
      <c r="P23" s="14">
        <v>0.12</v>
      </c>
      <c r="Q23" s="14">
        <v>7.0000000000000007E-2</v>
      </c>
      <c r="R23" s="14">
        <v>0.09</v>
      </c>
      <c r="S23" s="14">
        <v>0.11</v>
      </c>
      <c r="T23" s="14">
        <v>0.08</v>
      </c>
      <c r="U23" s="14">
        <v>0.13</v>
      </c>
      <c r="V23" s="14">
        <v>0.11</v>
      </c>
      <c r="W23" s="14">
        <v>0.15</v>
      </c>
      <c r="X23" s="14">
        <v>0.12</v>
      </c>
      <c r="Y23" s="14">
        <v>0.13</v>
      </c>
      <c r="Z23" s="14">
        <v>0.06</v>
      </c>
      <c r="AA23" s="14">
        <v>0.04</v>
      </c>
      <c r="AB23" s="14">
        <v>7.0000000000000007E-2</v>
      </c>
      <c r="AC23" s="14">
        <v>0.11</v>
      </c>
      <c r="AD23" s="14">
        <v>0.1</v>
      </c>
      <c r="AE23" s="14">
        <v>0.12</v>
      </c>
      <c r="AF23" s="14">
        <v>0.14000000000000001</v>
      </c>
    </row>
    <row r="24" spans="1:32">
      <c r="A24" s="19"/>
      <c r="B24" s="11" t="s">
        <v>846</v>
      </c>
      <c r="C24" s="12">
        <v>23957</v>
      </c>
      <c r="D24" s="12">
        <v>872</v>
      </c>
      <c r="E24" s="12">
        <v>933</v>
      </c>
      <c r="F24" s="12">
        <v>944</v>
      </c>
      <c r="G24" s="12">
        <v>827</v>
      </c>
      <c r="H24" s="12">
        <v>1129</v>
      </c>
      <c r="I24" s="12">
        <v>1411</v>
      </c>
      <c r="J24" s="12">
        <v>281</v>
      </c>
      <c r="K24" s="12">
        <v>816</v>
      </c>
      <c r="L24" s="12">
        <v>904</v>
      </c>
      <c r="M24" s="12">
        <v>952</v>
      </c>
      <c r="N24" s="12">
        <v>906</v>
      </c>
      <c r="O24" s="12">
        <v>899</v>
      </c>
      <c r="P24" s="12">
        <v>858</v>
      </c>
      <c r="Q24" s="12">
        <v>956</v>
      </c>
      <c r="R24" s="12">
        <v>453</v>
      </c>
      <c r="S24" s="12">
        <v>864</v>
      </c>
      <c r="T24" s="12">
        <v>906</v>
      </c>
      <c r="U24" s="12">
        <v>439</v>
      </c>
      <c r="V24" s="12">
        <v>903</v>
      </c>
      <c r="W24" s="12">
        <v>426</v>
      </c>
      <c r="X24" s="12">
        <v>884</v>
      </c>
      <c r="Y24" s="12">
        <v>860</v>
      </c>
      <c r="Z24" s="12">
        <v>961</v>
      </c>
      <c r="AA24" s="12">
        <v>967</v>
      </c>
      <c r="AB24" s="12">
        <v>946</v>
      </c>
      <c r="AC24" s="12">
        <v>891</v>
      </c>
      <c r="AD24" s="12">
        <v>895</v>
      </c>
      <c r="AE24" s="12">
        <v>871</v>
      </c>
      <c r="AF24" s="12">
        <v>891</v>
      </c>
    </row>
    <row r="25" spans="1:32">
      <c r="A25" s="19"/>
      <c r="B25" s="13" t="s">
        <v>847</v>
      </c>
      <c r="C25" s="14">
        <v>0.91</v>
      </c>
      <c r="D25" s="14">
        <v>0.86</v>
      </c>
      <c r="E25" s="14">
        <v>0.89</v>
      </c>
      <c r="F25" s="14">
        <v>0.89</v>
      </c>
      <c r="G25" s="14">
        <v>0.81</v>
      </c>
      <c r="H25" s="14">
        <v>0.92</v>
      </c>
      <c r="I25" s="14">
        <v>0.92</v>
      </c>
      <c r="J25" s="14">
        <v>0.95000000000000007</v>
      </c>
      <c r="K25" s="14">
        <v>0.81</v>
      </c>
      <c r="L25" s="14">
        <v>0.9</v>
      </c>
      <c r="M25" s="14">
        <v>0.95000000000000007</v>
      </c>
      <c r="N25" s="14">
        <v>0.9</v>
      </c>
      <c r="O25" s="14">
        <v>0.9</v>
      </c>
      <c r="P25" s="14">
        <v>0.86</v>
      </c>
      <c r="Q25" s="14">
        <v>0.93</v>
      </c>
      <c r="R25" s="14">
        <v>0.9</v>
      </c>
      <c r="S25" s="14">
        <v>0.86</v>
      </c>
      <c r="T25" s="14">
        <v>0.89</v>
      </c>
      <c r="U25" s="14">
        <v>0.87</v>
      </c>
      <c r="V25" s="14">
        <v>0.88</v>
      </c>
      <c r="W25" s="14">
        <v>0.85</v>
      </c>
      <c r="X25" s="14">
        <v>0.88</v>
      </c>
      <c r="Y25" s="14">
        <v>0.86</v>
      </c>
      <c r="Z25" s="14">
        <v>0.94000000000000006</v>
      </c>
      <c r="AA25" s="14">
        <v>0.93</v>
      </c>
      <c r="AB25" s="14">
        <v>0.91</v>
      </c>
      <c r="AC25" s="14">
        <v>0.88</v>
      </c>
      <c r="AD25" s="14">
        <v>0.89</v>
      </c>
      <c r="AE25" s="14">
        <v>0.87</v>
      </c>
      <c r="AF25" s="14">
        <v>0.86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209</v>
      </c>
      <c r="C3" s="17"/>
      <c r="D3" s="17"/>
      <c r="E3" s="17"/>
      <c r="F3" s="17"/>
      <c r="H3" s="17" t="s">
        <v>210</v>
      </c>
      <c r="I3" s="17"/>
      <c r="J3" s="17"/>
      <c r="K3" s="17"/>
      <c r="L3" s="17"/>
    </row>
    <row r="4" spans="1:32" ht="27" customHeight="1">
      <c r="B4" s="17"/>
      <c r="C4" s="17"/>
      <c r="D4" s="17"/>
      <c r="E4" s="17"/>
      <c r="F4" s="17"/>
      <c r="H4" s="17"/>
      <c r="I4" s="17"/>
      <c r="J4" s="17"/>
      <c r="K4" s="17"/>
      <c r="L4" s="17"/>
    </row>
    <row r="5" spans="1:32" ht="12" customHeight="1">
      <c r="B5" s="17" t="s">
        <v>1080</v>
      </c>
      <c r="C5" s="17"/>
      <c r="D5" s="17"/>
      <c r="E5" s="17"/>
      <c r="F5" s="17"/>
      <c r="H5" s="17" t="s">
        <v>1081</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2294</v>
      </c>
      <c r="D10" s="10">
        <v>144</v>
      </c>
      <c r="E10" s="10">
        <v>92</v>
      </c>
      <c r="F10" s="10">
        <v>112</v>
      </c>
      <c r="G10" s="10">
        <v>182</v>
      </c>
      <c r="H10" s="10">
        <v>91</v>
      </c>
      <c r="I10" s="10">
        <v>103</v>
      </c>
      <c r="J10" s="10">
        <v>12</v>
      </c>
      <c r="K10" s="10">
        <v>155</v>
      </c>
      <c r="L10" s="10">
        <v>97</v>
      </c>
      <c r="M10" s="10">
        <v>31</v>
      </c>
      <c r="N10" s="10">
        <v>104</v>
      </c>
      <c r="O10" s="10">
        <v>96</v>
      </c>
      <c r="P10" s="10">
        <v>124</v>
      </c>
      <c r="Q10" s="10">
        <v>75</v>
      </c>
      <c r="R10" s="10">
        <v>43</v>
      </c>
      <c r="S10" s="10">
        <v>109</v>
      </c>
      <c r="T10" s="10">
        <v>83</v>
      </c>
      <c r="U10" s="10">
        <v>68</v>
      </c>
      <c r="V10" s="10">
        <v>113</v>
      </c>
      <c r="W10" s="10">
        <v>75</v>
      </c>
      <c r="X10" s="10">
        <v>123</v>
      </c>
      <c r="Y10" s="10">
        <v>131</v>
      </c>
      <c r="Z10" s="10">
        <v>52</v>
      </c>
      <c r="AA10" s="10">
        <v>43</v>
      </c>
      <c r="AB10" s="10">
        <v>72</v>
      </c>
      <c r="AC10" s="10">
        <v>106</v>
      </c>
      <c r="AD10" s="10">
        <v>100</v>
      </c>
      <c r="AE10" s="10">
        <v>123</v>
      </c>
      <c r="AF10" s="10">
        <v>138</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805</v>
      </c>
      <c r="C12" s="12">
        <v>1000</v>
      </c>
      <c r="D12" s="12">
        <v>76</v>
      </c>
      <c r="E12" s="12">
        <v>52</v>
      </c>
      <c r="F12" s="12">
        <v>68</v>
      </c>
      <c r="G12" s="12">
        <v>113</v>
      </c>
      <c r="H12" s="12">
        <v>25</v>
      </c>
      <c r="I12" s="12">
        <v>26</v>
      </c>
      <c r="J12" s="12">
        <v>2</v>
      </c>
      <c r="K12" s="12">
        <v>85</v>
      </c>
      <c r="L12" s="12">
        <v>31</v>
      </c>
      <c r="M12" s="12">
        <v>23</v>
      </c>
      <c r="N12" s="12">
        <v>37</v>
      </c>
      <c r="O12" s="12">
        <v>46</v>
      </c>
      <c r="P12" s="12">
        <v>71</v>
      </c>
      <c r="Q12" s="12">
        <v>31</v>
      </c>
      <c r="R12" s="12">
        <v>25</v>
      </c>
      <c r="S12" s="12">
        <v>44</v>
      </c>
      <c r="T12" s="12">
        <v>41</v>
      </c>
      <c r="U12" s="12">
        <v>39</v>
      </c>
      <c r="V12" s="12">
        <v>54</v>
      </c>
      <c r="W12" s="12">
        <v>42</v>
      </c>
      <c r="X12" s="12">
        <v>50</v>
      </c>
      <c r="Y12" s="12">
        <v>47</v>
      </c>
      <c r="Z12" s="12">
        <v>30</v>
      </c>
      <c r="AA12" s="12">
        <v>13</v>
      </c>
      <c r="AB12" s="12">
        <v>29</v>
      </c>
      <c r="AC12" s="12">
        <v>58</v>
      </c>
      <c r="AD12" s="12">
        <v>62</v>
      </c>
      <c r="AE12" s="12">
        <v>61</v>
      </c>
      <c r="AF12" s="12">
        <v>80</v>
      </c>
    </row>
    <row r="13" spans="1:32">
      <c r="A13" s="19"/>
      <c r="B13" s="13" t="s">
        <v>805</v>
      </c>
      <c r="C13" s="14">
        <v>0.44</v>
      </c>
      <c r="D13" s="14">
        <v>0.53</v>
      </c>
      <c r="E13" s="14">
        <v>0.56000000000000005</v>
      </c>
      <c r="F13" s="14">
        <v>0.6</v>
      </c>
      <c r="G13" s="14">
        <v>0.62</v>
      </c>
      <c r="H13" s="14">
        <v>0.27</v>
      </c>
      <c r="I13" s="14">
        <v>0.26</v>
      </c>
      <c r="J13" s="14">
        <v>0.16</v>
      </c>
      <c r="K13" s="14">
        <v>0.55000000000000004</v>
      </c>
      <c r="L13" s="14">
        <v>0.31</v>
      </c>
      <c r="M13" s="14">
        <v>0.74</v>
      </c>
      <c r="N13" s="14">
        <v>0.36</v>
      </c>
      <c r="O13" s="14">
        <v>0.48</v>
      </c>
      <c r="P13" s="14">
        <v>0.57000000000000006</v>
      </c>
      <c r="Q13" s="14">
        <v>0.42</v>
      </c>
      <c r="R13" s="14">
        <v>0.57999999999999996</v>
      </c>
      <c r="S13" s="14">
        <v>0.4</v>
      </c>
      <c r="T13" s="14">
        <v>0.49</v>
      </c>
      <c r="U13" s="14">
        <v>0.57999999999999996</v>
      </c>
      <c r="V13" s="14">
        <v>0.48</v>
      </c>
      <c r="W13" s="14">
        <v>0.56000000000000005</v>
      </c>
      <c r="X13" s="14">
        <v>0.4</v>
      </c>
      <c r="Y13" s="14">
        <v>0.36</v>
      </c>
      <c r="Z13" s="14">
        <v>0.57999999999999996</v>
      </c>
      <c r="AA13" s="14">
        <v>0.31</v>
      </c>
      <c r="AB13" s="14">
        <v>0.4</v>
      </c>
      <c r="AC13" s="14">
        <v>0.54</v>
      </c>
      <c r="AD13" s="14">
        <v>0.62</v>
      </c>
      <c r="AE13" s="14">
        <v>0.5</v>
      </c>
      <c r="AF13" s="14">
        <v>0.57999999999999996</v>
      </c>
    </row>
    <row r="14" spans="1:32">
      <c r="A14" s="19"/>
      <c r="B14" s="11" t="s">
        <v>806</v>
      </c>
      <c r="C14" s="12">
        <v>88</v>
      </c>
      <c r="D14" s="12">
        <v>4</v>
      </c>
      <c r="E14" s="12">
        <v>2</v>
      </c>
      <c r="F14" s="12">
        <v>10</v>
      </c>
      <c r="G14" s="12">
        <v>10</v>
      </c>
      <c r="H14" s="12">
        <v>9</v>
      </c>
      <c r="I14" s="12">
        <v>10</v>
      </c>
      <c r="J14" s="12">
        <v>2</v>
      </c>
      <c r="K14" s="12">
        <v>2</v>
      </c>
      <c r="L14" s="12">
        <v>13</v>
      </c>
      <c r="M14" s="12">
        <v>0</v>
      </c>
      <c r="N14" s="12">
        <v>1</v>
      </c>
      <c r="O14" s="12">
        <v>1</v>
      </c>
      <c r="P14" s="12">
        <v>5</v>
      </c>
      <c r="Q14" s="12">
        <v>2</v>
      </c>
      <c r="R14" s="12">
        <v>0</v>
      </c>
      <c r="S14" s="12">
        <v>3</v>
      </c>
      <c r="T14" s="12">
        <v>0</v>
      </c>
      <c r="U14" s="12">
        <v>8</v>
      </c>
      <c r="V14" s="12">
        <v>4</v>
      </c>
      <c r="W14" s="12">
        <v>5</v>
      </c>
      <c r="X14" s="12">
        <v>1</v>
      </c>
      <c r="Y14" s="12">
        <v>14</v>
      </c>
      <c r="Z14" s="12">
        <v>3</v>
      </c>
      <c r="AA14" s="12">
        <v>0</v>
      </c>
      <c r="AB14" s="12">
        <v>0</v>
      </c>
      <c r="AC14" s="12">
        <v>11</v>
      </c>
      <c r="AD14" s="12">
        <v>6</v>
      </c>
      <c r="AE14" s="12">
        <v>2</v>
      </c>
      <c r="AF14" s="12">
        <v>4</v>
      </c>
    </row>
    <row r="15" spans="1:32">
      <c r="A15" s="19"/>
      <c r="B15" s="13" t="s">
        <v>807</v>
      </c>
      <c r="C15" s="14">
        <v>0.04</v>
      </c>
      <c r="D15" s="14">
        <v>0.03</v>
      </c>
      <c r="E15" s="14">
        <v>0.02</v>
      </c>
      <c r="F15" s="14">
        <v>0.09</v>
      </c>
      <c r="G15" s="14">
        <v>0.06</v>
      </c>
      <c r="H15" s="14">
        <v>0.1</v>
      </c>
      <c r="I15" s="14">
        <v>0.1</v>
      </c>
      <c r="J15" s="14">
        <v>0.13</v>
      </c>
      <c r="K15" s="14">
        <v>0.01</v>
      </c>
      <c r="L15" s="14">
        <v>0.13</v>
      </c>
      <c r="M15" s="15" t="s">
        <v>375</v>
      </c>
      <c r="N15" s="14">
        <v>0.01</v>
      </c>
      <c r="O15" s="14">
        <v>0.01</v>
      </c>
      <c r="P15" s="14">
        <v>0.04</v>
      </c>
      <c r="Q15" s="14">
        <v>0.02</v>
      </c>
      <c r="R15" s="15" t="s">
        <v>375</v>
      </c>
      <c r="S15" s="14">
        <v>0.03</v>
      </c>
      <c r="T15" s="15" t="s">
        <v>375</v>
      </c>
      <c r="U15" s="14">
        <v>0.12</v>
      </c>
      <c r="V15" s="14">
        <v>0.03</v>
      </c>
      <c r="W15" s="14">
        <v>7.0000000000000007E-2</v>
      </c>
      <c r="X15" s="14">
        <v>0.01</v>
      </c>
      <c r="Y15" s="14">
        <v>0.11</v>
      </c>
      <c r="Z15" s="14">
        <v>0.05</v>
      </c>
      <c r="AA15" s="15" t="s">
        <v>375</v>
      </c>
      <c r="AB15" s="15" t="s">
        <v>375</v>
      </c>
      <c r="AC15" s="14">
        <v>0.1</v>
      </c>
      <c r="AD15" s="14">
        <v>0.06</v>
      </c>
      <c r="AE15" s="14">
        <v>0.01</v>
      </c>
      <c r="AF15" s="14">
        <v>0.03</v>
      </c>
    </row>
    <row r="16" spans="1:32">
      <c r="A16" s="19"/>
      <c r="B16" s="11" t="s">
        <v>808</v>
      </c>
      <c r="C16" s="12">
        <v>466</v>
      </c>
      <c r="D16" s="12">
        <v>28</v>
      </c>
      <c r="E16" s="12">
        <v>9</v>
      </c>
      <c r="F16" s="12">
        <v>24</v>
      </c>
      <c r="G16" s="12">
        <v>26</v>
      </c>
      <c r="H16" s="12">
        <v>21</v>
      </c>
      <c r="I16" s="12">
        <v>23</v>
      </c>
      <c r="J16" s="12">
        <v>1</v>
      </c>
      <c r="K16" s="12">
        <v>16</v>
      </c>
      <c r="L16" s="12">
        <v>12</v>
      </c>
      <c r="M16" s="12">
        <v>4</v>
      </c>
      <c r="N16" s="12">
        <v>33</v>
      </c>
      <c r="O16" s="12">
        <v>16</v>
      </c>
      <c r="P16" s="12">
        <v>23</v>
      </c>
      <c r="Q16" s="12">
        <v>16</v>
      </c>
      <c r="R16" s="12">
        <v>2</v>
      </c>
      <c r="S16" s="12">
        <v>14</v>
      </c>
      <c r="T16" s="12">
        <v>11</v>
      </c>
      <c r="U16" s="12">
        <v>7</v>
      </c>
      <c r="V16" s="12">
        <v>12</v>
      </c>
      <c r="W16" s="12">
        <v>19</v>
      </c>
      <c r="X16" s="12">
        <v>23</v>
      </c>
      <c r="Y16" s="12">
        <v>30</v>
      </c>
      <c r="Z16" s="12">
        <v>9</v>
      </c>
      <c r="AA16" s="12">
        <v>22</v>
      </c>
      <c r="AB16" s="12">
        <v>4</v>
      </c>
      <c r="AC16" s="12">
        <v>11</v>
      </c>
      <c r="AD16" s="12">
        <v>19</v>
      </c>
      <c r="AE16" s="12">
        <v>17</v>
      </c>
      <c r="AF16" s="12">
        <v>33</v>
      </c>
    </row>
    <row r="17" spans="1:32">
      <c r="A17" s="19"/>
      <c r="B17" s="13" t="s">
        <v>808</v>
      </c>
      <c r="C17" s="14">
        <v>0.2</v>
      </c>
      <c r="D17" s="14">
        <v>0.19</v>
      </c>
      <c r="E17" s="14">
        <v>0.1</v>
      </c>
      <c r="F17" s="14">
        <v>0.22</v>
      </c>
      <c r="G17" s="14">
        <v>0.14000000000000001</v>
      </c>
      <c r="H17" s="14">
        <v>0.23</v>
      </c>
      <c r="I17" s="14">
        <v>0.22</v>
      </c>
      <c r="J17" s="14">
        <v>0.12</v>
      </c>
      <c r="K17" s="14">
        <v>0.1</v>
      </c>
      <c r="L17" s="14">
        <v>0.13</v>
      </c>
      <c r="M17" s="14">
        <v>0.14000000000000001</v>
      </c>
      <c r="N17" s="14">
        <v>0.32</v>
      </c>
      <c r="O17" s="14">
        <v>0.17</v>
      </c>
      <c r="P17" s="14">
        <v>0.19</v>
      </c>
      <c r="Q17" s="14">
        <v>0.21</v>
      </c>
      <c r="R17" s="14">
        <v>0.05</v>
      </c>
      <c r="S17" s="14">
        <v>0.13</v>
      </c>
      <c r="T17" s="14">
        <v>0.13</v>
      </c>
      <c r="U17" s="14">
        <v>0.11</v>
      </c>
      <c r="V17" s="14">
        <v>0.11</v>
      </c>
      <c r="W17" s="14">
        <v>0.25</v>
      </c>
      <c r="X17" s="14">
        <v>0.19</v>
      </c>
      <c r="Y17" s="14">
        <v>0.23</v>
      </c>
      <c r="Z17" s="14">
        <v>0.18</v>
      </c>
      <c r="AA17" s="14">
        <v>0.52</v>
      </c>
      <c r="AB17" s="14">
        <v>0.05</v>
      </c>
      <c r="AC17" s="14">
        <v>0.1</v>
      </c>
      <c r="AD17" s="14">
        <v>0.19</v>
      </c>
      <c r="AE17" s="14">
        <v>0.14000000000000001</v>
      </c>
      <c r="AF17" s="14">
        <v>0.24</v>
      </c>
    </row>
    <row r="18" spans="1:32">
      <c r="A18" s="19"/>
      <c r="B18" s="11" t="s">
        <v>809</v>
      </c>
      <c r="C18" s="12">
        <v>37</v>
      </c>
      <c r="D18" s="12">
        <v>6</v>
      </c>
      <c r="E18" s="12">
        <v>4</v>
      </c>
      <c r="F18" s="12">
        <v>4</v>
      </c>
      <c r="G18" s="12">
        <v>1</v>
      </c>
      <c r="H18" s="12">
        <v>0</v>
      </c>
      <c r="I18" s="12">
        <v>0</v>
      </c>
      <c r="J18" s="12">
        <v>0</v>
      </c>
      <c r="K18" s="12">
        <v>2</v>
      </c>
      <c r="L18" s="12">
        <v>0</v>
      </c>
      <c r="M18" s="12">
        <v>0</v>
      </c>
      <c r="N18" s="12">
        <v>0</v>
      </c>
      <c r="O18" s="12">
        <v>0</v>
      </c>
      <c r="P18" s="12">
        <v>3</v>
      </c>
      <c r="Q18" s="12">
        <v>3</v>
      </c>
      <c r="R18" s="12">
        <v>0</v>
      </c>
      <c r="S18" s="12">
        <v>1</v>
      </c>
      <c r="T18" s="12">
        <v>0</v>
      </c>
      <c r="U18" s="12">
        <v>0</v>
      </c>
      <c r="V18" s="12">
        <v>1</v>
      </c>
      <c r="W18" s="12">
        <v>5</v>
      </c>
      <c r="X18" s="12">
        <v>6</v>
      </c>
      <c r="Y18" s="12">
        <v>6</v>
      </c>
      <c r="Z18" s="12">
        <v>2</v>
      </c>
      <c r="AA18" s="12">
        <v>0</v>
      </c>
      <c r="AB18" s="12">
        <v>0</v>
      </c>
      <c r="AC18" s="12">
        <v>0</v>
      </c>
      <c r="AD18" s="12">
        <v>1</v>
      </c>
      <c r="AE18" s="12">
        <v>0</v>
      </c>
      <c r="AF18" s="12">
        <v>3</v>
      </c>
    </row>
    <row r="19" spans="1:32">
      <c r="A19" s="19"/>
      <c r="B19" s="13" t="s">
        <v>809</v>
      </c>
      <c r="C19" s="14">
        <v>0.02</v>
      </c>
      <c r="D19" s="14">
        <v>0.04</v>
      </c>
      <c r="E19" s="14">
        <v>0.05</v>
      </c>
      <c r="F19" s="14">
        <v>0.04</v>
      </c>
      <c r="G19" s="14">
        <v>0.01</v>
      </c>
      <c r="H19" s="15" t="s">
        <v>375</v>
      </c>
      <c r="I19" s="15" t="s">
        <v>375</v>
      </c>
      <c r="J19" s="15" t="s">
        <v>375</v>
      </c>
      <c r="K19" s="14">
        <v>0.01</v>
      </c>
      <c r="L19" s="15" t="s">
        <v>375</v>
      </c>
      <c r="M19" s="15" t="s">
        <v>375</v>
      </c>
      <c r="N19" s="15" t="s">
        <v>375</v>
      </c>
      <c r="O19" s="15" t="s">
        <v>375</v>
      </c>
      <c r="P19" s="14">
        <v>0.02</v>
      </c>
      <c r="Q19" s="14">
        <v>0.04</v>
      </c>
      <c r="R19" s="15" t="s">
        <v>375</v>
      </c>
      <c r="S19" s="14">
        <v>0.01</v>
      </c>
      <c r="T19" s="15" t="s">
        <v>375</v>
      </c>
      <c r="U19" s="15" t="s">
        <v>375</v>
      </c>
      <c r="V19" s="14">
        <v>0.01</v>
      </c>
      <c r="W19" s="14">
        <v>0.06</v>
      </c>
      <c r="X19" s="14">
        <v>0.05</v>
      </c>
      <c r="Y19" s="14">
        <v>0.05</v>
      </c>
      <c r="Z19" s="14">
        <v>0.05</v>
      </c>
      <c r="AA19" s="15" t="s">
        <v>375</v>
      </c>
      <c r="AB19" s="15" t="s">
        <v>375</v>
      </c>
      <c r="AC19" s="15" t="s">
        <v>375</v>
      </c>
      <c r="AD19" s="14">
        <v>0.01</v>
      </c>
      <c r="AE19" s="15" t="s">
        <v>375</v>
      </c>
      <c r="AF19" s="14">
        <v>0.02</v>
      </c>
    </row>
    <row r="20" spans="1:32">
      <c r="A20" s="19"/>
      <c r="B20" s="11" t="s">
        <v>810</v>
      </c>
      <c r="C20" s="12">
        <v>241</v>
      </c>
      <c r="D20" s="12">
        <v>24</v>
      </c>
      <c r="E20" s="12">
        <v>7</v>
      </c>
      <c r="F20" s="12">
        <v>17</v>
      </c>
      <c r="G20" s="12">
        <v>14</v>
      </c>
      <c r="H20" s="12">
        <v>11</v>
      </c>
      <c r="I20" s="12">
        <v>13</v>
      </c>
      <c r="J20" s="12">
        <v>2</v>
      </c>
      <c r="K20" s="12">
        <v>22</v>
      </c>
      <c r="L20" s="12">
        <v>7</v>
      </c>
      <c r="M20" s="12">
        <v>2</v>
      </c>
      <c r="N20" s="12">
        <v>3</v>
      </c>
      <c r="O20" s="12">
        <v>11</v>
      </c>
      <c r="P20" s="12">
        <v>14</v>
      </c>
      <c r="Q20" s="12">
        <v>5</v>
      </c>
      <c r="R20" s="12">
        <v>2</v>
      </c>
      <c r="S20" s="12">
        <v>10</v>
      </c>
      <c r="T20" s="12">
        <v>7</v>
      </c>
      <c r="U20" s="12">
        <v>2</v>
      </c>
      <c r="V20" s="12">
        <v>25</v>
      </c>
      <c r="W20" s="12">
        <v>13</v>
      </c>
      <c r="X20" s="12">
        <v>10</v>
      </c>
      <c r="Y20" s="12">
        <v>25</v>
      </c>
      <c r="Z20" s="12">
        <v>8</v>
      </c>
      <c r="AA20" s="12">
        <v>8</v>
      </c>
      <c r="AB20" s="12">
        <v>8</v>
      </c>
      <c r="AC20" s="12">
        <v>13</v>
      </c>
      <c r="AD20" s="12">
        <v>13</v>
      </c>
      <c r="AE20" s="12">
        <v>12</v>
      </c>
      <c r="AF20" s="12">
        <v>12</v>
      </c>
    </row>
    <row r="21" spans="1:32">
      <c r="A21" s="19"/>
      <c r="B21" s="13" t="s">
        <v>810</v>
      </c>
      <c r="C21" s="14">
        <v>0.11</v>
      </c>
      <c r="D21" s="14">
        <v>0.17</v>
      </c>
      <c r="E21" s="14">
        <v>0.08</v>
      </c>
      <c r="F21" s="14">
        <v>0.15</v>
      </c>
      <c r="G21" s="14">
        <v>0.08</v>
      </c>
      <c r="H21" s="14">
        <v>0.12</v>
      </c>
      <c r="I21" s="14">
        <v>0.12</v>
      </c>
      <c r="J21" s="14">
        <v>0.17</v>
      </c>
      <c r="K21" s="14">
        <v>0.14000000000000001</v>
      </c>
      <c r="L21" s="14">
        <v>7.0000000000000007E-2</v>
      </c>
      <c r="M21" s="14">
        <v>7.0000000000000007E-2</v>
      </c>
      <c r="N21" s="14">
        <v>0.03</v>
      </c>
      <c r="O21" s="14">
        <v>0.11</v>
      </c>
      <c r="P21" s="14">
        <v>0.12</v>
      </c>
      <c r="Q21" s="14">
        <v>7.0000000000000007E-2</v>
      </c>
      <c r="R21" s="14">
        <v>0.04</v>
      </c>
      <c r="S21" s="14">
        <v>0.1</v>
      </c>
      <c r="T21" s="14">
        <v>0.08</v>
      </c>
      <c r="U21" s="14">
        <v>0.03</v>
      </c>
      <c r="V21" s="14">
        <v>0.22</v>
      </c>
      <c r="W21" s="14">
        <v>0.17</v>
      </c>
      <c r="X21" s="14">
        <v>0.08</v>
      </c>
      <c r="Y21" s="14">
        <v>0.19</v>
      </c>
      <c r="Z21" s="14">
        <v>0.16</v>
      </c>
      <c r="AA21" s="14">
        <v>0.18</v>
      </c>
      <c r="AB21" s="14">
        <v>0.12</v>
      </c>
      <c r="AC21" s="14">
        <v>0.12</v>
      </c>
      <c r="AD21" s="14">
        <v>0.13</v>
      </c>
      <c r="AE21" s="14">
        <v>0.1</v>
      </c>
      <c r="AF21" s="14">
        <v>0.09</v>
      </c>
    </row>
    <row r="22" spans="1:32">
      <c r="A22" s="19"/>
      <c r="B22" s="11" t="s">
        <v>811</v>
      </c>
      <c r="C22" s="12">
        <v>59</v>
      </c>
      <c r="D22" s="12">
        <v>3</v>
      </c>
      <c r="E22" s="12">
        <v>2</v>
      </c>
      <c r="F22" s="12">
        <v>1</v>
      </c>
      <c r="G22" s="12">
        <v>6</v>
      </c>
      <c r="H22" s="12">
        <v>0</v>
      </c>
      <c r="I22" s="12">
        <v>0</v>
      </c>
      <c r="J22" s="12">
        <v>0</v>
      </c>
      <c r="K22" s="12">
        <v>3</v>
      </c>
      <c r="L22" s="12">
        <v>2</v>
      </c>
      <c r="M22" s="12">
        <v>0</v>
      </c>
      <c r="N22" s="12">
        <v>0</v>
      </c>
      <c r="O22" s="12">
        <v>0</v>
      </c>
      <c r="P22" s="12">
        <v>5</v>
      </c>
      <c r="Q22" s="12">
        <v>7</v>
      </c>
      <c r="R22" s="12">
        <v>0</v>
      </c>
      <c r="S22" s="12">
        <v>2</v>
      </c>
      <c r="T22" s="12">
        <v>0</v>
      </c>
      <c r="U22" s="12">
        <v>2</v>
      </c>
      <c r="V22" s="12">
        <v>5</v>
      </c>
      <c r="W22" s="12">
        <v>12</v>
      </c>
      <c r="X22" s="12">
        <v>8</v>
      </c>
      <c r="Y22" s="12">
        <v>5</v>
      </c>
      <c r="Z22" s="12">
        <v>2</v>
      </c>
      <c r="AA22" s="12">
        <v>0</v>
      </c>
      <c r="AB22" s="12">
        <v>0</v>
      </c>
      <c r="AC22" s="12">
        <v>0</v>
      </c>
      <c r="AD22" s="12">
        <v>3</v>
      </c>
      <c r="AE22" s="12">
        <v>4</v>
      </c>
      <c r="AF22" s="12">
        <v>12</v>
      </c>
    </row>
    <row r="23" spans="1:32">
      <c r="A23" s="19"/>
      <c r="B23" s="13" t="s">
        <v>811</v>
      </c>
      <c r="C23" s="14">
        <v>0.03</v>
      </c>
      <c r="D23" s="14">
        <v>0.02</v>
      </c>
      <c r="E23" s="14">
        <v>0.02</v>
      </c>
      <c r="F23" s="15" t="s">
        <v>375</v>
      </c>
      <c r="G23" s="14">
        <v>0.04</v>
      </c>
      <c r="H23" s="15" t="s">
        <v>375</v>
      </c>
      <c r="I23" s="15" t="s">
        <v>375</v>
      </c>
      <c r="J23" s="15" t="s">
        <v>375</v>
      </c>
      <c r="K23" s="14">
        <v>0.02</v>
      </c>
      <c r="L23" s="14">
        <v>0.02</v>
      </c>
      <c r="M23" s="15" t="s">
        <v>375</v>
      </c>
      <c r="N23" s="15" t="s">
        <v>375</v>
      </c>
      <c r="O23" s="15" t="s">
        <v>375</v>
      </c>
      <c r="P23" s="14">
        <v>0.04</v>
      </c>
      <c r="Q23" s="14">
        <v>0.09</v>
      </c>
      <c r="R23" s="15" t="s">
        <v>375</v>
      </c>
      <c r="S23" s="14">
        <v>0.02</v>
      </c>
      <c r="T23" s="15" t="s">
        <v>375</v>
      </c>
      <c r="U23" s="14">
        <v>0.03</v>
      </c>
      <c r="V23" s="14">
        <v>0.05</v>
      </c>
      <c r="W23" s="14">
        <v>0.17</v>
      </c>
      <c r="X23" s="14">
        <v>0.06</v>
      </c>
      <c r="Y23" s="14">
        <v>0.04</v>
      </c>
      <c r="Z23" s="14">
        <v>0.04</v>
      </c>
      <c r="AA23" s="15" t="s">
        <v>375</v>
      </c>
      <c r="AB23" s="15" t="s">
        <v>375</v>
      </c>
      <c r="AC23" s="15" t="s">
        <v>375</v>
      </c>
      <c r="AD23" s="14">
        <v>0.03</v>
      </c>
      <c r="AE23" s="14">
        <v>0.03</v>
      </c>
      <c r="AF23" s="14">
        <v>0.08</v>
      </c>
    </row>
    <row r="24" spans="1:32">
      <c r="A24" s="19"/>
      <c r="B24" s="11" t="s">
        <v>812</v>
      </c>
      <c r="C24" s="12">
        <v>63</v>
      </c>
      <c r="D24" s="12">
        <v>7</v>
      </c>
      <c r="E24" s="12">
        <v>0</v>
      </c>
      <c r="F24" s="12">
        <v>1</v>
      </c>
      <c r="G24" s="12">
        <v>3</v>
      </c>
      <c r="H24" s="12">
        <v>1</v>
      </c>
      <c r="I24" s="12">
        <v>1</v>
      </c>
      <c r="J24" s="12">
        <v>0</v>
      </c>
      <c r="K24" s="12">
        <v>3</v>
      </c>
      <c r="L24" s="12">
        <v>4</v>
      </c>
      <c r="M24" s="12">
        <v>0</v>
      </c>
      <c r="N24" s="12">
        <v>0</v>
      </c>
      <c r="O24" s="12">
        <v>4</v>
      </c>
      <c r="P24" s="12">
        <v>7</v>
      </c>
      <c r="Q24" s="12">
        <v>4</v>
      </c>
      <c r="R24" s="12">
        <v>0</v>
      </c>
      <c r="S24" s="12">
        <v>2</v>
      </c>
      <c r="T24" s="12">
        <v>0</v>
      </c>
      <c r="U24" s="12">
        <v>0</v>
      </c>
      <c r="V24" s="12">
        <v>2</v>
      </c>
      <c r="W24" s="12">
        <v>6</v>
      </c>
      <c r="X24" s="12">
        <v>5</v>
      </c>
      <c r="Y24" s="12">
        <v>10</v>
      </c>
      <c r="Z24" s="12">
        <v>2</v>
      </c>
      <c r="AA24" s="12">
        <v>0</v>
      </c>
      <c r="AB24" s="12">
        <v>0</v>
      </c>
      <c r="AC24" s="12">
        <v>0</v>
      </c>
      <c r="AD24" s="12">
        <v>3</v>
      </c>
      <c r="AE24" s="12">
        <v>0</v>
      </c>
      <c r="AF24" s="12">
        <v>1</v>
      </c>
    </row>
    <row r="25" spans="1:32">
      <c r="A25" s="19"/>
      <c r="B25" s="13" t="s">
        <v>812</v>
      </c>
      <c r="C25" s="14">
        <v>0.03</v>
      </c>
      <c r="D25" s="14">
        <v>0.05</v>
      </c>
      <c r="E25" s="15" t="s">
        <v>375</v>
      </c>
      <c r="F25" s="14">
        <v>0.01</v>
      </c>
      <c r="G25" s="14">
        <v>0.02</v>
      </c>
      <c r="H25" s="14">
        <v>0.02</v>
      </c>
      <c r="I25" s="14">
        <v>0.01</v>
      </c>
      <c r="J25" s="15" t="s">
        <v>375</v>
      </c>
      <c r="K25" s="14">
        <v>0.02</v>
      </c>
      <c r="L25" s="14">
        <v>0.04</v>
      </c>
      <c r="M25" s="15" t="s">
        <v>375</v>
      </c>
      <c r="N25" s="15" t="s">
        <v>375</v>
      </c>
      <c r="O25" s="14">
        <v>0.04</v>
      </c>
      <c r="P25" s="14">
        <v>0.06</v>
      </c>
      <c r="Q25" s="14">
        <v>0.06</v>
      </c>
      <c r="R25" s="15" t="s">
        <v>375</v>
      </c>
      <c r="S25" s="14">
        <v>0.02</v>
      </c>
      <c r="T25" s="15" t="s">
        <v>375</v>
      </c>
      <c r="U25" s="15" t="s">
        <v>375</v>
      </c>
      <c r="V25" s="14">
        <v>0.02</v>
      </c>
      <c r="W25" s="14">
        <v>0.08</v>
      </c>
      <c r="X25" s="14">
        <v>0.04</v>
      </c>
      <c r="Y25" s="14">
        <v>0.08</v>
      </c>
      <c r="Z25" s="14">
        <v>0.05</v>
      </c>
      <c r="AA25" s="15" t="s">
        <v>375</v>
      </c>
      <c r="AB25" s="15" t="s">
        <v>375</v>
      </c>
      <c r="AC25" s="15" t="s">
        <v>375</v>
      </c>
      <c r="AD25" s="14">
        <v>0.03</v>
      </c>
      <c r="AE25" s="15" t="s">
        <v>375</v>
      </c>
      <c r="AF25" s="14">
        <v>0.01</v>
      </c>
    </row>
    <row r="26" spans="1:32">
      <c r="A26" s="19"/>
      <c r="B26" s="11" t="s">
        <v>813</v>
      </c>
      <c r="C26" s="12">
        <v>447</v>
      </c>
      <c r="D26" s="12">
        <v>24</v>
      </c>
      <c r="E26" s="12">
        <v>12</v>
      </c>
      <c r="F26" s="12">
        <v>9</v>
      </c>
      <c r="G26" s="12">
        <v>20</v>
      </c>
      <c r="H26" s="12">
        <v>21</v>
      </c>
      <c r="I26" s="12">
        <v>23</v>
      </c>
      <c r="J26" s="12">
        <v>2</v>
      </c>
      <c r="K26" s="12">
        <v>24</v>
      </c>
      <c r="L26" s="12">
        <v>21</v>
      </c>
      <c r="M26" s="12">
        <v>1</v>
      </c>
      <c r="N26" s="12">
        <v>36</v>
      </c>
      <c r="O26" s="12">
        <v>16</v>
      </c>
      <c r="P26" s="12">
        <v>13</v>
      </c>
      <c r="Q26" s="12">
        <v>14</v>
      </c>
      <c r="R26" s="12">
        <v>13</v>
      </c>
      <c r="S26" s="12">
        <v>23</v>
      </c>
      <c r="T26" s="12">
        <v>13</v>
      </c>
      <c r="U26" s="12">
        <v>4</v>
      </c>
      <c r="V26" s="12">
        <v>18</v>
      </c>
      <c r="W26" s="12">
        <v>13</v>
      </c>
      <c r="X26" s="12">
        <v>35</v>
      </c>
      <c r="Y26" s="12">
        <v>19</v>
      </c>
      <c r="Z26" s="12">
        <v>6</v>
      </c>
      <c r="AA26" s="12">
        <v>9</v>
      </c>
      <c r="AB26" s="12">
        <v>19</v>
      </c>
      <c r="AC26" s="12">
        <v>11</v>
      </c>
      <c r="AD26" s="12">
        <v>12</v>
      </c>
      <c r="AE26" s="12">
        <v>19</v>
      </c>
      <c r="AF26" s="12">
        <v>6</v>
      </c>
    </row>
    <row r="27" spans="1:32">
      <c r="A27" s="19"/>
      <c r="B27" s="13" t="s">
        <v>813</v>
      </c>
      <c r="C27" s="14">
        <v>0.19</v>
      </c>
      <c r="D27" s="14">
        <v>0.16</v>
      </c>
      <c r="E27" s="14">
        <v>0.13</v>
      </c>
      <c r="F27" s="14">
        <v>0.08</v>
      </c>
      <c r="G27" s="14">
        <v>0.11</v>
      </c>
      <c r="H27" s="14">
        <v>0.23</v>
      </c>
      <c r="I27" s="14">
        <v>0.22</v>
      </c>
      <c r="J27" s="14">
        <v>0.17</v>
      </c>
      <c r="K27" s="14">
        <v>0.16</v>
      </c>
      <c r="L27" s="14">
        <v>0.21</v>
      </c>
      <c r="M27" s="14">
        <v>0.05</v>
      </c>
      <c r="N27" s="14">
        <v>0.35</v>
      </c>
      <c r="O27" s="14">
        <v>0.16</v>
      </c>
      <c r="P27" s="14">
        <v>0.11</v>
      </c>
      <c r="Q27" s="14">
        <v>0.18</v>
      </c>
      <c r="R27" s="14">
        <v>0.3</v>
      </c>
      <c r="S27" s="14">
        <v>0.21</v>
      </c>
      <c r="T27" s="14">
        <v>0.16</v>
      </c>
      <c r="U27" s="14">
        <v>7.0000000000000007E-2</v>
      </c>
      <c r="V27" s="14">
        <v>0.16</v>
      </c>
      <c r="W27" s="14">
        <v>0.17</v>
      </c>
      <c r="X27" s="14">
        <v>0.28000000000000003</v>
      </c>
      <c r="Y27" s="14">
        <v>0.15</v>
      </c>
      <c r="Z27" s="14">
        <v>0.12</v>
      </c>
      <c r="AA27" s="14">
        <v>0.2</v>
      </c>
      <c r="AB27" s="14">
        <v>0.26</v>
      </c>
      <c r="AC27" s="14">
        <v>0.1</v>
      </c>
      <c r="AD27" s="14">
        <v>0.12</v>
      </c>
      <c r="AE27" s="14">
        <v>0.16</v>
      </c>
      <c r="AF27" s="14">
        <v>0.04</v>
      </c>
    </row>
    <row r="28" spans="1:32">
      <c r="A28" s="19"/>
      <c r="B28" s="11" t="s">
        <v>814</v>
      </c>
      <c r="C28" s="12">
        <v>42</v>
      </c>
      <c r="D28" s="12">
        <v>2</v>
      </c>
      <c r="E28" s="12">
        <v>0</v>
      </c>
      <c r="F28" s="12">
        <v>1</v>
      </c>
      <c r="G28" s="12">
        <v>6</v>
      </c>
      <c r="H28" s="12">
        <v>0</v>
      </c>
      <c r="I28" s="12">
        <v>0</v>
      </c>
      <c r="J28" s="12">
        <v>0</v>
      </c>
      <c r="K28" s="12">
        <v>4</v>
      </c>
      <c r="L28" s="12">
        <v>0</v>
      </c>
      <c r="M28" s="12">
        <v>0</v>
      </c>
      <c r="N28" s="12">
        <v>0</v>
      </c>
      <c r="O28" s="12">
        <v>0</v>
      </c>
      <c r="P28" s="12">
        <v>6</v>
      </c>
      <c r="Q28" s="12">
        <v>3</v>
      </c>
      <c r="R28" s="12">
        <v>0</v>
      </c>
      <c r="S28" s="12">
        <v>1</v>
      </c>
      <c r="T28" s="12">
        <v>0</v>
      </c>
      <c r="U28" s="12">
        <v>0</v>
      </c>
      <c r="V28" s="12">
        <v>8</v>
      </c>
      <c r="W28" s="12">
        <v>6</v>
      </c>
      <c r="X28" s="12">
        <v>2</v>
      </c>
      <c r="Y28" s="12">
        <v>2</v>
      </c>
      <c r="Z28" s="12">
        <v>6</v>
      </c>
      <c r="AA28" s="12">
        <v>0</v>
      </c>
      <c r="AB28" s="12">
        <v>1</v>
      </c>
      <c r="AC28" s="12">
        <v>0</v>
      </c>
      <c r="AD28" s="12">
        <v>1</v>
      </c>
      <c r="AE28" s="12">
        <v>1</v>
      </c>
      <c r="AF28" s="12">
        <v>4</v>
      </c>
    </row>
    <row r="29" spans="1:32">
      <c r="A29" s="19"/>
      <c r="B29" s="13" t="s">
        <v>814</v>
      </c>
      <c r="C29" s="14">
        <v>0.02</v>
      </c>
      <c r="D29" s="14">
        <v>0.01</v>
      </c>
      <c r="E29" s="15" t="s">
        <v>375</v>
      </c>
      <c r="F29" s="14">
        <v>0.01</v>
      </c>
      <c r="G29" s="14">
        <v>0.03</v>
      </c>
      <c r="H29" s="15" t="s">
        <v>375</v>
      </c>
      <c r="I29" s="15" t="s">
        <v>375</v>
      </c>
      <c r="J29" s="15" t="s">
        <v>375</v>
      </c>
      <c r="K29" s="14">
        <v>0.02</v>
      </c>
      <c r="L29" s="15" t="s">
        <v>375</v>
      </c>
      <c r="M29" s="15" t="s">
        <v>375</v>
      </c>
      <c r="N29" s="15" t="s">
        <v>375</v>
      </c>
      <c r="O29" s="15" t="s">
        <v>375</v>
      </c>
      <c r="P29" s="14">
        <v>0.05</v>
      </c>
      <c r="Q29" s="14">
        <v>0.04</v>
      </c>
      <c r="R29" s="15" t="s">
        <v>375</v>
      </c>
      <c r="S29" s="14">
        <v>0.01</v>
      </c>
      <c r="T29" s="15" t="s">
        <v>375</v>
      </c>
      <c r="U29" s="15" t="s">
        <v>375</v>
      </c>
      <c r="V29" s="14">
        <v>7.0000000000000007E-2</v>
      </c>
      <c r="W29" s="14">
        <v>0.08</v>
      </c>
      <c r="X29" s="14">
        <v>0.02</v>
      </c>
      <c r="Y29" s="14">
        <v>0.02</v>
      </c>
      <c r="Z29" s="14">
        <v>0.11</v>
      </c>
      <c r="AA29" s="15" t="s">
        <v>375</v>
      </c>
      <c r="AB29" s="14">
        <v>0.01</v>
      </c>
      <c r="AC29" s="15" t="s">
        <v>375</v>
      </c>
      <c r="AD29" s="14">
        <v>0.01</v>
      </c>
      <c r="AE29" s="14">
        <v>0.01</v>
      </c>
      <c r="AF29" s="14">
        <v>0.03</v>
      </c>
    </row>
    <row r="30" spans="1:32">
      <c r="A30" s="19"/>
      <c r="B30" s="11" t="s">
        <v>1058</v>
      </c>
      <c r="C30" s="12">
        <v>92</v>
      </c>
      <c r="D30" s="12">
        <v>14</v>
      </c>
      <c r="E30" s="12">
        <v>7</v>
      </c>
      <c r="F30" s="12">
        <v>13</v>
      </c>
      <c r="G30" s="12">
        <v>0</v>
      </c>
      <c r="H30" s="12">
        <v>1</v>
      </c>
      <c r="I30" s="12">
        <v>1</v>
      </c>
      <c r="J30" s="12">
        <v>0</v>
      </c>
      <c r="K30" s="12">
        <v>2</v>
      </c>
      <c r="L30" s="12">
        <v>4</v>
      </c>
      <c r="M30" s="12">
        <v>2</v>
      </c>
      <c r="N30" s="12">
        <v>0</v>
      </c>
      <c r="O30" s="12">
        <v>2</v>
      </c>
      <c r="P30" s="12">
        <v>10</v>
      </c>
      <c r="Q30" s="12">
        <v>5</v>
      </c>
      <c r="R30" s="12">
        <v>1</v>
      </c>
      <c r="S30" s="12">
        <v>1</v>
      </c>
      <c r="T30" s="12">
        <v>3</v>
      </c>
      <c r="U30" s="12">
        <v>3</v>
      </c>
      <c r="V30" s="12">
        <v>14</v>
      </c>
      <c r="W30" s="12">
        <v>6</v>
      </c>
      <c r="X30" s="12">
        <v>2</v>
      </c>
      <c r="Y30" s="12">
        <v>7</v>
      </c>
      <c r="Z30" s="12">
        <v>8</v>
      </c>
      <c r="AA30" s="12">
        <v>3</v>
      </c>
      <c r="AB30" s="12">
        <v>2</v>
      </c>
      <c r="AC30" s="12">
        <v>2</v>
      </c>
      <c r="AD30" s="12">
        <v>11</v>
      </c>
      <c r="AE30" s="12">
        <v>1</v>
      </c>
      <c r="AF30" s="12">
        <v>3</v>
      </c>
    </row>
    <row r="31" spans="1:32">
      <c r="A31" s="19"/>
      <c r="B31" s="13" t="s">
        <v>815</v>
      </c>
      <c r="C31" s="14">
        <v>0.04</v>
      </c>
      <c r="D31" s="14">
        <v>0.1</v>
      </c>
      <c r="E31" s="14">
        <v>0.08</v>
      </c>
      <c r="F31" s="14">
        <v>0.11</v>
      </c>
      <c r="G31" s="15" t="s">
        <v>375</v>
      </c>
      <c r="H31" s="14">
        <v>0.01</v>
      </c>
      <c r="I31" s="14">
        <v>0.01</v>
      </c>
      <c r="J31" s="15" t="s">
        <v>375</v>
      </c>
      <c r="K31" s="14">
        <v>0.01</v>
      </c>
      <c r="L31" s="14">
        <v>0.04</v>
      </c>
      <c r="M31" s="14">
        <v>7.0000000000000007E-2</v>
      </c>
      <c r="N31" s="15" t="s">
        <v>375</v>
      </c>
      <c r="O31" s="14">
        <v>0.02</v>
      </c>
      <c r="P31" s="14">
        <v>0.08</v>
      </c>
      <c r="Q31" s="14">
        <v>7.0000000000000007E-2</v>
      </c>
      <c r="R31" s="14">
        <v>0.03</v>
      </c>
      <c r="S31" s="14">
        <v>0.01</v>
      </c>
      <c r="T31" s="14">
        <v>0.04</v>
      </c>
      <c r="U31" s="14">
        <v>0.04</v>
      </c>
      <c r="V31" s="14">
        <v>0.12</v>
      </c>
      <c r="W31" s="14">
        <v>0.08</v>
      </c>
      <c r="X31" s="14">
        <v>0.02</v>
      </c>
      <c r="Y31" s="14">
        <v>0.05</v>
      </c>
      <c r="Z31" s="14">
        <v>0.16</v>
      </c>
      <c r="AA31" s="14">
        <v>0.06</v>
      </c>
      <c r="AB31" s="14">
        <v>0.02</v>
      </c>
      <c r="AC31" s="14">
        <v>0.02</v>
      </c>
      <c r="AD31" s="14">
        <v>0.11</v>
      </c>
      <c r="AE31" s="14">
        <v>0.01</v>
      </c>
      <c r="AF31" s="14">
        <v>0.02</v>
      </c>
    </row>
    <row r="32" spans="1:32">
      <c r="A32" s="19"/>
      <c r="B32" s="11" t="s">
        <v>816</v>
      </c>
      <c r="C32" s="12">
        <v>170</v>
      </c>
      <c r="D32" s="12">
        <v>25</v>
      </c>
      <c r="E32" s="12">
        <v>1</v>
      </c>
      <c r="F32" s="12">
        <v>9</v>
      </c>
      <c r="G32" s="12">
        <v>0</v>
      </c>
      <c r="H32" s="12">
        <v>8</v>
      </c>
      <c r="I32" s="12">
        <v>9</v>
      </c>
      <c r="J32" s="12">
        <v>1</v>
      </c>
      <c r="K32" s="12">
        <v>4</v>
      </c>
      <c r="L32" s="12">
        <v>18</v>
      </c>
      <c r="M32" s="12">
        <v>0</v>
      </c>
      <c r="N32" s="12">
        <v>1</v>
      </c>
      <c r="O32" s="12">
        <v>5</v>
      </c>
      <c r="P32" s="12">
        <v>10</v>
      </c>
      <c r="Q32" s="12">
        <v>12</v>
      </c>
      <c r="R32" s="12">
        <v>0</v>
      </c>
      <c r="S32" s="12">
        <v>2</v>
      </c>
      <c r="T32" s="12">
        <v>3</v>
      </c>
      <c r="U32" s="12">
        <v>6</v>
      </c>
      <c r="V32" s="12">
        <v>2</v>
      </c>
      <c r="W32" s="12">
        <v>10</v>
      </c>
      <c r="X32" s="12">
        <v>8</v>
      </c>
      <c r="Y32" s="12">
        <v>22</v>
      </c>
      <c r="Z32" s="12">
        <v>4</v>
      </c>
      <c r="AA32" s="12">
        <v>9</v>
      </c>
      <c r="AB32" s="12">
        <v>7</v>
      </c>
      <c r="AC32" s="12">
        <v>2</v>
      </c>
      <c r="AD32" s="12">
        <v>17</v>
      </c>
      <c r="AE32" s="12">
        <v>1</v>
      </c>
      <c r="AF32" s="12">
        <v>0</v>
      </c>
    </row>
    <row r="33" spans="1:32">
      <c r="A33" s="19"/>
      <c r="B33" s="13" t="s">
        <v>816</v>
      </c>
      <c r="C33" s="14">
        <v>7.0000000000000007E-2</v>
      </c>
      <c r="D33" s="14">
        <v>0.18</v>
      </c>
      <c r="E33" s="14">
        <v>0.01</v>
      </c>
      <c r="F33" s="14">
        <v>0.08</v>
      </c>
      <c r="G33" s="15" t="s">
        <v>375</v>
      </c>
      <c r="H33" s="14">
        <v>0.08</v>
      </c>
      <c r="I33" s="14">
        <v>0.08</v>
      </c>
      <c r="J33" s="14">
        <v>0.1</v>
      </c>
      <c r="K33" s="14">
        <v>0.02</v>
      </c>
      <c r="L33" s="14">
        <v>0.18</v>
      </c>
      <c r="M33" s="15" t="s">
        <v>375</v>
      </c>
      <c r="N33" s="14">
        <v>0.01</v>
      </c>
      <c r="O33" s="14">
        <v>0.05</v>
      </c>
      <c r="P33" s="14">
        <v>0.08</v>
      </c>
      <c r="Q33" s="14">
        <v>0.16</v>
      </c>
      <c r="R33" s="15" t="s">
        <v>375</v>
      </c>
      <c r="S33" s="14">
        <v>0.02</v>
      </c>
      <c r="T33" s="14">
        <v>0.04</v>
      </c>
      <c r="U33" s="14">
        <v>0.09</v>
      </c>
      <c r="V33" s="14">
        <v>0.02</v>
      </c>
      <c r="W33" s="14">
        <v>0.13</v>
      </c>
      <c r="X33" s="14">
        <v>0.06</v>
      </c>
      <c r="Y33" s="14">
        <v>0.17</v>
      </c>
      <c r="Z33" s="14">
        <v>7.0000000000000007E-2</v>
      </c>
      <c r="AA33" s="14">
        <v>0.21</v>
      </c>
      <c r="AB33" s="14">
        <v>0.09</v>
      </c>
      <c r="AC33" s="14">
        <v>0.02</v>
      </c>
      <c r="AD33" s="14">
        <v>0.17</v>
      </c>
      <c r="AE33" s="14">
        <v>0.01</v>
      </c>
      <c r="AF33" s="15" t="s">
        <v>375</v>
      </c>
    </row>
    <row r="34" spans="1:32">
      <c r="A34" s="19"/>
      <c r="B34" s="11" t="s">
        <v>817</v>
      </c>
      <c r="C34" s="12">
        <v>35</v>
      </c>
      <c r="D34" s="12">
        <v>4</v>
      </c>
      <c r="E34" s="12">
        <v>0</v>
      </c>
      <c r="F34" s="12">
        <v>3</v>
      </c>
      <c r="G34" s="12">
        <v>0</v>
      </c>
      <c r="H34" s="12">
        <v>1</v>
      </c>
      <c r="I34" s="12">
        <v>1</v>
      </c>
      <c r="J34" s="12">
        <v>0</v>
      </c>
      <c r="K34" s="12">
        <v>8</v>
      </c>
      <c r="L34" s="12">
        <v>0</v>
      </c>
      <c r="M34" s="12">
        <v>1</v>
      </c>
      <c r="N34" s="12">
        <v>0</v>
      </c>
      <c r="O34" s="12">
        <v>0</v>
      </c>
      <c r="P34" s="12">
        <v>5</v>
      </c>
      <c r="Q34" s="12">
        <v>5</v>
      </c>
      <c r="R34" s="12">
        <v>1</v>
      </c>
      <c r="S34" s="12">
        <v>2</v>
      </c>
      <c r="T34" s="12">
        <v>2</v>
      </c>
      <c r="U34" s="12">
        <v>0</v>
      </c>
      <c r="V34" s="12">
        <v>7</v>
      </c>
      <c r="W34" s="12">
        <v>6</v>
      </c>
      <c r="X34" s="12">
        <v>0</v>
      </c>
      <c r="Y34" s="12">
        <v>2</v>
      </c>
      <c r="Z34" s="12">
        <v>0</v>
      </c>
      <c r="AA34" s="12">
        <v>0</v>
      </c>
      <c r="AB34" s="12">
        <v>0</v>
      </c>
      <c r="AC34" s="12">
        <v>2</v>
      </c>
      <c r="AD34" s="12">
        <v>6</v>
      </c>
      <c r="AE34" s="12">
        <v>1</v>
      </c>
      <c r="AF34" s="12">
        <v>0</v>
      </c>
    </row>
    <row r="35" spans="1:32">
      <c r="A35" s="19"/>
      <c r="B35" s="13" t="s">
        <v>817</v>
      </c>
      <c r="C35" s="14">
        <v>0.02</v>
      </c>
      <c r="D35" s="14">
        <v>0.02</v>
      </c>
      <c r="E35" s="15" t="s">
        <v>375</v>
      </c>
      <c r="F35" s="14">
        <v>0.03</v>
      </c>
      <c r="G35" s="15" t="s">
        <v>375</v>
      </c>
      <c r="H35" s="14">
        <v>0.01</v>
      </c>
      <c r="I35" s="14">
        <v>0.01</v>
      </c>
      <c r="J35" s="15" t="s">
        <v>375</v>
      </c>
      <c r="K35" s="14">
        <v>0.05</v>
      </c>
      <c r="L35" s="15" t="s">
        <v>375</v>
      </c>
      <c r="M35" s="14">
        <v>0.04</v>
      </c>
      <c r="N35" s="15" t="s">
        <v>375</v>
      </c>
      <c r="O35" s="15" t="s">
        <v>375</v>
      </c>
      <c r="P35" s="14">
        <v>0.04</v>
      </c>
      <c r="Q35" s="14">
        <v>7.0000000000000007E-2</v>
      </c>
      <c r="R35" s="14">
        <v>0.02</v>
      </c>
      <c r="S35" s="14">
        <v>0.02</v>
      </c>
      <c r="T35" s="14">
        <v>0.02</v>
      </c>
      <c r="U35" s="15" t="s">
        <v>375</v>
      </c>
      <c r="V35" s="14">
        <v>0.06</v>
      </c>
      <c r="W35" s="14">
        <v>7.0000000000000007E-2</v>
      </c>
      <c r="X35" s="15" t="s">
        <v>375</v>
      </c>
      <c r="Y35" s="14">
        <v>0.01</v>
      </c>
      <c r="Z35" s="15" t="s">
        <v>375</v>
      </c>
      <c r="AA35" s="15" t="s">
        <v>375</v>
      </c>
      <c r="AB35" s="15" t="s">
        <v>375</v>
      </c>
      <c r="AC35" s="14">
        <v>0.02</v>
      </c>
      <c r="AD35" s="14">
        <v>0.06</v>
      </c>
      <c r="AE35" s="14">
        <v>0.01</v>
      </c>
      <c r="AF35" s="15" t="s">
        <v>375</v>
      </c>
    </row>
    <row r="36" spans="1:32">
      <c r="A36" s="19"/>
      <c r="B36" s="11" t="s">
        <v>818</v>
      </c>
      <c r="C36" s="12">
        <v>14</v>
      </c>
      <c r="D36" s="12">
        <v>1</v>
      </c>
      <c r="E36" s="12">
        <v>1</v>
      </c>
      <c r="F36" s="12">
        <v>2</v>
      </c>
      <c r="G36" s="12">
        <v>0</v>
      </c>
      <c r="H36" s="12">
        <v>0</v>
      </c>
      <c r="I36" s="12">
        <v>0</v>
      </c>
      <c r="J36" s="12">
        <v>0</v>
      </c>
      <c r="K36" s="12">
        <v>2</v>
      </c>
      <c r="L36" s="12">
        <v>0</v>
      </c>
      <c r="M36" s="12">
        <v>0</v>
      </c>
      <c r="N36" s="12">
        <v>0</v>
      </c>
      <c r="O36" s="12">
        <v>1</v>
      </c>
      <c r="P36" s="12">
        <v>4</v>
      </c>
      <c r="Q36" s="12">
        <v>1</v>
      </c>
      <c r="R36" s="12">
        <v>0</v>
      </c>
      <c r="S36" s="12">
        <v>0</v>
      </c>
      <c r="T36" s="12">
        <v>0</v>
      </c>
      <c r="U36" s="12">
        <v>0</v>
      </c>
      <c r="V36" s="12">
        <v>0</v>
      </c>
      <c r="W36" s="12">
        <v>3</v>
      </c>
      <c r="X36" s="12">
        <v>2</v>
      </c>
      <c r="Y36" s="12">
        <v>2</v>
      </c>
      <c r="Z36" s="12">
        <v>0</v>
      </c>
      <c r="AA36" s="12">
        <v>0</v>
      </c>
      <c r="AB36" s="12">
        <v>0</v>
      </c>
      <c r="AC36" s="12">
        <v>0</v>
      </c>
      <c r="AD36" s="12">
        <v>2</v>
      </c>
      <c r="AE36" s="12">
        <v>0</v>
      </c>
      <c r="AF36" s="12">
        <v>0</v>
      </c>
    </row>
    <row r="37" spans="1:32">
      <c r="A37" s="19"/>
      <c r="B37" s="13" t="s">
        <v>818</v>
      </c>
      <c r="C37" s="14">
        <v>0.01</v>
      </c>
      <c r="D37" s="14">
        <v>0.01</v>
      </c>
      <c r="E37" s="14">
        <v>0.01</v>
      </c>
      <c r="F37" s="14">
        <v>0.01</v>
      </c>
      <c r="G37" s="15" t="s">
        <v>375</v>
      </c>
      <c r="H37" s="15" t="s">
        <v>375</v>
      </c>
      <c r="I37" s="15" t="s">
        <v>375</v>
      </c>
      <c r="J37" s="15" t="s">
        <v>375</v>
      </c>
      <c r="K37" s="14">
        <v>0.02</v>
      </c>
      <c r="L37" s="15" t="s">
        <v>375</v>
      </c>
      <c r="M37" s="15" t="s">
        <v>375</v>
      </c>
      <c r="N37" s="15" t="s">
        <v>375</v>
      </c>
      <c r="O37" s="14">
        <v>0.01</v>
      </c>
      <c r="P37" s="14">
        <v>0.03</v>
      </c>
      <c r="Q37" s="14">
        <v>0.01</v>
      </c>
      <c r="R37" s="15" t="s">
        <v>375</v>
      </c>
      <c r="S37" s="15" t="s">
        <v>375</v>
      </c>
      <c r="T37" s="15" t="s">
        <v>375</v>
      </c>
      <c r="U37" s="15" t="s">
        <v>375</v>
      </c>
      <c r="V37" s="15" t="s">
        <v>375</v>
      </c>
      <c r="W37" s="14">
        <v>0.04</v>
      </c>
      <c r="X37" s="14">
        <v>0.02</v>
      </c>
      <c r="Y37" s="14">
        <v>0.01</v>
      </c>
      <c r="Z37" s="15" t="s">
        <v>375</v>
      </c>
      <c r="AA37" s="15" t="s">
        <v>375</v>
      </c>
      <c r="AB37" s="15" t="s">
        <v>375</v>
      </c>
      <c r="AC37" s="15" t="s">
        <v>375</v>
      </c>
      <c r="AD37" s="14">
        <v>0.02</v>
      </c>
      <c r="AE37" s="15" t="s">
        <v>375</v>
      </c>
      <c r="AF37" s="15" t="s">
        <v>375</v>
      </c>
    </row>
    <row r="38" spans="1:32">
      <c r="A38" s="19"/>
      <c r="B38" s="11" t="s">
        <v>819</v>
      </c>
      <c r="C38" s="12">
        <v>17</v>
      </c>
      <c r="D38" s="12">
        <v>1</v>
      </c>
      <c r="E38" s="12">
        <v>0</v>
      </c>
      <c r="F38" s="12">
        <v>0</v>
      </c>
      <c r="G38" s="12">
        <v>0</v>
      </c>
      <c r="H38" s="12">
        <v>1</v>
      </c>
      <c r="I38" s="12">
        <v>1</v>
      </c>
      <c r="J38" s="12">
        <v>0</v>
      </c>
      <c r="K38" s="12">
        <v>1</v>
      </c>
      <c r="L38" s="12">
        <v>0</v>
      </c>
      <c r="M38" s="12">
        <v>0</v>
      </c>
      <c r="N38" s="12">
        <v>0</v>
      </c>
      <c r="O38" s="12">
        <v>0</v>
      </c>
      <c r="P38" s="12">
        <v>2</v>
      </c>
      <c r="Q38" s="12">
        <v>1</v>
      </c>
      <c r="R38" s="12">
        <v>0</v>
      </c>
      <c r="S38" s="12">
        <v>0</v>
      </c>
      <c r="T38" s="12">
        <v>0</v>
      </c>
      <c r="U38" s="12">
        <v>0</v>
      </c>
      <c r="V38" s="12">
        <v>0</v>
      </c>
      <c r="W38" s="12">
        <v>3</v>
      </c>
      <c r="X38" s="12">
        <v>4</v>
      </c>
      <c r="Y38" s="12">
        <v>2</v>
      </c>
      <c r="Z38" s="12">
        <v>1</v>
      </c>
      <c r="AA38" s="12">
        <v>0</v>
      </c>
      <c r="AB38" s="12">
        <v>0</v>
      </c>
      <c r="AC38" s="12">
        <v>0</v>
      </c>
      <c r="AD38" s="12">
        <v>1</v>
      </c>
      <c r="AE38" s="12">
        <v>1</v>
      </c>
      <c r="AF38" s="12">
        <v>0</v>
      </c>
    </row>
    <row r="39" spans="1:32">
      <c r="A39" s="19"/>
      <c r="B39" s="13" t="s">
        <v>819</v>
      </c>
      <c r="C39" s="14">
        <v>0.01</v>
      </c>
      <c r="D39" s="14">
        <v>0.01</v>
      </c>
      <c r="E39" s="15" t="s">
        <v>375</v>
      </c>
      <c r="F39" s="15" t="s">
        <v>375</v>
      </c>
      <c r="G39" s="15" t="s">
        <v>375</v>
      </c>
      <c r="H39" s="14">
        <v>0.01</v>
      </c>
      <c r="I39" s="14">
        <v>0.01</v>
      </c>
      <c r="J39" s="15" t="s">
        <v>375</v>
      </c>
      <c r="K39" s="14">
        <v>0.01</v>
      </c>
      <c r="L39" s="15" t="s">
        <v>375</v>
      </c>
      <c r="M39" s="15" t="s">
        <v>375</v>
      </c>
      <c r="N39" s="15" t="s">
        <v>375</v>
      </c>
      <c r="O39" s="15" t="s">
        <v>375</v>
      </c>
      <c r="P39" s="14">
        <v>0.02</v>
      </c>
      <c r="Q39" s="14">
        <v>0.01</v>
      </c>
      <c r="R39" s="15" t="s">
        <v>375</v>
      </c>
      <c r="S39" s="15" t="s">
        <v>375</v>
      </c>
      <c r="T39" s="15" t="s">
        <v>375</v>
      </c>
      <c r="U39" s="15" t="s">
        <v>375</v>
      </c>
      <c r="V39" s="15" t="s">
        <v>375</v>
      </c>
      <c r="W39" s="14">
        <v>0.04</v>
      </c>
      <c r="X39" s="14">
        <v>0.03</v>
      </c>
      <c r="Y39" s="14">
        <v>0.02</v>
      </c>
      <c r="Z39" s="14">
        <v>0.03</v>
      </c>
      <c r="AA39" s="15" t="s">
        <v>375</v>
      </c>
      <c r="AB39" s="15" t="s">
        <v>375</v>
      </c>
      <c r="AC39" s="15" t="s">
        <v>375</v>
      </c>
      <c r="AD39" s="14">
        <v>0.01</v>
      </c>
      <c r="AE39" s="14">
        <v>0.01</v>
      </c>
      <c r="AF39" s="15" t="s">
        <v>375</v>
      </c>
    </row>
    <row r="40" spans="1:32">
      <c r="A40" s="19"/>
      <c r="B40" s="11" t="s">
        <v>820</v>
      </c>
      <c r="C40" s="12">
        <v>13</v>
      </c>
      <c r="D40" s="12">
        <v>1</v>
      </c>
      <c r="E40" s="12">
        <v>2</v>
      </c>
      <c r="F40" s="12">
        <v>2</v>
      </c>
      <c r="G40" s="12">
        <v>1</v>
      </c>
      <c r="H40" s="12">
        <v>0</v>
      </c>
      <c r="I40" s="12">
        <v>0</v>
      </c>
      <c r="J40" s="12">
        <v>0</v>
      </c>
      <c r="K40" s="12">
        <v>3</v>
      </c>
      <c r="L40" s="12">
        <v>0</v>
      </c>
      <c r="M40" s="12">
        <v>0</v>
      </c>
      <c r="N40" s="12">
        <v>0</v>
      </c>
      <c r="O40" s="12">
        <v>0</v>
      </c>
      <c r="P40" s="12">
        <v>2</v>
      </c>
      <c r="Q40" s="12">
        <v>1</v>
      </c>
      <c r="R40" s="12">
        <v>0</v>
      </c>
      <c r="S40" s="12">
        <v>2</v>
      </c>
      <c r="T40" s="12">
        <v>0</v>
      </c>
      <c r="U40" s="12">
        <v>0</v>
      </c>
      <c r="V40" s="12">
        <v>1</v>
      </c>
      <c r="W40" s="12">
        <v>4</v>
      </c>
      <c r="X40" s="12">
        <v>0</v>
      </c>
      <c r="Y40" s="12">
        <v>3</v>
      </c>
      <c r="Z40" s="12">
        <v>0</v>
      </c>
      <c r="AA40" s="12">
        <v>0</v>
      </c>
      <c r="AB40" s="12">
        <v>0</v>
      </c>
      <c r="AC40" s="12">
        <v>0</v>
      </c>
      <c r="AD40" s="12">
        <v>1</v>
      </c>
      <c r="AE40" s="12">
        <v>1</v>
      </c>
      <c r="AF40" s="12">
        <v>5</v>
      </c>
    </row>
    <row r="41" spans="1:32">
      <c r="A41" s="19"/>
      <c r="B41" s="13" t="s">
        <v>820</v>
      </c>
      <c r="C41" s="14">
        <v>0.01</v>
      </c>
      <c r="D41" s="14">
        <v>0.01</v>
      </c>
      <c r="E41" s="14">
        <v>0.02</v>
      </c>
      <c r="F41" s="14">
        <v>0.02</v>
      </c>
      <c r="G41" s="14">
        <v>0.01</v>
      </c>
      <c r="H41" s="15" t="s">
        <v>375</v>
      </c>
      <c r="I41" s="15" t="s">
        <v>375</v>
      </c>
      <c r="J41" s="15" t="s">
        <v>375</v>
      </c>
      <c r="K41" s="14">
        <v>0.02</v>
      </c>
      <c r="L41" s="15" t="s">
        <v>375</v>
      </c>
      <c r="M41" s="15" t="s">
        <v>375</v>
      </c>
      <c r="N41" s="15" t="s">
        <v>375</v>
      </c>
      <c r="O41" s="15" t="s">
        <v>375</v>
      </c>
      <c r="P41" s="14">
        <v>0.02</v>
      </c>
      <c r="Q41" s="14">
        <v>0.01</v>
      </c>
      <c r="R41" s="15" t="s">
        <v>375</v>
      </c>
      <c r="S41" s="14">
        <v>0.01</v>
      </c>
      <c r="T41" s="15" t="s">
        <v>375</v>
      </c>
      <c r="U41" s="15" t="s">
        <v>375</v>
      </c>
      <c r="V41" s="14">
        <v>0.01</v>
      </c>
      <c r="W41" s="14">
        <v>0.05</v>
      </c>
      <c r="X41" s="15" t="s">
        <v>375</v>
      </c>
      <c r="Y41" s="14">
        <v>0.02</v>
      </c>
      <c r="Z41" s="15" t="s">
        <v>375</v>
      </c>
      <c r="AA41" s="15" t="s">
        <v>375</v>
      </c>
      <c r="AB41" s="15" t="s">
        <v>375</v>
      </c>
      <c r="AC41" s="15" t="s">
        <v>375</v>
      </c>
      <c r="AD41" s="14">
        <v>0.01</v>
      </c>
      <c r="AE41" s="14">
        <v>0.01</v>
      </c>
      <c r="AF41" s="14">
        <v>0.04</v>
      </c>
    </row>
    <row r="42" spans="1:32">
      <c r="A42" s="19"/>
      <c r="B42" s="11" t="s">
        <v>896</v>
      </c>
      <c r="C42" s="12">
        <v>154</v>
      </c>
      <c r="D42" s="12">
        <v>14</v>
      </c>
      <c r="E42" s="12">
        <v>1</v>
      </c>
      <c r="F42" s="12">
        <v>4</v>
      </c>
      <c r="G42" s="12">
        <v>17</v>
      </c>
      <c r="H42" s="12">
        <v>11</v>
      </c>
      <c r="I42" s="12">
        <v>14</v>
      </c>
      <c r="J42" s="12">
        <v>3</v>
      </c>
      <c r="K42" s="12">
        <v>16</v>
      </c>
      <c r="L42" s="12">
        <v>2</v>
      </c>
      <c r="M42" s="12">
        <v>1</v>
      </c>
      <c r="N42" s="12">
        <v>2</v>
      </c>
      <c r="O42" s="12">
        <v>8</v>
      </c>
      <c r="P42" s="12">
        <v>3</v>
      </c>
      <c r="Q42" s="12">
        <v>3</v>
      </c>
      <c r="R42" s="12">
        <v>4</v>
      </c>
      <c r="S42" s="12">
        <v>7</v>
      </c>
      <c r="T42" s="12">
        <v>4</v>
      </c>
      <c r="U42" s="12">
        <v>9</v>
      </c>
      <c r="V42" s="12">
        <v>4</v>
      </c>
      <c r="W42" s="12">
        <v>2</v>
      </c>
      <c r="X42" s="12">
        <v>14</v>
      </c>
      <c r="Y42" s="12">
        <v>5</v>
      </c>
      <c r="Z42" s="12">
        <v>0</v>
      </c>
      <c r="AA42" s="12">
        <v>0</v>
      </c>
      <c r="AB42" s="12">
        <v>5</v>
      </c>
      <c r="AC42" s="12">
        <v>7</v>
      </c>
      <c r="AD42" s="12">
        <v>5</v>
      </c>
      <c r="AE42" s="12">
        <v>18</v>
      </c>
      <c r="AF42" s="12">
        <v>12</v>
      </c>
    </row>
    <row r="43" spans="1:32">
      <c r="A43" s="19"/>
      <c r="B43" s="13" t="s">
        <v>897</v>
      </c>
      <c r="C43" s="14">
        <v>7.0000000000000007E-2</v>
      </c>
      <c r="D43" s="14">
        <v>0.1</v>
      </c>
      <c r="E43" s="14">
        <v>0.01</v>
      </c>
      <c r="F43" s="14">
        <v>0.03</v>
      </c>
      <c r="G43" s="14">
        <v>0.09</v>
      </c>
      <c r="H43" s="14">
        <v>0.12</v>
      </c>
      <c r="I43" s="14">
        <v>0.14000000000000001</v>
      </c>
      <c r="J43" s="14">
        <v>0.24</v>
      </c>
      <c r="K43" s="14">
        <v>0.1</v>
      </c>
      <c r="L43" s="14">
        <v>0.02</v>
      </c>
      <c r="M43" s="14">
        <v>0.04</v>
      </c>
      <c r="N43" s="14">
        <v>0.02</v>
      </c>
      <c r="O43" s="14">
        <v>0.08</v>
      </c>
      <c r="P43" s="14">
        <v>0.02</v>
      </c>
      <c r="Q43" s="14">
        <v>0.04</v>
      </c>
      <c r="R43" s="14">
        <v>0.09</v>
      </c>
      <c r="S43" s="14">
        <v>7.0000000000000007E-2</v>
      </c>
      <c r="T43" s="14">
        <v>0.05</v>
      </c>
      <c r="U43" s="14">
        <v>0.13</v>
      </c>
      <c r="V43" s="14">
        <v>0.03</v>
      </c>
      <c r="W43" s="14">
        <v>0.02</v>
      </c>
      <c r="X43" s="14">
        <v>0.11</v>
      </c>
      <c r="Y43" s="14">
        <v>0.03</v>
      </c>
      <c r="Z43" s="15" t="s">
        <v>375</v>
      </c>
      <c r="AA43" s="15" t="s">
        <v>375</v>
      </c>
      <c r="AB43" s="14">
        <v>7.0000000000000007E-2</v>
      </c>
      <c r="AC43" s="14">
        <v>7.0000000000000007E-2</v>
      </c>
      <c r="AD43" s="14">
        <v>0.05</v>
      </c>
      <c r="AE43" s="14">
        <v>0.15</v>
      </c>
      <c r="AF43" s="14">
        <v>0.09</v>
      </c>
    </row>
    <row r="44" spans="1:32">
      <c r="A44" s="19"/>
      <c r="B44" s="11" t="s">
        <v>824</v>
      </c>
      <c r="C44" s="12">
        <v>101</v>
      </c>
      <c r="D44" s="12">
        <v>5</v>
      </c>
      <c r="E44" s="12">
        <v>15</v>
      </c>
      <c r="F44" s="12">
        <v>3</v>
      </c>
      <c r="G44" s="12">
        <v>2</v>
      </c>
      <c r="H44" s="12">
        <v>3</v>
      </c>
      <c r="I44" s="12">
        <v>3</v>
      </c>
      <c r="J44" s="12">
        <v>0</v>
      </c>
      <c r="K44" s="12">
        <v>3</v>
      </c>
      <c r="L44" s="12">
        <v>9</v>
      </c>
      <c r="M44" s="12">
        <v>0</v>
      </c>
      <c r="N44" s="12">
        <v>0</v>
      </c>
      <c r="O44" s="12">
        <v>2</v>
      </c>
      <c r="P44" s="12">
        <v>8</v>
      </c>
      <c r="Q44" s="12">
        <v>1</v>
      </c>
      <c r="R44" s="12">
        <v>0</v>
      </c>
      <c r="S44" s="12">
        <v>5</v>
      </c>
      <c r="T44" s="12">
        <v>8</v>
      </c>
      <c r="U44" s="12">
        <v>3</v>
      </c>
      <c r="V44" s="12">
        <v>26</v>
      </c>
      <c r="W44" s="12">
        <v>4</v>
      </c>
      <c r="X44" s="12">
        <v>3</v>
      </c>
      <c r="Y44" s="12">
        <v>11</v>
      </c>
      <c r="Z44" s="12">
        <v>7</v>
      </c>
      <c r="AA44" s="12">
        <v>1</v>
      </c>
      <c r="AB44" s="12">
        <v>18</v>
      </c>
      <c r="AC44" s="12">
        <v>7</v>
      </c>
      <c r="AD44" s="12">
        <v>4</v>
      </c>
      <c r="AE44" s="12">
        <v>1</v>
      </c>
      <c r="AF44" s="12">
        <v>2</v>
      </c>
    </row>
    <row r="45" spans="1:32">
      <c r="A45" s="19"/>
      <c r="B45" s="13" t="s">
        <v>825</v>
      </c>
      <c r="C45" s="14">
        <v>0.04</v>
      </c>
      <c r="D45" s="14">
        <v>0.03</v>
      </c>
      <c r="E45" s="14">
        <v>0.17</v>
      </c>
      <c r="F45" s="14">
        <v>0.03</v>
      </c>
      <c r="G45" s="14">
        <v>0.01</v>
      </c>
      <c r="H45" s="14">
        <v>0.03</v>
      </c>
      <c r="I45" s="14">
        <v>0.03</v>
      </c>
      <c r="J45" s="15" t="s">
        <v>375</v>
      </c>
      <c r="K45" s="14">
        <v>0.02</v>
      </c>
      <c r="L45" s="14">
        <v>0.1</v>
      </c>
      <c r="M45" s="15" t="s">
        <v>375</v>
      </c>
      <c r="N45" s="15" t="s">
        <v>375</v>
      </c>
      <c r="O45" s="14">
        <v>0.02</v>
      </c>
      <c r="P45" s="14">
        <v>0.06</v>
      </c>
      <c r="Q45" s="14">
        <v>0.01</v>
      </c>
      <c r="R45" s="15" t="s">
        <v>375</v>
      </c>
      <c r="S45" s="14">
        <v>0.05</v>
      </c>
      <c r="T45" s="14">
        <v>0.1</v>
      </c>
      <c r="U45" s="14">
        <v>0.05</v>
      </c>
      <c r="V45" s="14">
        <v>0.23</v>
      </c>
      <c r="W45" s="14">
        <v>0.05</v>
      </c>
      <c r="X45" s="14">
        <v>0.03</v>
      </c>
      <c r="Y45" s="14">
        <v>0.08</v>
      </c>
      <c r="Z45" s="14">
        <v>0.14000000000000001</v>
      </c>
      <c r="AA45" s="14">
        <v>0.02</v>
      </c>
      <c r="AB45" s="14">
        <v>0.25</v>
      </c>
      <c r="AC45" s="14">
        <v>7.0000000000000007E-2</v>
      </c>
      <c r="AD45" s="14">
        <v>0.04</v>
      </c>
      <c r="AE45" s="14">
        <v>0.01</v>
      </c>
      <c r="AF45" s="14">
        <v>0.02</v>
      </c>
    </row>
    <row r="46" spans="1:32">
      <c r="A46" s="19"/>
      <c r="B46" s="11" t="s">
        <v>386</v>
      </c>
      <c r="C46" s="12">
        <v>25</v>
      </c>
      <c r="D46" s="12">
        <v>2</v>
      </c>
      <c r="E46" s="12">
        <v>1</v>
      </c>
      <c r="F46" s="12">
        <v>1</v>
      </c>
      <c r="G46" s="12">
        <v>0</v>
      </c>
      <c r="H46" s="12">
        <v>1</v>
      </c>
      <c r="I46" s="12">
        <v>2</v>
      </c>
      <c r="J46" s="12">
        <v>0</v>
      </c>
      <c r="K46" s="12">
        <v>1</v>
      </c>
      <c r="L46" s="12">
        <v>1</v>
      </c>
      <c r="M46" s="12">
        <v>0</v>
      </c>
      <c r="N46" s="12">
        <v>0</v>
      </c>
      <c r="O46" s="12">
        <v>0</v>
      </c>
      <c r="P46" s="12">
        <v>1</v>
      </c>
      <c r="Q46" s="12">
        <v>3</v>
      </c>
      <c r="R46" s="12">
        <v>0</v>
      </c>
      <c r="S46" s="12">
        <v>0</v>
      </c>
      <c r="T46" s="12">
        <v>4</v>
      </c>
      <c r="U46" s="12">
        <v>1</v>
      </c>
      <c r="V46" s="12">
        <v>0</v>
      </c>
      <c r="W46" s="12">
        <v>0</v>
      </c>
      <c r="X46" s="12">
        <v>0</v>
      </c>
      <c r="Y46" s="12">
        <v>3</v>
      </c>
      <c r="Z46" s="12">
        <v>0</v>
      </c>
      <c r="AA46" s="12">
        <v>0</v>
      </c>
      <c r="AB46" s="12">
        <v>1</v>
      </c>
      <c r="AC46" s="12">
        <v>1</v>
      </c>
      <c r="AD46" s="12">
        <v>1</v>
      </c>
      <c r="AE46" s="12">
        <v>1</v>
      </c>
      <c r="AF46" s="12">
        <v>2</v>
      </c>
    </row>
    <row r="47" spans="1:32">
      <c r="A47" s="19"/>
      <c r="B47" s="13" t="s">
        <v>399</v>
      </c>
      <c r="C47" s="14">
        <v>0.01</v>
      </c>
      <c r="D47" s="14">
        <v>0.01</v>
      </c>
      <c r="E47" s="14">
        <v>0.01</v>
      </c>
      <c r="F47" s="14">
        <v>0.01</v>
      </c>
      <c r="G47" s="15" t="s">
        <v>375</v>
      </c>
      <c r="H47" s="14">
        <v>0.01</v>
      </c>
      <c r="I47" s="14">
        <v>0.02</v>
      </c>
      <c r="J47" s="14">
        <v>0.04</v>
      </c>
      <c r="K47" s="14">
        <v>0.01</v>
      </c>
      <c r="L47" s="14">
        <v>0.01</v>
      </c>
      <c r="M47" s="15" t="s">
        <v>375</v>
      </c>
      <c r="N47" s="15" t="s">
        <v>375</v>
      </c>
      <c r="O47" s="15" t="s">
        <v>375</v>
      </c>
      <c r="P47" s="14">
        <v>0.01</v>
      </c>
      <c r="Q47" s="14">
        <v>0.04</v>
      </c>
      <c r="R47" s="15" t="s">
        <v>375</v>
      </c>
      <c r="S47" s="15" t="s">
        <v>375</v>
      </c>
      <c r="T47" s="14">
        <v>0.05</v>
      </c>
      <c r="U47" s="14">
        <v>0.02</v>
      </c>
      <c r="V47" s="15" t="s">
        <v>375</v>
      </c>
      <c r="W47" s="15" t="s">
        <v>375</v>
      </c>
      <c r="X47" s="15" t="s">
        <v>375</v>
      </c>
      <c r="Y47" s="14">
        <v>0.02</v>
      </c>
      <c r="Z47" s="15" t="s">
        <v>375</v>
      </c>
      <c r="AA47" s="15" t="s">
        <v>375</v>
      </c>
      <c r="AB47" s="14">
        <v>0.01</v>
      </c>
      <c r="AC47" s="14">
        <v>0.01</v>
      </c>
      <c r="AD47" s="14">
        <v>0.01</v>
      </c>
      <c r="AE47" s="14">
        <v>0.01</v>
      </c>
      <c r="AF47" s="14">
        <v>0.02</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211</v>
      </c>
      <c r="C3" s="17"/>
      <c r="D3" s="17"/>
      <c r="E3" s="17"/>
      <c r="F3" s="17"/>
      <c r="H3" s="17" t="s">
        <v>212</v>
      </c>
      <c r="I3" s="17"/>
      <c r="J3" s="17"/>
      <c r="K3" s="17"/>
      <c r="L3" s="17"/>
    </row>
    <row r="4" spans="1:32" ht="27" customHeight="1">
      <c r="B4" s="17"/>
      <c r="C4" s="17"/>
      <c r="D4" s="17"/>
      <c r="E4" s="17"/>
      <c r="F4" s="17"/>
      <c r="H4" s="17"/>
      <c r="I4" s="17"/>
      <c r="J4" s="17"/>
      <c r="K4" s="17"/>
      <c r="L4" s="17"/>
    </row>
    <row r="5" spans="1:32" ht="12" customHeight="1">
      <c r="B5" s="17" t="s">
        <v>1080</v>
      </c>
      <c r="C5" s="17"/>
      <c r="D5" s="17"/>
      <c r="E5" s="17"/>
      <c r="F5" s="17"/>
      <c r="H5" s="17" t="s">
        <v>1081</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2294</v>
      </c>
      <c r="D10" s="10">
        <v>144</v>
      </c>
      <c r="E10" s="10">
        <v>92</v>
      </c>
      <c r="F10" s="10">
        <v>112</v>
      </c>
      <c r="G10" s="10">
        <v>182</v>
      </c>
      <c r="H10" s="10">
        <v>91</v>
      </c>
      <c r="I10" s="10">
        <v>103</v>
      </c>
      <c r="J10" s="10">
        <v>12</v>
      </c>
      <c r="K10" s="10">
        <v>155</v>
      </c>
      <c r="L10" s="10">
        <v>97</v>
      </c>
      <c r="M10" s="10">
        <v>31</v>
      </c>
      <c r="N10" s="10">
        <v>104</v>
      </c>
      <c r="O10" s="10">
        <v>96</v>
      </c>
      <c r="P10" s="10">
        <v>124</v>
      </c>
      <c r="Q10" s="10">
        <v>75</v>
      </c>
      <c r="R10" s="10">
        <v>43</v>
      </c>
      <c r="S10" s="10">
        <v>109</v>
      </c>
      <c r="T10" s="10">
        <v>83</v>
      </c>
      <c r="U10" s="10">
        <v>68</v>
      </c>
      <c r="V10" s="10">
        <v>113</v>
      </c>
      <c r="W10" s="10">
        <v>75</v>
      </c>
      <c r="X10" s="10">
        <v>123</v>
      </c>
      <c r="Y10" s="10">
        <v>131</v>
      </c>
      <c r="Z10" s="10">
        <v>52</v>
      </c>
      <c r="AA10" s="10">
        <v>43</v>
      </c>
      <c r="AB10" s="10">
        <v>72</v>
      </c>
      <c r="AC10" s="10">
        <v>106</v>
      </c>
      <c r="AD10" s="10">
        <v>100</v>
      </c>
      <c r="AE10" s="10">
        <v>123</v>
      </c>
      <c r="AF10" s="10">
        <v>138</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1082</v>
      </c>
      <c r="C12" s="12">
        <v>567</v>
      </c>
      <c r="D12" s="12">
        <v>39</v>
      </c>
      <c r="E12" s="12">
        <v>14</v>
      </c>
      <c r="F12" s="12">
        <v>20</v>
      </c>
      <c r="G12" s="12">
        <v>60</v>
      </c>
      <c r="H12" s="12">
        <v>25</v>
      </c>
      <c r="I12" s="12">
        <v>29</v>
      </c>
      <c r="J12" s="12">
        <v>4</v>
      </c>
      <c r="K12" s="12">
        <v>41</v>
      </c>
      <c r="L12" s="12">
        <v>28</v>
      </c>
      <c r="M12" s="12">
        <v>7</v>
      </c>
      <c r="N12" s="12">
        <v>30</v>
      </c>
      <c r="O12" s="12">
        <v>20</v>
      </c>
      <c r="P12" s="12">
        <v>35</v>
      </c>
      <c r="Q12" s="12">
        <v>13</v>
      </c>
      <c r="R12" s="12">
        <v>9</v>
      </c>
      <c r="S12" s="12">
        <v>35</v>
      </c>
      <c r="T12" s="12">
        <v>11</v>
      </c>
      <c r="U12" s="12">
        <v>33</v>
      </c>
      <c r="V12" s="12">
        <v>14</v>
      </c>
      <c r="W12" s="12">
        <v>12</v>
      </c>
      <c r="X12" s="12">
        <v>37</v>
      </c>
      <c r="Y12" s="12">
        <v>47</v>
      </c>
      <c r="Z12" s="12">
        <v>18</v>
      </c>
      <c r="AA12" s="12">
        <v>4</v>
      </c>
      <c r="AB12" s="12">
        <v>11</v>
      </c>
      <c r="AC12" s="12">
        <v>14</v>
      </c>
      <c r="AD12" s="12">
        <v>29</v>
      </c>
      <c r="AE12" s="12">
        <v>20</v>
      </c>
      <c r="AF12" s="12">
        <v>42</v>
      </c>
    </row>
    <row r="13" spans="1:32">
      <c r="A13" s="19"/>
      <c r="B13" s="13" t="s">
        <v>1083</v>
      </c>
      <c r="C13" s="14">
        <v>0.25</v>
      </c>
      <c r="D13" s="14">
        <v>0.27</v>
      </c>
      <c r="E13" s="14">
        <v>0.16</v>
      </c>
      <c r="F13" s="14">
        <v>0.18</v>
      </c>
      <c r="G13" s="14">
        <v>0.33</v>
      </c>
      <c r="H13" s="14">
        <v>0.27</v>
      </c>
      <c r="I13" s="14">
        <v>0.28000000000000003</v>
      </c>
      <c r="J13" s="14">
        <v>0.34</v>
      </c>
      <c r="K13" s="14">
        <v>0.26</v>
      </c>
      <c r="L13" s="14">
        <v>0.28999999999999998</v>
      </c>
      <c r="M13" s="14">
        <v>0.22</v>
      </c>
      <c r="N13" s="14">
        <v>0.28999999999999998</v>
      </c>
      <c r="O13" s="14">
        <v>0.21</v>
      </c>
      <c r="P13" s="14">
        <v>0.28000000000000003</v>
      </c>
      <c r="Q13" s="14">
        <v>0.18</v>
      </c>
      <c r="R13" s="14">
        <v>0.21</v>
      </c>
      <c r="S13" s="14">
        <v>0.32</v>
      </c>
      <c r="T13" s="14">
        <v>0.14000000000000001</v>
      </c>
      <c r="U13" s="14">
        <v>0.48</v>
      </c>
      <c r="V13" s="14">
        <v>0.12</v>
      </c>
      <c r="W13" s="14">
        <v>0.16</v>
      </c>
      <c r="X13" s="14">
        <v>0.3</v>
      </c>
      <c r="Y13" s="14">
        <v>0.36</v>
      </c>
      <c r="Z13" s="14">
        <v>0.34</v>
      </c>
      <c r="AA13" s="14">
        <v>0.1</v>
      </c>
      <c r="AB13" s="14">
        <v>0.15</v>
      </c>
      <c r="AC13" s="14">
        <v>0.13</v>
      </c>
      <c r="AD13" s="14">
        <v>0.28999999999999998</v>
      </c>
      <c r="AE13" s="14">
        <v>0.16</v>
      </c>
      <c r="AF13" s="14">
        <v>0.31</v>
      </c>
    </row>
    <row r="14" spans="1:32">
      <c r="A14" s="19"/>
      <c r="B14" s="11" t="s">
        <v>1084</v>
      </c>
      <c r="C14" s="12">
        <v>384</v>
      </c>
      <c r="D14" s="12">
        <v>31</v>
      </c>
      <c r="E14" s="12">
        <v>21</v>
      </c>
      <c r="F14" s="12">
        <v>12</v>
      </c>
      <c r="G14" s="12">
        <v>27</v>
      </c>
      <c r="H14" s="12">
        <v>13</v>
      </c>
      <c r="I14" s="12">
        <v>13</v>
      </c>
      <c r="J14" s="12">
        <v>0</v>
      </c>
      <c r="K14" s="12">
        <v>23</v>
      </c>
      <c r="L14" s="12">
        <v>13</v>
      </c>
      <c r="M14" s="12">
        <v>3</v>
      </c>
      <c r="N14" s="12">
        <v>12</v>
      </c>
      <c r="O14" s="12">
        <v>8</v>
      </c>
      <c r="P14" s="12">
        <v>29</v>
      </c>
      <c r="Q14" s="12">
        <v>17</v>
      </c>
      <c r="R14" s="12">
        <v>8</v>
      </c>
      <c r="S14" s="12">
        <v>12</v>
      </c>
      <c r="T14" s="12">
        <v>14</v>
      </c>
      <c r="U14" s="12">
        <v>6</v>
      </c>
      <c r="V14" s="12">
        <v>21</v>
      </c>
      <c r="W14" s="12">
        <v>15</v>
      </c>
      <c r="X14" s="12">
        <v>32</v>
      </c>
      <c r="Y14" s="12">
        <v>36</v>
      </c>
      <c r="Z14" s="12">
        <v>20</v>
      </c>
      <c r="AA14" s="12">
        <v>7</v>
      </c>
      <c r="AB14" s="12">
        <v>9</v>
      </c>
      <c r="AC14" s="12">
        <v>8</v>
      </c>
      <c r="AD14" s="12">
        <v>20</v>
      </c>
      <c r="AE14" s="12">
        <v>23</v>
      </c>
      <c r="AF14" s="12">
        <v>33</v>
      </c>
    </row>
    <row r="15" spans="1:32">
      <c r="A15" s="19"/>
      <c r="B15" s="13" t="s">
        <v>1085</v>
      </c>
      <c r="C15" s="14">
        <v>0.17</v>
      </c>
      <c r="D15" s="14">
        <v>0.21</v>
      </c>
      <c r="E15" s="14">
        <v>0.22</v>
      </c>
      <c r="F15" s="14">
        <v>0.11</v>
      </c>
      <c r="G15" s="14">
        <v>0.15</v>
      </c>
      <c r="H15" s="14">
        <v>0.14000000000000001</v>
      </c>
      <c r="I15" s="14">
        <v>0.12</v>
      </c>
      <c r="J15" s="15" t="s">
        <v>375</v>
      </c>
      <c r="K15" s="14">
        <v>0.15</v>
      </c>
      <c r="L15" s="14">
        <v>0.13</v>
      </c>
      <c r="M15" s="14">
        <v>0.11</v>
      </c>
      <c r="N15" s="14">
        <v>0.11</v>
      </c>
      <c r="O15" s="14">
        <v>0.08</v>
      </c>
      <c r="P15" s="14">
        <v>0.23</v>
      </c>
      <c r="Q15" s="14">
        <v>0.23</v>
      </c>
      <c r="R15" s="14">
        <v>0.19</v>
      </c>
      <c r="S15" s="14">
        <v>0.11</v>
      </c>
      <c r="T15" s="14">
        <v>0.16</v>
      </c>
      <c r="U15" s="14">
        <v>0.09</v>
      </c>
      <c r="V15" s="14">
        <v>0.19</v>
      </c>
      <c r="W15" s="14">
        <v>0.2</v>
      </c>
      <c r="X15" s="14">
        <v>0.26</v>
      </c>
      <c r="Y15" s="14">
        <v>0.27</v>
      </c>
      <c r="Z15" s="14">
        <v>0.39</v>
      </c>
      <c r="AA15" s="14">
        <v>0.15</v>
      </c>
      <c r="AB15" s="14">
        <v>0.13</v>
      </c>
      <c r="AC15" s="14">
        <v>7.0000000000000007E-2</v>
      </c>
      <c r="AD15" s="14">
        <v>0.2</v>
      </c>
      <c r="AE15" s="14">
        <v>0.19</v>
      </c>
      <c r="AF15" s="14">
        <v>0.24</v>
      </c>
    </row>
    <row r="16" spans="1:32">
      <c r="A16" s="19"/>
      <c r="B16" s="11" t="s">
        <v>1086</v>
      </c>
      <c r="C16" s="12">
        <v>236</v>
      </c>
      <c r="D16" s="12">
        <v>16</v>
      </c>
      <c r="E16" s="12">
        <v>19</v>
      </c>
      <c r="F16" s="12">
        <v>11</v>
      </c>
      <c r="G16" s="12">
        <v>9</v>
      </c>
      <c r="H16" s="12">
        <v>12</v>
      </c>
      <c r="I16" s="12">
        <v>13</v>
      </c>
      <c r="J16" s="12">
        <v>1</v>
      </c>
      <c r="K16" s="12">
        <v>23</v>
      </c>
      <c r="L16" s="12">
        <v>6</v>
      </c>
      <c r="M16" s="12">
        <v>2</v>
      </c>
      <c r="N16" s="12">
        <v>3</v>
      </c>
      <c r="O16" s="12">
        <v>3</v>
      </c>
      <c r="P16" s="12">
        <v>25</v>
      </c>
      <c r="Q16" s="12">
        <v>19</v>
      </c>
      <c r="R16" s="12">
        <v>1</v>
      </c>
      <c r="S16" s="12">
        <v>7</v>
      </c>
      <c r="T16" s="12">
        <v>7</v>
      </c>
      <c r="U16" s="12">
        <v>6</v>
      </c>
      <c r="V16" s="12">
        <v>25</v>
      </c>
      <c r="W16" s="12">
        <v>17</v>
      </c>
      <c r="X16" s="12">
        <v>11</v>
      </c>
      <c r="Y16" s="12">
        <v>19</v>
      </c>
      <c r="Z16" s="12">
        <v>4</v>
      </c>
      <c r="AA16" s="12">
        <v>3</v>
      </c>
      <c r="AB16" s="12">
        <v>8</v>
      </c>
      <c r="AC16" s="12">
        <v>12</v>
      </c>
      <c r="AD16" s="12">
        <v>17</v>
      </c>
      <c r="AE16" s="12">
        <v>3</v>
      </c>
      <c r="AF16" s="12">
        <v>6</v>
      </c>
    </row>
    <row r="17" spans="1:32">
      <c r="A17" s="19"/>
      <c r="B17" s="13" t="s">
        <v>1087</v>
      </c>
      <c r="C17" s="14">
        <v>0.1</v>
      </c>
      <c r="D17" s="14">
        <v>0.11</v>
      </c>
      <c r="E17" s="14">
        <v>0.2</v>
      </c>
      <c r="F17" s="14">
        <v>0.1</v>
      </c>
      <c r="G17" s="14">
        <v>0.05</v>
      </c>
      <c r="H17" s="14">
        <v>0.13</v>
      </c>
      <c r="I17" s="14">
        <v>0.12</v>
      </c>
      <c r="J17" s="14">
        <v>0.08</v>
      </c>
      <c r="K17" s="14">
        <v>0.15</v>
      </c>
      <c r="L17" s="14">
        <v>0.06</v>
      </c>
      <c r="M17" s="14">
        <v>0.06</v>
      </c>
      <c r="N17" s="14">
        <v>0.03</v>
      </c>
      <c r="O17" s="14">
        <v>0.03</v>
      </c>
      <c r="P17" s="14">
        <v>0.2</v>
      </c>
      <c r="Q17" s="14">
        <v>0.26</v>
      </c>
      <c r="R17" s="14">
        <v>0.02</v>
      </c>
      <c r="S17" s="14">
        <v>7.0000000000000007E-2</v>
      </c>
      <c r="T17" s="14">
        <v>0.08</v>
      </c>
      <c r="U17" s="14">
        <v>0.09</v>
      </c>
      <c r="V17" s="14">
        <v>0.22</v>
      </c>
      <c r="W17" s="14">
        <v>0.22</v>
      </c>
      <c r="X17" s="14">
        <v>0.09</v>
      </c>
      <c r="Y17" s="14">
        <v>0.15</v>
      </c>
      <c r="Z17" s="14">
        <v>0.08</v>
      </c>
      <c r="AA17" s="14">
        <v>0.06</v>
      </c>
      <c r="AB17" s="14">
        <v>0.11</v>
      </c>
      <c r="AC17" s="14">
        <v>0.11</v>
      </c>
      <c r="AD17" s="14">
        <v>0.17</v>
      </c>
      <c r="AE17" s="14">
        <v>0.02</v>
      </c>
      <c r="AF17" s="14">
        <v>0.04</v>
      </c>
    </row>
    <row r="18" spans="1:32">
      <c r="A18" s="19"/>
      <c r="B18" s="11" t="s">
        <v>1088</v>
      </c>
      <c r="C18" s="12">
        <v>1224</v>
      </c>
      <c r="D18" s="12">
        <v>69</v>
      </c>
      <c r="E18" s="12">
        <v>43</v>
      </c>
      <c r="F18" s="12">
        <v>73</v>
      </c>
      <c r="G18" s="12">
        <v>98</v>
      </c>
      <c r="H18" s="12">
        <v>48</v>
      </c>
      <c r="I18" s="12">
        <v>55</v>
      </c>
      <c r="J18" s="12">
        <v>7</v>
      </c>
      <c r="K18" s="12">
        <v>75</v>
      </c>
      <c r="L18" s="12">
        <v>54</v>
      </c>
      <c r="M18" s="12">
        <v>20</v>
      </c>
      <c r="N18" s="12">
        <v>63</v>
      </c>
      <c r="O18" s="12">
        <v>65</v>
      </c>
      <c r="P18" s="12">
        <v>56</v>
      </c>
      <c r="Q18" s="12">
        <v>28</v>
      </c>
      <c r="R18" s="12">
        <v>26</v>
      </c>
      <c r="S18" s="12">
        <v>57</v>
      </c>
      <c r="T18" s="12">
        <v>50</v>
      </c>
      <c r="U18" s="12">
        <v>29</v>
      </c>
      <c r="V18" s="12">
        <v>56</v>
      </c>
      <c r="W18" s="12">
        <v>33</v>
      </c>
      <c r="X18" s="12">
        <v>60</v>
      </c>
      <c r="Y18" s="12">
        <v>45</v>
      </c>
      <c r="Z18" s="12">
        <v>12</v>
      </c>
      <c r="AA18" s="12">
        <v>33</v>
      </c>
      <c r="AB18" s="12">
        <v>44</v>
      </c>
      <c r="AC18" s="12">
        <v>77</v>
      </c>
      <c r="AD18" s="12">
        <v>45</v>
      </c>
      <c r="AE18" s="12">
        <v>80</v>
      </c>
      <c r="AF18" s="12">
        <v>74</v>
      </c>
    </row>
    <row r="19" spans="1:32">
      <c r="A19" s="19"/>
      <c r="B19" s="13" t="s">
        <v>1089</v>
      </c>
      <c r="C19" s="14">
        <v>0.53</v>
      </c>
      <c r="D19" s="14">
        <v>0.48</v>
      </c>
      <c r="E19" s="14">
        <v>0.47</v>
      </c>
      <c r="F19" s="14">
        <v>0.65</v>
      </c>
      <c r="G19" s="14">
        <v>0.54</v>
      </c>
      <c r="H19" s="14">
        <v>0.53</v>
      </c>
      <c r="I19" s="14">
        <v>0.53</v>
      </c>
      <c r="J19" s="14">
        <v>0.57999999999999996</v>
      </c>
      <c r="K19" s="14">
        <v>0.49</v>
      </c>
      <c r="L19" s="14">
        <v>0.55000000000000004</v>
      </c>
      <c r="M19" s="14">
        <v>0.64</v>
      </c>
      <c r="N19" s="14">
        <v>0.61</v>
      </c>
      <c r="O19" s="14">
        <v>0.68</v>
      </c>
      <c r="P19" s="14">
        <v>0.45</v>
      </c>
      <c r="Q19" s="14">
        <v>0.38</v>
      </c>
      <c r="R19" s="14">
        <v>0.61</v>
      </c>
      <c r="S19" s="14">
        <v>0.52</v>
      </c>
      <c r="T19" s="14">
        <v>0.6</v>
      </c>
      <c r="U19" s="14">
        <v>0.43</v>
      </c>
      <c r="V19" s="14">
        <v>0.5</v>
      </c>
      <c r="W19" s="14">
        <v>0.44</v>
      </c>
      <c r="X19" s="14">
        <v>0.49</v>
      </c>
      <c r="Y19" s="14">
        <v>0.35</v>
      </c>
      <c r="Z19" s="14">
        <v>0.23</v>
      </c>
      <c r="AA19" s="14">
        <v>0.78</v>
      </c>
      <c r="AB19" s="14">
        <v>0.62</v>
      </c>
      <c r="AC19" s="14">
        <v>0.72</v>
      </c>
      <c r="AD19" s="14">
        <v>0.45</v>
      </c>
      <c r="AE19" s="14">
        <v>0.65</v>
      </c>
      <c r="AF19" s="14">
        <v>0.53</v>
      </c>
    </row>
    <row r="20" spans="1:32">
      <c r="A20" s="19"/>
      <c r="B20" s="11" t="s">
        <v>436</v>
      </c>
      <c r="C20" s="12">
        <v>4</v>
      </c>
      <c r="D20" s="12">
        <v>0</v>
      </c>
      <c r="E20" s="12">
        <v>0</v>
      </c>
      <c r="F20" s="12">
        <v>0</v>
      </c>
      <c r="G20" s="12">
        <v>2</v>
      </c>
      <c r="H20" s="12">
        <v>0</v>
      </c>
      <c r="I20" s="12">
        <v>0</v>
      </c>
      <c r="J20" s="12">
        <v>0</v>
      </c>
      <c r="K20" s="12">
        <v>3</v>
      </c>
      <c r="L20" s="12">
        <v>0</v>
      </c>
      <c r="M20" s="12">
        <v>0</v>
      </c>
      <c r="N20" s="12">
        <v>0</v>
      </c>
      <c r="O20" s="12">
        <v>0</v>
      </c>
      <c r="P20" s="12">
        <v>0</v>
      </c>
      <c r="Q20" s="12">
        <v>0</v>
      </c>
      <c r="R20" s="12">
        <v>0</v>
      </c>
      <c r="S20" s="12">
        <v>1</v>
      </c>
      <c r="T20" s="12">
        <v>5</v>
      </c>
      <c r="U20" s="12">
        <v>0</v>
      </c>
      <c r="V20" s="12">
        <v>0</v>
      </c>
      <c r="W20" s="12">
        <v>0</v>
      </c>
      <c r="X20" s="12">
        <v>1</v>
      </c>
      <c r="Y20" s="12">
        <v>0</v>
      </c>
      <c r="Z20" s="12">
        <v>0</v>
      </c>
      <c r="AA20" s="12">
        <v>0</v>
      </c>
      <c r="AB20" s="12">
        <v>0</v>
      </c>
      <c r="AC20" s="12">
        <v>0</v>
      </c>
      <c r="AD20" s="12">
        <v>0</v>
      </c>
      <c r="AE20" s="12">
        <v>2</v>
      </c>
      <c r="AF20" s="12">
        <v>1</v>
      </c>
    </row>
    <row r="21" spans="1:32">
      <c r="A21" s="19"/>
      <c r="B21" s="13" t="s">
        <v>437</v>
      </c>
      <c r="C21" s="15" t="s">
        <v>375</v>
      </c>
      <c r="D21" s="15" t="s">
        <v>375</v>
      </c>
      <c r="E21" s="15" t="s">
        <v>375</v>
      </c>
      <c r="F21" s="15" t="s">
        <v>375</v>
      </c>
      <c r="G21" s="14">
        <v>0.01</v>
      </c>
      <c r="H21" s="15" t="s">
        <v>375</v>
      </c>
      <c r="I21" s="15" t="s">
        <v>375</v>
      </c>
      <c r="J21" s="15" t="s">
        <v>375</v>
      </c>
      <c r="K21" s="14">
        <v>0.02</v>
      </c>
      <c r="L21" s="15" t="s">
        <v>375</v>
      </c>
      <c r="M21" s="15" t="s">
        <v>375</v>
      </c>
      <c r="N21" s="15" t="s">
        <v>375</v>
      </c>
      <c r="O21" s="15" t="s">
        <v>375</v>
      </c>
      <c r="P21" s="15" t="s">
        <v>375</v>
      </c>
      <c r="Q21" s="15" t="s">
        <v>375</v>
      </c>
      <c r="R21" s="15" t="s">
        <v>375</v>
      </c>
      <c r="S21" s="14">
        <v>0.01</v>
      </c>
      <c r="T21" s="14">
        <v>0.06</v>
      </c>
      <c r="U21" s="15" t="s">
        <v>375</v>
      </c>
      <c r="V21" s="15" t="s">
        <v>375</v>
      </c>
      <c r="W21" s="15" t="s">
        <v>375</v>
      </c>
      <c r="X21" s="14">
        <v>0.01</v>
      </c>
      <c r="Y21" s="15" t="s">
        <v>375</v>
      </c>
      <c r="Z21" s="15" t="s">
        <v>375</v>
      </c>
      <c r="AA21" s="15" t="s">
        <v>375</v>
      </c>
      <c r="AB21" s="15" t="s">
        <v>375</v>
      </c>
      <c r="AC21" s="15" t="s">
        <v>375</v>
      </c>
      <c r="AD21" s="15" t="s">
        <v>375</v>
      </c>
      <c r="AE21" s="14">
        <v>0.01</v>
      </c>
      <c r="AF21" s="14">
        <v>0.01</v>
      </c>
    </row>
    <row r="22" spans="1:32">
      <c r="A22" s="19"/>
      <c r="B22" s="11" t="s">
        <v>386</v>
      </c>
      <c r="C22" s="12">
        <v>5</v>
      </c>
      <c r="D22" s="12">
        <v>1</v>
      </c>
      <c r="E22" s="12">
        <v>1</v>
      </c>
      <c r="F22" s="12">
        <v>1</v>
      </c>
      <c r="G22" s="12">
        <v>0</v>
      </c>
      <c r="H22" s="12">
        <v>0</v>
      </c>
      <c r="I22" s="12">
        <v>0</v>
      </c>
      <c r="J22" s="12">
        <v>0</v>
      </c>
      <c r="K22" s="12">
        <v>1</v>
      </c>
      <c r="L22" s="12">
        <v>0</v>
      </c>
      <c r="M22" s="12">
        <v>0</v>
      </c>
      <c r="N22" s="12">
        <v>0</v>
      </c>
      <c r="O22" s="12">
        <v>0</v>
      </c>
      <c r="P22" s="12">
        <v>0</v>
      </c>
      <c r="Q22" s="12">
        <v>0</v>
      </c>
      <c r="R22" s="12">
        <v>0</v>
      </c>
      <c r="S22" s="12">
        <v>0</v>
      </c>
      <c r="T22" s="12">
        <v>0</v>
      </c>
      <c r="U22" s="12">
        <v>1</v>
      </c>
      <c r="V22" s="12">
        <v>0</v>
      </c>
      <c r="W22" s="12">
        <v>0</v>
      </c>
      <c r="X22" s="12">
        <v>0</v>
      </c>
      <c r="Y22" s="12">
        <v>0</v>
      </c>
      <c r="Z22" s="12">
        <v>0</v>
      </c>
      <c r="AA22" s="12">
        <v>0</v>
      </c>
      <c r="AB22" s="12">
        <v>2</v>
      </c>
      <c r="AC22" s="12">
        <v>0</v>
      </c>
      <c r="AD22" s="12">
        <v>0</v>
      </c>
      <c r="AE22" s="12">
        <v>0</v>
      </c>
      <c r="AF22" s="12">
        <v>2</v>
      </c>
    </row>
    <row r="23" spans="1:32">
      <c r="A23" s="19"/>
      <c r="B23" s="13" t="s">
        <v>399</v>
      </c>
      <c r="C23" s="15" t="s">
        <v>375</v>
      </c>
      <c r="D23" s="14">
        <v>0.01</v>
      </c>
      <c r="E23" s="14">
        <v>0.01</v>
      </c>
      <c r="F23" s="14">
        <v>0.01</v>
      </c>
      <c r="G23" s="15" t="s">
        <v>375</v>
      </c>
      <c r="H23" s="15" t="s">
        <v>375</v>
      </c>
      <c r="I23" s="15" t="s">
        <v>375</v>
      </c>
      <c r="J23" s="15" t="s">
        <v>375</v>
      </c>
      <c r="K23" s="14">
        <v>0.01</v>
      </c>
      <c r="L23" s="14">
        <v>0.01</v>
      </c>
      <c r="M23" s="15" t="s">
        <v>375</v>
      </c>
      <c r="N23" s="15" t="s">
        <v>375</v>
      </c>
      <c r="O23" s="15" t="s">
        <v>375</v>
      </c>
      <c r="P23" s="15" t="s">
        <v>375</v>
      </c>
      <c r="Q23" s="15" t="s">
        <v>375</v>
      </c>
      <c r="R23" s="15" t="s">
        <v>375</v>
      </c>
      <c r="S23" s="15" t="s">
        <v>375</v>
      </c>
      <c r="T23" s="15" t="s">
        <v>375</v>
      </c>
      <c r="U23" s="14">
        <v>0.01</v>
      </c>
      <c r="V23" s="15" t="s">
        <v>375</v>
      </c>
      <c r="W23" s="15" t="s">
        <v>375</v>
      </c>
      <c r="X23" s="15" t="s">
        <v>375</v>
      </c>
      <c r="Y23" s="15" t="s">
        <v>375</v>
      </c>
      <c r="Z23" s="15" t="s">
        <v>375</v>
      </c>
      <c r="AA23" s="15" t="s">
        <v>375</v>
      </c>
      <c r="AB23" s="14">
        <v>0.02</v>
      </c>
      <c r="AC23" s="15" t="s">
        <v>375</v>
      </c>
      <c r="AD23" s="15" t="s">
        <v>375</v>
      </c>
      <c r="AE23" s="15" t="s">
        <v>375</v>
      </c>
      <c r="AF23" s="14">
        <v>0.01</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1090</v>
      </c>
      <c r="C3" s="17"/>
      <c r="D3" s="17"/>
      <c r="E3" s="17"/>
      <c r="F3" s="17"/>
      <c r="H3" s="17" t="s">
        <v>1091</v>
      </c>
      <c r="I3" s="17"/>
      <c r="J3" s="17"/>
      <c r="K3" s="17"/>
      <c r="L3" s="17"/>
    </row>
    <row r="4" spans="1:32" ht="27" customHeight="1">
      <c r="B4" s="17" t="s">
        <v>1092</v>
      </c>
      <c r="C4" s="17"/>
      <c r="D4" s="17"/>
      <c r="E4" s="17"/>
      <c r="F4" s="17"/>
      <c r="H4" s="17" t="s">
        <v>1093</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1032</v>
      </c>
      <c r="C12" s="12">
        <v>5846</v>
      </c>
      <c r="D12" s="12">
        <v>340</v>
      </c>
      <c r="E12" s="12">
        <v>190</v>
      </c>
      <c r="F12" s="12">
        <v>190</v>
      </c>
      <c r="G12" s="12">
        <v>251</v>
      </c>
      <c r="H12" s="12">
        <v>244</v>
      </c>
      <c r="I12" s="12">
        <v>293</v>
      </c>
      <c r="J12" s="12">
        <v>49</v>
      </c>
      <c r="K12" s="12">
        <v>323</v>
      </c>
      <c r="L12" s="12">
        <v>221</v>
      </c>
      <c r="M12" s="12">
        <v>75</v>
      </c>
      <c r="N12" s="12">
        <v>153</v>
      </c>
      <c r="O12" s="12">
        <v>418</v>
      </c>
      <c r="P12" s="12">
        <v>233</v>
      </c>
      <c r="Q12" s="12">
        <v>217</v>
      </c>
      <c r="R12" s="12">
        <v>103</v>
      </c>
      <c r="S12" s="12">
        <v>321</v>
      </c>
      <c r="T12" s="12">
        <v>110</v>
      </c>
      <c r="U12" s="12">
        <v>218</v>
      </c>
      <c r="V12" s="12">
        <v>309</v>
      </c>
      <c r="W12" s="12">
        <v>77</v>
      </c>
      <c r="X12" s="12">
        <v>327</v>
      </c>
      <c r="Y12" s="12">
        <v>226</v>
      </c>
      <c r="Z12" s="12">
        <v>38</v>
      </c>
      <c r="AA12" s="12">
        <v>134</v>
      </c>
      <c r="AB12" s="12">
        <v>113</v>
      </c>
      <c r="AC12" s="12">
        <v>94</v>
      </c>
      <c r="AD12" s="12">
        <v>219</v>
      </c>
      <c r="AE12" s="12">
        <v>176</v>
      </c>
      <c r="AF12" s="12">
        <v>420</v>
      </c>
    </row>
    <row r="13" spans="1:32">
      <c r="A13" s="19"/>
      <c r="B13" s="13" t="s">
        <v>1033</v>
      </c>
      <c r="C13" s="14">
        <v>0.22</v>
      </c>
      <c r="D13" s="14">
        <v>0.33</v>
      </c>
      <c r="E13" s="14">
        <v>0.18</v>
      </c>
      <c r="F13" s="14">
        <v>0.18</v>
      </c>
      <c r="G13" s="14">
        <v>0.25</v>
      </c>
      <c r="H13" s="14">
        <v>0.2</v>
      </c>
      <c r="I13" s="14">
        <v>0.19</v>
      </c>
      <c r="J13" s="14">
        <v>0.16</v>
      </c>
      <c r="K13" s="14">
        <v>0.32</v>
      </c>
      <c r="L13" s="14">
        <v>0.22</v>
      </c>
      <c r="M13" s="14">
        <v>7.0000000000000007E-2</v>
      </c>
      <c r="N13" s="14">
        <v>0.15</v>
      </c>
      <c r="O13" s="14">
        <v>0.41</v>
      </c>
      <c r="P13" s="14">
        <v>0.23</v>
      </c>
      <c r="Q13" s="14">
        <v>0.21</v>
      </c>
      <c r="R13" s="14">
        <v>0.21</v>
      </c>
      <c r="S13" s="14">
        <v>0.32</v>
      </c>
      <c r="T13" s="14">
        <v>0.11</v>
      </c>
      <c r="U13" s="14">
        <v>0.43</v>
      </c>
      <c r="V13" s="14">
        <v>0.3</v>
      </c>
      <c r="W13" s="14">
        <v>0.15</v>
      </c>
      <c r="X13" s="14">
        <v>0.33</v>
      </c>
      <c r="Y13" s="14">
        <v>0.23</v>
      </c>
      <c r="Z13" s="14">
        <v>0.04</v>
      </c>
      <c r="AA13" s="14">
        <v>0.13</v>
      </c>
      <c r="AB13" s="14">
        <v>0.11</v>
      </c>
      <c r="AC13" s="14">
        <v>0.09</v>
      </c>
      <c r="AD13" s="14">
        <v>0.22</v>
      </c>
      <c r="AE13" s="14">
        <v>0.17</v>
      </c>
      <c r="AF13" s="14">
        <v>0.41</v>
      </c>
    </row>
    <row r="14" spans="1:32">
      <c r="A14" s="19"/>
      <c r="B14" s="11" t="s">
        <v>676</v>
      </c>
      <c r="C14" s="12">
        <v>19958</v>
      </c>
      <c r="D14" s="12">
        <v>668</v>
      </c>
      <c r="E14" s="12">
        <v>840</v>
      </c>
      <c r="F14" s="12">
        <v>851</v>
      </c>
      <c r="G14" s="12">
        <v>721</v>
      </c>
      <c r="H14" s="12">
        <v>956</v>
      </c>
      <c r="I14" s="12">
        <v>1203</v>
      </c>
      <c r="J14" s="12">
        <v>247</v>
      </c>
      <c r="K14" s="12">
        <v>621</v>
      </c>
      <c r="L14" s="12">
        <v>766</v>
      </c>
      <c r="M14" s="12">
        <v>924</v>
      </c>
      <c r="N14" s="12">
        <v>847</v>
      </c>
      <c r="O14" s="12">
        <v>529</v>
      </c>
      <c r="P14" s="12">
        <v>759</v>
      </c>
      <c r="Q14" s="12">
        <v>810</v>
      </c>
      <c r="R14" s="12">
        <v>396</v>
      </c>
      <c r="S14" s="12">
        <v>656</v>
      </c>
      <c r="T14" s="12">
        <v>904</v>
      </c>
      <c r="U14" s="12">
        <v>270</v>
      </c>
      <c r="V14" s="12">
        <v>674</v>
      </c>
      <c r="W14" s="12">
        <v>425</v>
      </c>
      <c r="X14" s="12">
        <v>658</v>
      </c>
      <c r="Y14" s="12">
        <v>723</v>
      </c>
      <c r="Z14" s="12">
        <v>973</v>
      </c>
      <c r="AA14" s="12">
        <v>835</v>
      </c>
      <c r="AB14" s="12">
        <v>919</v>
      </c>
      <c r="AC14" s="12">
        <v>886</v>
      </c>
      <c r="AD14" s="12">
        <v>714</v>
      </c>
      <c r="AE14" s="12">
        <v>798</v>
      </c>
      <c r="AF14" s="12">
        <v>547</v>
      </c>
    </row>
    <row r="15" spans="1:32">
      <c r="A15" s="19"/>
      <c r="B15" s="13" t="s">
        <v>677</v>
      </c>
      <c r="C15" s="14">
        <v>0.76</v>
      </c>
      <c r="D15" s="14">
        <v>0.66</v>
      </c>
      <c r="E15" s="14">
        <v>0.8</v>
      </c>
      <c r="F15" s="14">
        <v>0.8</v>
      </c>
      <c r="G15" s="14">
        <v>0.71</v>
      </c>
      <c r="H15" s="14">
        <v>0.78</v>
      </c>
      <c r="I15" s="14">
        <v>0.79</v>
      </c>
      <c r="J15" s="14">
        <v>0.83000000000000007</v>
      </c>
      <c r="K15" s="14">
        <v>0.62</v>
      </c>
      <c r="L15" s="14">
        <v>0.76</v>
      </c>
      <c r="M15" s="14">
        <v>0.92</v>
      </c>
      <c r="N15" s="14">
        <v>0.84</v>
      </c>
      <c r="O15" s="14">
        <v>0.53</v>
      </c>
      <c r="P15" s="14">
        <v>0.76</v>
      </c>
      <c r="Q15" s="14">
        <v>0.79</v>
      </c>
      <c r="R15" s="14">
        <v>0.79</v>
      </c>
      <c r="S15" s="14">
        <v>0.65</v>
      </c>
      <c r="T15" s="14">
        <v>0.88</v>
      </c>
      <c r="U15" s="14">
        <v>0.53</v>
      </c>
      <c r="V15" s="14">
        <v>0.66</v>
      </c>
      <c r="W15" s="14">
        <v>0.85</v>
      </c>
      <c r="X15" s="14">
        <v>0.65</v>
      </c>
      <c r="Y15" s="14">
        <v>0.72</v>
      </c>
      <c r="Z15" s="14">
        <v>0.96</v>
      </c>
      <c r="AA15" s="14">
        <v>0.81</v>
      </c>
      <c r="AB15" s="14">
        <v>0.88</v>
      </c>
      <c r="AC15" s="14">
        <v>0.88</v>
      </c>
      <c r="AD15" s="14">
        <v>0.71</v>
      </c>
      <c r="AE15" s="14">
        <v>0.8</v>
      </c>
      <c r="AF15" s="14">
        <v>0.53</v>
      </c>
    </row>
    <row r="16" spans="1:32">
      <c r="A16" s="19"/>
      <c r="B16" s="11" t="s">
        <v>1094</v>
      </c>
      <c r="C16" s="12">
        <v>54</v>
      </c>
      <c r="D16" s="12">
        <v>2</v>
      </c>
      <c r="E16" s="12">
        <v>2</v>
      </c>
      <c r="F16" s="12">
        <v>1</v>
      </c>
      <c r="G16" s="12">
        <v>1</v>
      </c>
      <c r="H16" s="12">
        <v>0</v>
      </c>
      <c r="I16" s="12">
        <v>0</v>
      </c>
      <c r="J16" s="12">
        <v>0</v>
      </c>
      <c r="K16" s="12">
        <v>5</v>
      </c>
      <c r="L16" s="12">
        <v>6</v>
      </c>
      <c r="M16" s="12">
        <v>0</v>
      </c>
      <c r="N16" s="12">
        <v>0</v>
      </c>
      <c r="O16" s="12">
        <v>8</v>
      </c>
      <c r="P16" s="12">
        <v>0</v>
      </c>
      <c r="Q16" s="12">
        <v>2</v>
      </c>
      <c r="R16" s="12">
        <v>1</v>
      </c>
      <c r="S16" s="12">
        <v>0</v>
      </c>
      <c r="T16" s="12">
        <v>0</v>
      </c>
      <c r="U16" s="12">
        <v>1</v>
      </c>
      <c r="V16" s="12">
        <v>10</v>
      </c>
      <c r="W16" s="12">
        <v>0</v>
      </c>
      <c r="X16" s="12">
        <v>1</v>
      </c>
      <c r="Y16" s="12">
        <v>1</v>
      </c>
      <c r="Z16" s="12">
        <v>0</v>
      </c>
      <c r="AA16" s="12">
        <v>4</v>
      </c>
      <c r="AB16" s="12">
        <v>0</v>
      </c>
      <c r="AC16" s="12">
        <v>0</v>
      </c>
      <c r="AD16" s="12">
        <v>2</v>
      </c>
      <c r="AE16" s="12">
        <v>1</v>
      </c>
      <c r="AF16" s="12">
        <v>2</v>
      </c>
    </row>
    <row r="17" spans="1:32">
      <c r="A17" s="19"/>
      <c r="B17" s="13" t="s">
        <v>1095</v>
      </c>
      <c r="C17" s="15" t="s">
        <v>375</v>
      </c>
      <c r="D17" s="15" t="s">
        <v>375</v>
      </c>
      <c r="E17" s="15" t="s">
        <v>375</v>
      </c>
      <c r="F17" s="15" t="s">
        <v>375</v>
      </c>
      <c r="G17" s="15" t="s">
        <v>375</v>
      </c>
      <c r="H17" s="15" t="s">
        <v>375</v>
      </c>
      <c r="I17" s="15" t="s">
        <v>375</v>
      </c>
      <c r="J17" s="15" t="s">
        <v>375</v>
      </c>
      <c r="K17" s="15" t="s">
        <v>375</v>
      </c>
      <c r="L17" s="14">
        <v>0.01</v>
      </c>
      <c r="M17" s="15" t="s">
        <v>375</v>
      </c>
      <c r="N17" s="15" t="s">
        <v>375</v>
      </c>
      <c r="O17" s="14">
        <v>0.01</v>
      </c>
      <c r="P17" s="15" t="s">
        <v>375</v>
      </c>
      <c r="Q17" s="15" t="s">
        <v>375</v>
      </c>
      <c r="R17" s="15" t="s">
        <v>375</v>
      </c>
      <c r="S17" s="15" t="s">
        <v>375</v>
      </c>
      <c r="T17" s="15" t="s">
        <v>375</v>
      </c>
      <c r="U17" s="15" t="s">
        <v>375</v>
      </c>
      <c r="V17" s="14">
        <v>0.01</v>
      </c>
      <c r="W17" s="15" t="s">
        <v>375</v>
      </c>
      <c r="X17" s="15" t="s">
        <v>375</v>
      </c>
      <c r="Y17" s="15" t="s">
        <v>375</v>
      </c>
      <c r="Z17" s="15" t="s">
        <v>375</v>
      </c>
      <c r="AA17" s="15" t="s">
        <v>375</v>
      </c>
      <c r="AB17" s="15" t="s">
        <v>375</v>
      </c>
      <c r="AC17" s="15" t="s">
        <v>375</v>
      </c>
      <c r="AD17" s="15" t="s">
        <v>375</v>
      </c>
      <c r="AE17" s="15" t="s">
        <v>375</v>
      </c>
      <c r="AF17" s="15" t="s">
        <v>375</v>
      </c>
    </row>
    <row r="18" spans="1:32">
      <c r="A18" s="19"/>
      <c r="B18" s="11" t="s">
        <v>386</v>
      </c>
      <c r="C18" s="12">
        <v>594</v>
      </c>
      <c r="D18" s="12">
        <v>11</v>
      </c>
      <c r="E18" s="12">
        <v>15</v>
      </c>
      <c r="F18" s="12">
        <v>22</v>
      </c>
      <c r="G18" s="12">
        <v>43</v>
      </c>
      <c r="H18" s="12">
        <v>30</v>
      </c>
      <c r="I18" s="12">
        <v>31</v>
      </c>
      <c r="J18" s="12">
        <v>1</v>
      </c>
      <c r="K18" s="12">
        <v>57</v>
      </c>
      <c r="L18" s="12">
        <v>13</v>
      </c>
      <c r="M18" s="12">
        <v>9</v>
      </c>
      <c r="N18" s="12">
        <v>11</v>
      </c>
      <c r="O18" s="12">
        <v>49</v>
      </c>
      <c r="P18" s="12">
        <v>11</v>
      </c>
      <c r="Q18" s="12">
        <v>2</v>
      </c>
      <c r="R18" s="12">
        <v>1</v>
      </c>
      <c r="S18" s="12">
        <v>27</v>
      </c>
      <c r="T18" s="12">
        <v>9</v>
      </c>
      <c r="U18" s="12">
        <v>19</v>
      </c>
      <c r="V18" s="12">
        <v>33</v>
      </c>
      <c r="W18" s="12">
        <v>0</v>
      </c>
      <c r="X18" s="12">
        <v>24</v>
      </c>
      <c r="Y18" s="12">
        <v>53</v>
      </c>
      <c r="Z18" s="12">
        <v>5</v>
      </c>
      <c r="AA18" s="12">
        <v>64</v>
      </c>
      <c r="AB18" s="12">
        <v>9</v>
      </c>
      <c r="AC18" s="12">
        <v>25</v>
      </c>
      <c r="AD18" s="12">
        <v>69</v>
      </c>
      <c r="AE18" s="12">
        <v>26</v>
      </c>
      <c r="AF18" s="12">
        <v>62</v>
      </c>
    </row>
    <row r="19" spans="1:32">
      <c r="A19" s="19"/>
      <c r="B19" s="13" t="s">
        <v>399</v>
      </c>
      <c r="C19" s="14">
        <v>0.02</v>
      </c>
      <c r="D19" s="14">
        <v>0.01</v>
      </c>
      <c r="E19" s="14">
        <v>0.02</v>
      </c>
      <c r="F19" s="14">
        <v>0.02</v>
      </c>
      <c r="G19" s="14">
        <v>0.04</v>
      </c>
      <c r="H19" s="14">
        <v>0.02</v>
      </c>
      <c r="I19" s="14">
        <v>0.02</v>
      </c>
      <c r="J19" s="14">
        <v>0.01</v>
      </c>
      <c r="K19" s="14">
        <v>0.06</v>
      </c>
      <c r="L19" s="14">
        <v>0.01</v>
      </c>
      <c r="M19" s="14">
        <v>0.01</v>
      </c>
      <c r="N19" s="14">
        <v>0.01</v>
      </c>
      <c r="O19" s="14">
        <v>0.05</v>
      </c>
      <c r="P19" s="14">
        <v>0.01</v>
      </c>
      <c r="Q19" s="15" t="s">
        <v>375</v>
      </c>
      <c r="R19" s="15" t="s">
        <v>375</v>
      </c>
      <c r="S19" s="14">
        <v>0.03</v>
      </c>
      <c r="T19" s="14">
        <v>0.01</v>
      </c>
      <c r="U19" s="14">
        <v>0.04</v>
      </c>
      <c r="V19" s="14">
        <v>0.03</v>
      </c>
      <c r="W19" s="15" t="s">
        <v>375</v>
      </c>
      <c r="X19" s="14">
        <v>0.02</v>
      </c>
      <c r="Y19" s="14">
        <v>0.05</v>
      </c>
      <c r="Z19" s="15" t="s">
        <v>375</v>
      </c>
      <c r="AA19" s="14">
        <v>0.06</v>
      </c>
      <c r="AB19" s="14">
        <v>0.01</v>
      </c>
      <c r="AC19" s="14">
        <v>0.03</v>
      </c>
      <c r="AD19" s="14">
        <v>7.0000000000000007E-2</v>
      </c>
      <c r="AE19" s="14">
        <v>0.03</v>
      </c>
      <c r="AF19" s="14">
        <v>0.06</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1096</v>
      </c>
      <c r="C3" s="17"/>
      <c r="D3" s="17"/>
      <c r="E3" s="17"/>
      <c r="F3" s="17"/>
      <c r="H3" s="17" t="s">
        <v>1097</v>
      </c>
      <c r="I3" s="17"/>
      <c r="J3" s="17"/>
      <c r="K3" s="17"/>
      <c r="L3" s="17"/>
    </row>
    <row r="4" spans="1:32" ht="27" customHeight="1">
      <c r="B4" s="17" t="s">
        <v>1098</v>
      </c>
      <c r="C4" s="17"/>
      <c r="D4" s="17"/>
      <c r="E4" s="17"/>
      <c r="F4" s="17"/>
      <c r="H4" s="17" t="s">
        <v>1099</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HYPERLINK("#Content!A109","&lt;&lt;Back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1032</v>
      </c>
      <c r="C12" s="12">
        <v>11337</v>
      </c>
      <c r="D12" s="12">
        <v>674</v>
      </c>
      <c r="E12" s="12">
        <v>697</v>
      </c>
      <c r="F12" s="12">
        <v>60</v>
      </c>
      <c r="G12" s="12">
        <v>628</v>
      </c>
      <c r="H12" s="12">
        <v>635</v>
      </c>
      <c r="I12" s="12">
        <v>710</v>
      </c>
      <c r="J12" s="12">
        <v>76</v>
      </c>
      <c r="K12" s="12">
        <v>195</v>
      </c>
      <c r="L12" s="12">
        <v>450</v>
      </c>
      <c r="M12" s="12">
        <v>220</v>
      </c>
      <c r="N12" s="12">
        <v>539</v>
      </c>
      <c r="O12" s="12">
        <v>723</v>
      </c>
      <c r="P12" s="12">
        <v>584</v>
      </c>
      <c r="Q12" s="12">
        <v>394</v>
      </c>
      <c r="R12" s="12">
        <v>191</v>
      </c>
      <c r="S12" s="12">
        <v>156</v>
      </c>
      <c r="T12" s="12">
        <v>111</v>
      </c>
      <c r="U12" s="12">
        <v>383</v>
      </c>
      <c r="V12" s="12">
        <v>84</v>
      </c>
      <c r="W12" s="12">
        <v>239</v>
      </c>
      <c r="X12" s="12">
        <v>599</v>
      </c>
      <c r="Y12" s="12">
        <v>380</v>
      </c>
      <c r="Z12" s="12">
        <v>34</v>
      </c>
      <c r="AA12" s="12">
        <v>184</v>
      </c>
      <c r="AB12" s="12">
        <v>100</v>
      </c>
      <c r="AC12" s="12">
        <v>554</v>
      </c>
      <c r="AD12" s="12">
        <v>163</v>
      </c>
      <c r="AE12" s="12">
        <v>354</v>
      </c>
      <c r="AF12" s="12">
        <v>711</v>
      </c>
    </row>
    <row r="13" spans="1:32">
      <c r="A13" s="19"/>
      <c r="B13" s="13" t="s">
        <v>1033</v>
      </c>
      <c r="C13" s="14">
        <v>0.43</v>
      </c>
      <c r="D13" s="14">
        <v>0.66</v>
      </c>
      <c r="E13" s="14">
        <v>0.67</v>
      </c>
      <c r="F13" s="14">
        <v>0.06</v>
      </c>
      <c r="G13" s="14">
        <v>0.62</v>
      </c>
      <c r="H13" s="14">
        <v>0.52</v>
      </c>
      <c r="I13" s="14">
        <v>0.47</v>
      </c>
      <c r="J13" s="14">
        <v>0.26</v>
      </c>
      <c r="K13" s="14">
        <v>0.19</v>
      </c>
      <c r="L13" s="14">
        <v>0.45</v>
      </c>
      <c r="M13" s="14">
        <v>0.22</v>
      </c>
      <c r="N13" s="14">
        <v>0.53</v>
      </c>
      <c r="O13" s="14">
        <v>0.72</v>
      </c>
      <c r="P13" s="14">
        <v>0.57999999999999996</v>
      </c>
      <c r="Q13" s="14">
        <v>0.38</v>
      </c>
      <c r="R13" s="14">
        <v>0.38</v>
      </c>
      <c r="S13" s="14">
        <v>0.16</v>
      </c>
      <c r="T13" s="14">
        <v>0.11</v>
      </c>
      <c r="U13" s="14">
        <v>0.76</v>
      </c>
      <c r="V13" s="14">
        <v>0.08</v>
      </c>
      <c r="W13" s="14">
        <v>0.48</v>
      </c>
      <c r="X13" s="14">
        <v>0.59</v>
      </c>
      <c r="Y13" s="14">
        <v>0.38</v>
      </c>
      <c r="Z13" s="14">
        <v>0.03</v>
      </c>
      <c r="AA13" s="14">
        <v>0.18</v>
      </c>
      <c r="AB13" s="14">
        <v>0.1</v>
      </c>
      <c r="AC13" s="14">
        <v>0.55000000000000004</v>
      </c>
      <c r="AD13" s="14">
        <v>0.16</v>
      </c>
      <c r="AE13" s="14">
        <v>0.35</v>
      </c>
      <c r="AF13" s="14">
        <v>0.69000000000000006</v>
      </c>
    </row>
    <row r="14" spans="1:32">
      <c r="A14" s="19"/>
      <c r="B14" s="11" t="s">
        <v>676</v>
      </c>
      <c r="C14" s="12">
        <v>14921</v>
      </c>
      <c r="D14" s="12">
        <v>342</v>
      </c>
      <c r="E14" s="12">
        <v>345</v>
      </c>
      <c r="F14" s="12">
        <v>998</v>
      </c>
      <c r="G14" s="12">
        <v>380</v>
      </c>
      <c r="H14" s="12">
        <v>591</v>
      </c>
      <c r="I14" s="12">
        <v>811</v>
      </c>
      <c r="J14" s="12">
        <v>221</v>
      </c>
      <c r="K14" s="12">
        <v>771</v>
      </c>
      <c r="L14" s="12">
        <v>543</v>
      </c>
      <c r="M14" s="12">
        <v>781</v>
      </c>
      <c r="N14" s="12">
        <v>470</v>
      </c>
      <c r="O14" s="12">
        <v>265</v>
      </c>
      <c r="P14" s="12">
        <v>412</v>
      </c>
      <c r="Q14" s="12">
        <v>635</v>
      </c>
      <c r="R14" s="12">
        <v>308</v>
      </c>
      <c r="S14" s="12">
        <v>832</v>
      </c>
      <c r="T14" s="12">
        <v>908</v>
      </c>
      <c r="U14" s="12">
        <v>118</v>
      </c>
      <c r="V14" s="12">
        <v>914</v>
      </c>
      <c r="W14" s="12">
        <v>262</v>
      </c>
      <c r="X14" s="12">
        <v>407</v>
      </c>
      <c r="Y14" s="12">
        <v>602</v>
      </c>
      <c r="Z14" s="12">
        <v>980</v>
      </c>
      <c r="AA14" s="12">
        <v>828</v>
      </c>
      <c r="AB14" s="12">
        <v>937</v>
      </c>
      <c r="AC14" s="12">
        <v>443</v>
      </c>
      <c r="AD14" s="12">
        <v>827</v>
      </c>
      <c r="AE14" s="12">
        <v>631</v>
      </c>
      <c r="AF14" s="12">
        <v>309</v>
      </c>
    </row>
    <row r="15" spans="1:32">
      <c r="A15" s="19"/>
      <c r="B15" s="13" t="s">
        <v>677</v>
      </c>
      <c r="C15" s="14">
        <v>0.56000000000000005</v>
      </c>
      <c r="D15" s="14">
        <v>0.34</v>
      </c>
      <c r="E15" s="14">
        <v>0.33</v>
      </c>
      <c r="F15" s="14">
        <v>0.94000000000000006</v>
      </c>
      <c r="G15" s="14">
        <v>0.37</v>
      </c>
      <c r="H15" s="14">
        <v>0.48</v>
      </c>
      <c r="I15" s="14">
        <v>0.53</v>
      </c>
      <c r="J15" s="14">
        <v>0.74</v>
      </c>
      <c r="K15" s="14">
        <v>0.77</v>
      </c>
      <c r="L15" s="14">
        <v>0.54</v>
      </c>
      <c r="M15" s="14">
        <v>0.77</v>
      </c>
      <c r="N15" s="14">
        <v>0.47</v>
      </c>
      <c r="O15" s="14">
        <v>0.26</v>
      </c>
      <c r="P15" s="14">
        <v>0.41</v>
      </c>
      <c r="Q15" s="14">
        <v>0.62</v>
      </c>
      <c r="R15" s="14">
        <v>0.62</v>
      </c>
      <c r="S15" s="14">
        <v>0.83000000000000007</v>
      </c>
      <c r="T15" s="14">
        <v>0.89</v>
      </c>
      <c r="U15" s="14">
        <v>0.23</v>
      </c>
      <c r="V15" s="14">
        <v>0.89</v>
      </c>
      <c r="W15" s="14">
        <v>0.52</v>
      </c>
      <c r="X15" s="14">
        <v>0.4</v>
      </c>
      <c r="Y15" s="14">
        <v>0.6</v>
      </c>
      <c r="Z15" s="14">
        <v>0.97</v>
      </c>
      <c r="AA15" s="14">
        <v>0.8</v>
      </c>
      <c r="AB15" s="14">
        <v>0.9</v>
      </c>
      <c r="AC15" s="14">
        <v>0.44</v>
      </c>
      <c r="AD15" s="14">
        <v>0.83000000000000007</v>
      </c>
      <c r="AE15" s="14">
        <v>0.63</v>
      </c>
      <c r="AF15" s="14">
        <v>0.3</v>
      </c>
    </row>
    <row r="16" spans="1:32">
      <c r="A16" s="19"/>
      <c r="B16" s="11" t="s">
        <v>1094</v>
      </c>
      <c r="C16" s="12">
        <v>46</v>
      </c>
      <c r="D16" s="12">
        <v>3</v>
      </c>
      <c r="E16" s="12">
        <v>0</v>
      </c>
      <c r="F16" s="12">
        <v>1</v>
      </c>
      <c r="G16" s="12">
        <v>0</v>
      </c>
      <c r="H16" s="12">
        <v>0</v>
      </c>
      <c r="I16" s="12">
        <v>0</v>
      </c>
      <c r="J16" s="12">
        <v>0</v>
      </c>
      <c r="K16" s="12">
        <v>6</v>
      </c>
      <c r="L16" s="12">
        <v>5</v>
      </c>
      <c r="M16" s="12">
        <v>0</v>
      </c>
      <c r="N16" s="12">
        <v>0</v>
      </c>
      <c r="O16" s="12">
        <v>6</v>
      </c>
      <c r="P16" s="12">
        <v>0</v>
      </c>
      <c r="Q16" s="12">
        <v>1</v>
      </c>
      <c r="R16" s="12">
        <v>1</v>
      </c>
      <c r="S16" s="12">
        <v>1</v>
      </c>
      <c r="T16" s="12">
        <v>0</v>
      </c>
      <c r="U16" s="12">
        <v>1</v>
      </c>
      <c r="V16" s="12">
        <v>11</v>
      </c>
      <c r="W16" s="12">
        <v>1</v>
      </c>
      <c r="X16" s="12">
        <v>0</v>
      </c>
      <c r="Y16" s="12">
        <v>2</v>
      </c>
      <c r="Z16" s="12">
        <v>0</v>
      </c>
      <c r="AA16" s="12">
        <v>3</v>
      </c>
      <c r="AB16" s="12">
        <v>2</v>
      </c>
      <c r="AC16" s="12">
        <v>0</v>
      </c>
      <c r="AD16" s="12">
        <v>1</v>
      </c>
      <c r="AE16" s="12">
        <v>2</v>
      </c>
      <c r="AF16" s="12">
        <v>0</v>
      </c>
    </row>
    <row r="17" spans="1:32">
      <c r="A17" s="19"/>
      <c r="B17" s="13" t="s">
        <v>1095</v>
      </c>
      <c r="C17" s="15" t="s">
        <v>375</v>
      </c>
      <c r="D17" s="15" t="s">
        <v>375</v>
      </c>
      <c r="E17" s="15" t="s">
        <v>375</v>
      </c>
      <c r="F17" s="15" t="s">
        <v>375</v>
      </c>
      <c r="G17" s="15" t="s">
        <v>375</v>
      </c>
      <c r="H17" s="15" t="s">
        <v>375</v>
      </c>
      <c r="I17" s="15" t="s">
        <v>375</v>
      </c>
      <c r="J17" s="15" t="s">
        <v>375</v>
      </c>
      <c r="K17" s="14">
        <v>0.01</v>
      </c>
      <c r="L17" s="15" t="s">
        <v>375</v>
      </c>
      <c r="M17" s="15" t="s">
        <v>375</v>
      </c>
      <c r="N17" s="15" t="s">
        <v>375</v>
      </c>
      <c r="O17" s="14">
        <v>0.01</v>
      </c>
      <c r="P17" s="15" t="s">
        <v>375</v>
      </c>
      <c r="Q17" s="15" t="s">
        <v>375</v>
      </c>
      <c r="R17" s="15" t="s">
        <v>375</v>
      </c>
      <c r="S17" s="15" t="s">
        <v>375</v>
      </c>
      <c r="T17" s="15" t="s">
        <v>375</v>
      </c>
      <c r="U17" s="15" t="s">
        <v>375</v>
      </c>
      <c r="V17" s="14">
        <v>0.01</v>
      </c>
      <c r="W17" s="15" t="s">
        <v>375</v>
      </c>
      <c r="X17" s="15" t="s">
        <v>375</v>
      </c>
      <c r="Y17" s="15" t="s">
        <v>375</v>
      </c>
      <c r="Z17" s="15" t="s">
        <v>375</v>
      </c>
      <c r="AA17" s="15" t="s">
        <v>375</v>
      </c>
      <c r="AB17" s="15" t="s">
        <v>375</v>
      </c>
      <c r="AC17" s="15" t="s">
        <v>375</v>
      </c>
      <c r="AD17" s="15" t="s">
        <v>375</v>
      </c>
      <c r="AE17" s="15" t="s">
        <v>375</v>
      </c>
      <c r="AF17" s="15" t="s">
        <v>375</v>
      </c>
    </row>
    <row r="18" spans="1:32">
      <c r="A18" s="19"/>
      <c r="B18" s="11" t="s">
        <v>386</v>
      </c>
      <c r="C18" s="12">
        <v>149</v>
      </c>
      <c r="D18" s="12">
        <v>2</v>
      </c>
      <c r="E18" s="12">
        <v>5</v>
      </c>
      <c r="F18" s="12">
        <v>5</v>
      </c>
      <c r="G18" s="12">
        <v>8</v>
      </c>
      <c r="H18" s="12">
        <v>5</v>
      </c>
      <c r="I18" s="12">
        <v>5</v>
      </c>
      <c r="J18" s="12">
        <v>0</v>
      </c>
      <c r="K18" s="12">
        <v>35</v>
      </c>
      <c r="L18" s="12">
        <v>8</v>
      </c>
      <c r="M18" s="12">
        <v>6</v>
      </c>
      <c r="N18" s="12">
        <v>2</v>
      </c>
      <c r="O18" s="12">
        <v>10</v>
      </c>
      <c r="P18" s="12">
        <v>7</v>
      </c>
      <c r="Q18" s="12">
        <v>1</v>
      </c>
      <c r="R18" s="12">
        <v>1</v>
      </c>
      <c r="S18" s="12">
        <v>14</v>
      </c>
      <c r="T18" s="12">
        <v>5</v>
      </c>
      <c r="U18" s="12">
        <v>6</v>
      </c>
      <c r="V18" s="12">
        <v>17</v>
      </c>
      <c r="W18" s="12">
        <v>0</v>
      </c>
      <c r="X18" s="12">
        <v>4</v>
      </c>
      <c r="Y18" s="12">
        <v>19</v>
      </c>
      <c r="Z18" s="12">
        <v>3</v>
      </c>
      <c r="AA18" s="12">
        <v>22</v>
      </c>
      <c r="AB18" s="12">
        <v>3</v>
      </c>
      <c r="AC18" s="12">
        <v>9</v>
      </c>
      <c r="AD18" s="12">
        <v>12</v>
      </c>
      <c r="AE18" s="12">
        <v>14</v>
      </c>
      <c r="AF18" s="12">
        <v>11</v>
      </c>
    </row>
    <row r="19" spans="1:32">
      <c r="A19" s="19"/>
      <c r="B19" s="13" t="s">
        <v>399</v>
      </c>
      <c r="C19" s="14">
        <v>0.01</v>
      </c>
      <c r="D19" s="15" t="s">
        <v>375</v>
      </c>
      <c r="E19" s="15" t="s">
        <v>375</v>
      </c>
      <c r="F19" s="15" t="s">
        <v>375</v>
      </c>
      <c r="G19" s="14">
        <v>0.01</v>
      </c>
      <c r="H19" s="15" t="s">
        <v>375</v>
      </c>
      <c r="I19" s="15" t="s">
        <v>375</v>
      </c>
      <c r="J19" s="15" t="s">
        <v>375</v>
      </c>
      <c r="K19" s="14">
        <v>0.03</v>
      </c>
      <c r="L19" s="14">
        <v>0.01</v>
      </c>
      <c r="M19" s="14">
        <v>0.01</v>
      </c>
      <c r="N19" s="15" t="s">
        <v>375</v>
      </c>
      <c r="O19" s="14">
        <v>0.01</v>
      </c>
      <c r="P19" s="14">
        <v>0.01</v>
      </c>
      <c r="Q19" s="15" t="s">
        <v>375</v>
      </c>
      <c r="R19" s="15" t="s">
        <v>375</v>
      </c>
      <c r="S19" s="14">
        <v>0.01</v>
      </c>
      <c r="T19" s="15" t="s">
        <v>375</v>
      </c>
      <c r="U19" s="14">
        <v>0.01</v>
      </c>
      <c r="V19" s="14">
        <v>0.02</v>
      </c>
      <c r="W19" s="15" t="s">
        <v>375</v>
      </c>
      <c r="X19" s="14">
        <v>0.01</v>
      </c>
      <c r="Y19" s="14">
        <v>0.02</v>
      </c>
      <c r="Z19" s="15" t="s">
        <v>375</v>
      </c>
      <c r="AA19" s="14">
        <v>0.02</v>
      </c>
      <c r="AB19" s="15" t="s">
        <v>375</v>
      </c>
      <c r="AC19" s="14">
        <v>0.01</v>
      </c>
      <c r="AD19" s="14">
        <v>0.01</v>
      </c>
      <c r="AE19" s="14">
        <v>0.02</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1100</v>
      </c>
      <c r="C3" s="17"/>
      <c r="D3" s="17"/>
      <c r="E3" s="17"/>
      <c r="F3" s="17"/>
      <c r="H3" s="17" t="s">
        <v>1101</v>
      </c>
      <c r="I3" s="17"/>
      <c r="J3" s="17"/>
      <c r="K3" s="17"/>
      <c r="L3" s="17"/>
    </row>
    <row r="4" spans="1:32" ht="27" customHeight="1">
      <c r="B4" s="17" t="s">
        <v>1102</v>
      </c>
      <c r="C4" s="17"/>
      <c r="D4" s="17"/>
      <c r="E4" s="17"/>
      <c r="F4" s="17"/>
      <c r="H4" s="17" t="s">
        <v>1103</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1032</v>
      </c>
      <c r="C12" s="12">
        <v>23955</v>
      </c>
      <c r="D12" s="12">
        <v>946</v>
      </c>
      <c r="E12" s="12">
        <v>1024</v>
      </c>
      <c r="F12" s="12">
        <v>687</v>
      </c>
      <c r="G12" s="12">
        <v>965</v>
      </c>
      <c r="H12" s="12">
        <v>1181</v>
      </c>
      <c r="I12" s="12">
        <v>1418</v>
      </c>
      <c r="J12" s="12">
        <v>237</v>
      </c>
      <c r="K12" s="12">
        <v>765</v>
      </c>
      <c r="L12" s="12">
        <v>890</v>
      </c>
      <c r="M12" s="12">
        <v>996</v>
      </c>
      <c r="N12" s="12">
        <v>976</v>
      </c>
      <c r="O12" s="12">
        <v>899</v>
      </c>
      <c r="P12" s="12">
        <v>983</v>
      </c>
      <c r="Q12" s="12">
        <v>920</v>
      </c>
      <c r="R12" s="12">
        <v>497</v>
      </c>
      <c r="S12" s="12">
        <v>871</v>
      </c>
      <c r="T12" s="12">
        <v>939</v>
      </c>
      <c r="U12" s="12">
        <v>493</v>
      </c>
      <c r="V12" s="12">
        <v>867</v>
      </c>
      <c r="W12" s="12">
        <v>397</v>
      </c>
      <c r="X12" s="12">
        <v>904</v>
      </c>
      <c r="Y12" s="12">
        <v>878</v>
      </c>
      <c r="Z12" s="12">
        <v>878</v>
      </c>
      <c r="AA12" s="12">
        <v>759</v>
      </c>
      <c r="AB12" s="12">
        <v>989</v>
      </c>
      <c r="AC12" s="12">
        <v>978</v>
      </c>
      <c r="AD12" s="12">
        <v>948</v>
      </c>
      <c r="AE12" s="12">
        <v>982</v>
      </c>
      <c r="AF12" s="12">
        <v>968</v>
      </c>
    </row>
    <row r="13" spans="1:32">
      <c r="A13" s="19"/>
      <c r="B13" s="13" t="s">
        <v>1033</v>
      </c>
      <c r="C13" s="14">
        <v>0.9</v>
      </c>
      <c r="D13" s="14">
        <v>0.93</v>
      </c>
      <c r="E13" s="14">
        <v>0.98</v>
      </c>
      <c r="F13" s="14">
        <v>0.65</v>
      </c>
      <c r="G13" s="14">
        <v>0.95000000000000007</v>
      </c>
      <c r="H13" s="14">
        <v>0.96</v>
      </c>
      <c r="I13" s="14">
        <v>0.93</v>
      </c>
      <c r="J13" s="14">
        <v>0.8</v>
      </c>
      <c r="K13" s="14">
        <v>0.76</v>
      </c>
      <c r="L13" s="14">
        <v>0.88</v>
      </c>
      <c r="M13" s="14">
        <v>0.99</v>
      </c>
      <c r="N13" s="14">
        <v>0.97</v>
      </c>
      <c r="O13" s="14">
        <v>0.9</v>
      </c>
      <c r="P13" s="14">
        <v>0.98</v>
      </c>
      <c r="Q13" s="14">
        <v>0.89</v>
      </c>
      <c r="R13" s="14">
        <v>0.99</v>
      </c>
      <c r="S13" s="14">
        <v>0.87</v>
      </c>
      <c r="T13" s="14">
        <v>0.92</v>
      </c>
      <c r="U13" s="14">
        <v>0.97</v>
      </c>
      <c r="V13" s="14">
        <v>0.84</v>
      </c>
      <c r="W13" s="14">
        <v>0.79</v>
      </c>
      <c r="X13" s="14">
        <v>0.89</v>
      </c>
      <c r="Y13" s="14">
        <v>0.87</v>
      </c>
      <c r="Z13" s="14">
        <v>0.86</v>
      </c>
      <c r="AA13" s="14">
        <v>0.73</v>
      </c>
      <c r="AB13" s="14">
        <v>0.95000000000000007</v>
      </c>
      <c r="AC13" s="14">
        <v>0.97</v>
      </c>
      <c r="AD13" s="14">
        <v>0.95000000000000007</v>
      </c>
      <c r="AE13" s="14">
        <v>0.98</v>
      </c>
      <c r="AF13" s="14">
        <v>0.94000000000000006</v>
      </c>
    </row>
    <row r="14" spans="1:32">
      <c r="A14" s="19"/>
      <c r="B14" s="11" t="s">
        <v>676</v>
      </c>
      <c r="C14" s="12">
        <v>2270</v>
      </c>
      <c r="D14" s="12">
        <v>67</v>
      </c>
      <c r="E14" s="12">
        <v>22</v>
      </c>
      <c r="F14" s="12">
        <v>364</v>
      </c>
      <c r="G14" s="12">
        <v>48</v>
      </c>
      <c r="H14" s="12">
        <v>46</v>
      </c>
      <c r="I14" s="12">
        <v>105</v>
      </c>
      <c r="J14" s="12">
        <v>59</v>
      </c>
      <c r="K14" s="12">
        <v>204</v>
      </c>
      <c r="L14" s="12">
        <v>102</v>
      </c>
      <c r="M14" s="12">
        <v>11</v>
      </c>
      <c r="N14" s="12">
        <v>35</v>
      </c>
      <c r="O14" s="12">
        <v>84</v>
      </c>
      <c r="P14" s="12">
        <v>19</v>
      </c>
      <c r="Q14" s="12">
        <v>108</v>
      </c>
      <c r="R14" s="12">
        <v>4</v>
      </c>
      <c r="S14" s="12">
        <v>123</v>
      </c>
      <c r="T14" s="12">
        <v>81</v>
      </c>
      <c r="U14" s="12">
        <v>13</v>
      </c>
      <c r="V14" s="12">
        <v>149</v>
      </c>
      <c r="W14" s="12">
        <v>105</v>
      </c>
      <c r="X14" s="12">
        <v>99</v>
      </c>
      <c r="Y14" s="12">
        <v>98</v>
      </c>
      <c r="Z14" s="12">
        <v>137</v>
      </c>
      <c r="AA14" s="12">
        <v>181</v>
      </c>
      <c r="AB14" s="12">
        <v>51</v>
      </c>
      <c r="AC14" s="12">
        <v>23</v>
      </c>
      <c r="AD14" s="12">
        <v>51</v>
      </c>
      <c r="AE14" s="12">
        <v>19</v>
      </c>
      <c r="AF14" s="12">
        <v>56</v>
      </c>
    </row>
    <row r="15" spans="1:32">
      <c r="A15" s="19"/>
      <c r="B15" s="13" t="s">
        <v>677</v>
      </c>
      <c r="C15" s="14">
        <v>0.09</v>
      </c>
      <c r="D15" s="14">
        <v>7.0000000000000007E-2</v>
      </c>
      <c r="E15" s="14">
        <v>0.02</v>
      </c>
      <c r="F15" s="14">
        <v>0.34</v>
      </c>
      <c r="G15" s="14">
        <v>0.05</v>
      </c>
      <c r="H15" s="14">
        <v>0.04</v>
      </c>
      <c r="I15" s="14">
        <v>7.0000000000000007E-2</v>
      </c>
      <c r="J15" s="14">
        <v>0.2</v>
      </c>
      <c r="K15" s="14">
        <v>0.2</v>
      </c>
      <c r="L15" s="14">
        <v>0.1</v>
      </c>
      <c r="M15" s="14">
        <v>0.01</v>
      </c>
      <c r="N15" s="14">
        <v>0.03</v>
      </c>
      <c r="O15" s="14">
        <v>0.08</v>
      </c>
      <c r="P15" s="14">
        <v>0.02</v>
      </c>
      <c r="Q15" s="14">
        <v>0.11</v>
      </c>
      <c r="R15" s="14">
        <v>0.01</v>
      </c>
      <c r="S15" s="14">
        <v>0.12</v>
      </c>
      <c r="T15" s="14">
        <v>0.08</v>
      </c>
      <c r="U15" s="14">
        <v>0.03</v>
      </c>
      <c r="V15" s="14">
        <v>0.15</v>
      </c>
      <c r="W15" s="14">
        <v>0.21</v>
      </c>
      <c r="X15" s="14">
        <v>0.1</v>
      </c>
      <c r="Y15" s="14">
        <v>0.1</v>
      </c>
      <c r="Z15" s="14">
        <v>0.14000000000000001</v>
      </c>
      <c r="AA15" s="14">
        <v>0.18</v>
      </c>
      <c r="AB15" s="14">
        <v>0.05</v>
      </c>
      <c r="AC15" s="14">
        <v>0.02</v>
      </c>
      <c r="AD15" s="14">
        <v>0.05</v>
      </c>
      <c r="AE15" s="14">
        <v>0.02</v>
      </c>
      <c r="AF15" s="14">
        <v>0.05</v>
      </c>
    </row>
    <row r="16" spans="1:32">
      <c r="A16" s="19"/>
      <c r="B16" s="11" t="s">
        <v>1094</v>
      </c>
      <c r="C16" s="12">
        <v>46</v>
      </c>
      <c r="D16" s="12">
        <v>2</v>
      </c>
      <c r="E16" s="12">
        <v>0</v>
      </c>
      <c r="F16" s="12">
        <v>2</v>
      </c>
      <c r="G16" s="12">
        <v>0</v>
      </c>
      <c r="H16" s="12">
        <v>1</v>
      </c>
      <c r="I16" s="12">
        <v>1</v>
      </c>
      <c r="J16" s="12">
        <v>0</v>
      </c>
      <c r="K16" s="12">
        <v>5</v>
      </c>
      <c r="L16" s="12">
        <v>6</v>
      </c>
      <c r="M16" s="12">
        <v>0</v>
      </c>
      <c r="N16" s="12">
        <v>0</v>
      </c>
      <c r="O16" s="12">
        <v>5</v>
      </c>
      <c r="P16" s="12">
        <v>0</v>
      </c>
      <c r="Q16" s="12">
        <v>3</v>
      </c>
      <c r="R16" s="12">
        <v>0</v>
      </c>
      <c r="S16" s="12">
        <v>0</v>
      </c>
      <c r="T16" s="12">
        <v>0</v>
      </c>
      <c r="U16" s="12">
        <v>1</v>
      </c>
      <c r="V16" s="12">
        <v>10</v>
      </c>
      <c r="W16" s="12">
        <v>0</v>
      </c>
      <c r="X16" s="12">
        <v>1</v>
      </c>
      <c r="Y16" s="12">
        <v>0</v>
      </c>
      <c r="Z16" s="12">
        <v>0</v>
      </c>
      <c r="AA16" s="12">
        <v>5</v>
      </c>
      <c r="AB16" s="12">
        <v>0</v>
      </c>
      <c r="AC16" s="12">
        <v>0</v>
      </c>
      <c r="AD16" s="12">
        <v>1</v>
      </c>
      <c r="AE16" s="12">
        <v>0</v>
      </c>
      <c r="AF16" s="12">
        <v>0</v>
      </c>
    </row>
    <row r="17" spans="1:32">
      <c r="A17" s="19"/>
      <c r="B17" s="13" t="s">
        <v>1095</v>
      </c>
      <c r="C17" s="15" t="s">
        <v>375</v>
      </c>
      <c r="D17" s="15" t="s">
        <v>375</v>
      </c>
      <c r="E17" s="15" t="s">
        <v>375</v>
      </c>
      <c r="F17" s="15" t="s">
        <v>375</v>
      </c>
      <c r="G17" s="15" t="s">
        <v>375</v>
      </c>
      <c r="H17" s="15" t="s">
        <v>375</v>
      </c>
      <c r="I17" s="15" t="s">
        <v>375</v>
      </c>
      <c r="J17" s="15" t="s">
        <v>375</v>
      </c>
      <c r="K17" s="14">
        <v>0.01</v>
      </c>
      <c r="L17" s="14">
        <v>0.01</v>
      </c>
      <c r="M17" s="15" t="s">
        <v>375</v>
      </c>
      <c r="N17" s="15" t="s">
        <v>375</v>
      </c>
      <c r="O17" s="15" t="s">
        <v>375</v>
      </c>
      <c r="P17" s="15" t="s">
        <v>375</v>
      </c>
      <c r="Q17" s="15" t="s">
        <v>375</v>
      </c>
      <c r="R17" s="15" t="s">
        <v>375</v>
      </c>
      <c r="S17" s="15" t="s">
        <v>375</v>
      </c>
      <c r="T17" s="15" t="s">
        <v>375</v>
      </c>
      <c r="U17" s="15" t="s">
        <v>375</v>
      </c>
      <c r="V17" s="14">
        <v>0.01</v>
      </c>
      <c r="W17" s="15" t="s">
        <v>375</v>
      </c>
      <c r="X17" s="15" t="s">
        <v>375</v>
      </c>
      <c r="Y17" s="15" t="s">
        <v>375</v>
      </c>
      <c r="Z17" s="15" t="s">
        <v>375</v>
      </c>
      <c r="AA17" s="15" t="s">
        <v>375</v>
      </c>
      <c r="AB17" s="15" t="s">
        <v>375</v>
      </c>
      <c r="AC17" s="15" t="s">
        <v>375</v>
      </c>
      <c r="AD17" s="15" t="s">
        <v>375</v>
      </c>
      <c r="AE17" s="15" t="s">
        <v>375</v>
      </c>
      <c r="AF17" s="15" t="s">
        <v>375</v>
      </c>
    </row>
    <row r="18" spans="1:32">
      <c r="A18" s="19"/>
      <c r="B18" s="11" t="s">
        <v>386</v>
      </c>
      <c r="C18" s="12">
        <v>182</v>
      </c>
      <c r="D18" s="12">
        <v>5</v>
      </c>
      <c r="E18" s="12">
        <v>0</v>
      </c>
      <c r="F18" s="12">
        <v>11</v>
      </c>
      <c r="G18" s="12">
        <v>3</v>
      </c>
      <c r="H18" s="12">
        <v>2</v>
      </c>
      <c r="I18" s="12">
        <v>4</v>
      </c>
      <c r="J18" s="12">
        <v>1</v>
      </c>
      <c r="K18" s="12">
        <v>32</v>
      </c>
      <c r="L18" s="12">
        <v>8</v>
      </c>
      <c r="M18" s="12">
        <v>0</v>
      </c>
      <c r="N18" s="12">
        <v>0</v>
      </c>
      <c r="O18" s="12">
        <v>16</v>
      </c>
      <c r="P18" s="12">
        <v>1</v>
      </c>
      <c r="Q18" s="12">
        <v>1</v>
      </c>
      <c r="R18" s="12">
        <v>0</v>
      </c>
      <c r="S18" s="12">
        <v>10</v>
      </c>
      <c r="T18" s="12">
        <v>4</v>
      </c>
      <c r="U18" s="12">
        <v>1</v>
      </c>
      <c r="V18" s="12">
        <v>1</v>
      </c>
      <c r="W18" s="12">
        <v>0</v>
      </c>
      <c r="X18" s="12">
        <v>6</v>
      </c>
      <c r="Y18" s="12">
        <v>28</v>
      </c>
      <c r="Z18" s="12">
        <v>1</v>
      </c>
      <c r="AA18" s="12">
        <v>92</v>
      </c>
      <c r="AB18" s="12">
        <v>1</v>
      </c>
      <c r="AC18" s="12">
        <v>4</v>
      </c>
      <c r="AD18" s="12">
        <v>3</v>
      </c>
      <c r="AE18" s="12">
        <v>0</v>
      </c>
      <c r="AF18" s="12">
        <v>6</v>
      </c>
    </row>
    <row r="19" spans="1:32">
      <c r="A19" s="19"/>
      <c r="B19" s="13" t="s">
        <v>399</v>
      </c>
      <c r="C19" s="14">
        <v>0.01</v>
      </c>
      <c r="D19" s="15" t="s">
        <v>375</v>
      </c>
      <c r="E19" s="15" t="s">
        <v>375</v>
      </c>
      <c r="F19" s="14">
        <v>0.01</v>
      </c>
      <c r="G19" s="15" t="s">
        <v>375</v>
      </c>
      <c r="H19" s="15" t="s">
        <v>375</v>
      </c>
      <c r="I19" s="15" t="s">
        <v>375</v>
      </c>
      <c r="J19" s="15" t="s">
        <v>375</v>
      </c>
      <c r="K19" s="14">
        <v>0.03</v>
      </c>
      <c r="L19" s="14">
        <v>0.01</v>
      </c>
      <c r="M19" s="15" t="s">
        <v>375</v>
      </c>
      <c r="N19" s="15" t="s">
        <v>375</v>
      </c>
      <c r="O19" s="14">
        <v>0.02</v>
      </c>
      <c r="P19" s="15" t="s">
        <v>375</v>
      </c>
      <c r="Q19" s="15" t="s">
        <v>375</v>
      </c>
      <c r="R19" s="15" t="s">
        <v>375</v>
      </c>
      <c r="S19" s="14">
        <v>0.01</v>
      </c>
      <c r="T19" s="15" t="s">
        <v>375</v>
      </c>
      <c r="U19" s="15" t="s">
        <v>375</v>
      </c>
      <c r="V19" s="15" t="s">
        <v>375</v>
      </c>
      <c r="W19" s="15" t="s">
        <v>375</v>
      </c>
      <c r="X19" s="14">
        <v>0.01</v>
      </c>
      <c r="Y19" s="14">
        <v>0.03</v>
      </c>
      <c r="Z19" s="15" t="s">
        <v>375</v>
      </c>
      <c r="AA19" s="14">
        <v>0.09</v>
      </c>
      <c r="AB19" s="15" t="s">
        <v>375</v>
      </c>
      <c r="AC19" s="14">
        <v>0.01</v>
      </c>
      <c r="AD19" s="15" t="s">
        <v>375</v>
      </c>
      <c r="AE19" s="15" t="s">
        <v>375</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1104</v>
      </c>
      <c r="C3" s="17"/>
      <c r="D3" s="17"/>
      <c r="E3" s="17"/>
      <c r="F3" s="17"/>
      <c r="H3" s="17" t="s">
        <v>1105</v>
      </c>
      <c r="I3" s="17"/>
      <c r="J3" s="17"/>
      <c r="K3" s="17"/>
      <c r="L3" s="17"/>
    </row>
    <row r="4" spans="1:32" ht="27" customHeight="1">
      <c r="B4" s="17" t="s">
        <v>1106</v>
      </c>
      <c r="C4" s="17"/>
      <c r="D4" s="17"/>
      <c r="E4" s="17"/>
      <c r="F4" s="17"/>
      <c r="H4" s="17" t="s">
        <v>1107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1032</v>
      </c>
      <c r="C12" s="12">
        <v>11541</v>
      </c>
      <c r="D12" s="12">
        <v>532</v>
      </c>
      <c r="E12" s="12">
        <v>320</v>
      </c>
      <c r="F12" s="12">
        <v>307</v>
      </c>
      <c r="G12" s="12">
        <v>482</v>
      </c>
      <c r="H12" s="12">
        <v>607</v>
      </c>
      <c r="I12" s="12">
        <v>697</v>
      </c>
      <c r="J12" s="12">
        <v>90</v>
      </c>
      <c r="K12" s="12">
        <v>443</v>
      </c>
      <c r="L12" s="12">
        <v>655</v>
      </c>
      <c r="M12" s="12">
        <v>242</v>
      </c>
      <c r="N12" s="12">
        <v>464</v>
      </c>
      <c r="O12" s="12">
        <v>432</v>
      </c>
      <c r="P12" s="12">
        <v>734</v>
      </c>
      <c r="Q12" s="12">
        <v>487</v>
      </c>
      <c r="R12" s="12">
        <v>255</v>
      </c>
      <c r="S12" s="12">
        <v>411</v>
      </c>
      <c r="T12" s="12">
        <v>311</v>
      </c>
      <c r="U12" s="12">
        <v>330</v>
      </c>
      <c r="V12" s="12">
        <v>442</v>
      </c>
      <c r="W12" s="12">
        <v>212</v>
      </c>
      <c r="X12" s="12">
        <v>483</v>
      </c>
      <c r="Y12" s="12">
        <v>436</v>
      </c>
      <c r="Z12" s="12">
        <v>235</v>
      </c>
      <c r="AA12" s="12">
        <v>598</v>
      </c>
      <c r="AB12" s="12">
        <v>486</v>
      </c>
      <c r="AC12" s="12">
        <v>461</v>
      </c>
      <c r="AD12" s="12">
        <v>612</v>
      </c>
      <c r="AE12" s="12">
        <v>504</v>
      </c>
      <c r="AF12" s="12">
        <v>452</v>
      </c>
    </row>
    <row r="13" spans="1:32">
      <c r="A13" s="19"/>
      <c r="B13" s="13" t="s">
        <v>1033</v>
      </c>
      <c r="C13" s="14">
        <v>0.44</v>
      </c>
      <c r="D13" s="14">
        <v>0.52</v>
      </c>
      <c r="E13" s="14">
        <v>0.31</v>
      </c>
      <c r="F13" s="14">
        <v>0.28999999999999998</v>
      </c>
      <c r="G13" s="14">
        <v>0.48</v>
      </c>
      <c r="H13" s="14">
        <v>0.49</v>
      </c>
      <c r="I13" s="14">
        <v>0.46</v>
      </c>
      <c r="J13" s="14">
        <v>0.3</v>
      </c>
      <c r="K13" s="14">
        <v>0.44</v>
      </c>
      <c r="L13" s="14">
        <v>0.65</v>
      </c>
      <c r="M13" s="14">
        <v>0.24</v>
      </c>
      <c r="N13" s="14">
        <v>0.46</v>
      </c>
      <c r="O13" s="14">
        <v>0.43</v>
      </c>
      <c r="P13" s="14">
        <v>0.73</v>
      </c>
      <c r="Q13" s="14">
        <v>0.47</v>
      </c>
      <c r="R13" s="14">
        <v>0.51</v>
      </c>
      <c r="S13" s="14">
        <v>0.41</v>
      </c>
      <c r="T13" s="14">
        <v>0.3</v>
      </c>
      <c r="U13" s="14">
        <v>0.65</v>
      </c>
      <c r="V13" s="14">
        <v>0.43</v>
      </c>
      <c r="W13" s="14">
        <v>0.42</v>
      </c>
      <c r="X13" s="14">
        <v>0.48</v>
      </c>
      <c r="Y13" s="14">
        <v>0.43</v>
      </c>
      <c r="Z13" s="14">
        <v>0.23</v>
      </c>
      <c r="AA13" s="14">
        <v>0.57999999999999996</v>
      </c>
      <c r="AB13" s="14">
        <v>0.47</v>
      </c>
      <c r="AC13" s="14">
        <v>0.46</v>
      </c>
      <c r="AD13" s="14">
        <v>0.61</v>
      </c>
      <c r="AE13" s="14">
        <v>0.5</v>
      </c>
      <c r="AF13" s="14">
        <v>0.44</v>
      </c>
    </row>
    <row r="14" spans="1:32">
      <c r="A14" s="19"/>
      <c r="B14" s="11" t="s">
        <v>676</v>
      </c>
      <c r="C14" s="12">
        <v>14026</v>
      </c>
      <c r="D14" s="12">
        <v>469</v>
      </c>
      <c r="E14" s="12">
        <v>692</v>
      </c>
      <c r="F14" s="12">
        <v>700</v>
      </c>
      <c r="G14" s="12">
        <v>471</v>
      </c>
      <c r="H14" s="12">
        <v>579</v>
      </c>
      <c r="I14" s="12">
        <v>783</v>
      </c>
      <c r="J14" s="12">
        <v>204</v>
      </c>
      <c r="K14" s="12">
        <v>458</v>
      </c>
      <c r="L14" s="12">
        <v>312</v>
      </c>
      <c r="M14" s="12">
        <v>758</v>
      </c>
      <c r="N14" s="12">
        <v>526</v>
      </c>
      <c r="O14" s="12">
        <v>499</v>
      </c>
      <c r="P14" s="12">
        <v>263</v>
      </c>
      <c r="Q14" s="12">
        <v>540</v>
      </c>
      <c r="R14" s="12">
        <v>243</v>
      </c>
      <c r="S14" s="12">
        <v>515</v>
      </c>
      <c r="T14" s="12">
        <v>690</v>
      </c>
      <c r="U14" s="12">
        <v>146</v>
      </c>
      <c r="V14" s="12">
        <v>540</v>
      </c>
      <c r="W14" s="12">
        <v>290</v>
      </c>
      <c r="X14" s="12">
        <v>502</v>
      </c>
      <c r="Y14" s="12">
        <v>463</v>
      </c>
      <c r="Z14" s="12">
        <v>775</v>
      </c>
      <c r="AA14" s="12">
        <v>331</v>
      </c>
      <c r="AB14" s="12">
        <v>539</v>
      </c>
      <c r="AC14" s="12">
        <v>507</v>
      </c>
      <c r="AD14" s="12">
        <v>357</v>
      </c>
      <c r="AE14" s="12">
        <v>465</v>
      </c>
      <c r="AF14" s="12">
        <v>534</v>
      </c>
    </row>
    <row r="15" spans="1:32">
      <c r="A15" s="19"/>
      <c r="B15" s="13" t="s">
        <v>677</v>
      </c>
      <c r="C15" s="14">
        <v>0.53</v>
      </c>
      <c r="D15" s="14">
        <v>0.46</v>
      </c>
      <c r="E15" s="14">
        <v>0.66</v>
      </c>
      <c r="F15" s="14">
        <v>0.66</v>
      </c>
      <c r="G15" s="14">
        <v>0.46</v>
      </c>
      <c r="H15" s="14">
        <v>0.47</v>
      </c>
      <c r="I15" s="14">
        <v>0.51</v>
      </c>
      <c r="J15" s="14">
        <v>0.69000000000000006</v>
      </c>
      <c r="K15" s="14">
        <v>0.45</v>
      </c>
      <c r="L15" s="14">
        <v>0.31</v>
      </c>
      <c r="M15" s="14">
        <v>0.75</v>
      </c>
      <c r="N15" s="14">
        <v>0.52</v>
      </c>
      <c r="O15" s="14">
        <v>0.5</v>
      </c>
      <c r="P15" s="14">
        <v>0.26</v>
      </c>
      <c r="Q15" s="14">
        <v>0.53</v>
      </c>
      <c r="R15" s="14">
        <v>0.49</v>
      </c>
      <c r="S15" s="14">
        <v>0.51</v>
      </c>
      <c r="T15" s="14">
        <v>0.68</v>
      </c>
      <c r="U15" s="14">
        <v>0.28999999999999998</v>
      </c>
      <c r="V15" s="14">
        <v>0.53</v>
      </c>
      <c r="W15" s="14">
        <v>0.57999999999999996</v>
      </c>
      <c r="X15" s="14">
        <v>0.5</v>
      </c>
      <c r="Y15" s="14">
        <v>0.46</v>
      </c>
      <c r="Z15" s="14">
        <v>0.76</v>
      </c>
      <c r="AA15" s="14">
        <v>0.32</v>
      </c>
      <c r="AB15" s="14">
        <v>0.52</v>
      </c>
      <c r="AC15" s="14">
        <v>0.5</v>
      </c>
      <c r="AD15" s="14">
        <v>0.36</v>
      </c>
      <c r="AE15" s="14">
        <v>0.47</v>
      </c>
      <c r="AF15" s="14">
        <v>0.52</v>
      </c>
    </row>
    <row r="16" spans="1:32">
      <c r="A16" s="19"/>
      <c r="B16" s="11" t="s">
        <v>1094</v>
      </c>
      <c r="C16" s="12">
        <v>54</v>
      </c>
      <c r="D16" s="12">
        <v>3</v>
      </c>
      <c r="E16" s="12">
        <v>1</v>
      </c>
      <c r="F16" s="12">
        <v>0</v>
      </c>
      <c r="G16" s="12">
        <v>0</v>
      </c>
      <c r="H16" s="12">
        <v>1</v>
      </c>
      <c r="I16" s="12">
        <v>1</v>
      </c>
      <c r="J16" s="12">
        <v>0</v>
      </c>
      <c r="K16" s="12">
        <v>7</v>
      </c>
      <c r="L16" s="12">
        <v>6</v>
      </c>
      <c r="M16" s="12">
        <v>0</v>
      </c>
      <c r="N16" s="12">
        <v>0</v>
      </c>
      <c r="O16" s="12">
        <v>7</v>
      </c>
      <c r="P16" s="12">
        <v>0</v>
      </c>
      <c r="Q16" s="12">
        <v>1</v>
      </c>
      <c r="R16" s="12">
        <v>1</v>
      </c>
      <c r="S16" s="12">
        <v>1</v>
      </c>
      <c r="T16" s="12">
        <v>0</v>
      </c>
      <c r="U16" s="12">
        <v>1</v>
      </c>
      <c r="V16" s="12">
        <v>11</v>
      </c>
      <c r="W16" s="12">
        <v>0</v>
      </c>
      <c r="X16" s="12">
        <v>0</v>
      </c>
      <c r="Y16" s="12">
        <v>0</v>
      </c>
      <c r="Z16" s="12">
        <v>0</v>
      </c>
      <c r="AA16" s="12">
        <v>2</v>
      </c>
      <c r="AB16" s="12">
        <v>4</v>
      </c>
      <c r="AC16" s="12">
        <v>2</v>
      </c>
      <c r="AD16" s="12">
        <v>3</v>
      </c>
      <c r="AE16" s="12">
        <v>1</v>
      </c>
      <c r="AF16" s="12">
        <v>0</v>
      </c>
    </row>
    <row r="17" spans="1:32">
      <c r="A17" s="19"/>
      <c r="B17" s="13" t="s">
        <v>1095</v>
      </c>
      <c r="C17" s="15" t="s">
        <v>375</v>
      </c>
      <c r="D17" s="15" t="s">
        <v>375</v>
      </c>
      <c r="E17" s="15" t="s">
        <v>375</v>
      </c>
      <c r="F17" s="15" t="s">
        <v>375</v>
      </c>
      <c r="G17" s="15" t="s">
        <v>375</v>
      </c>
      <c r="H17" s="15" t="s">
        <v>375</v>
      </c>
      <c r="I17" s="15" t="s">
        <v>375</v>
      </c>
      <c r="J17" s="15" t="s">
        <v>375</v>
      </c>
      <c r="K17" s="14">
        <v>0.01</v>
      </c>
      <c r="L17" s="14">
        <v>0.01</v>
      </c>
      <c r="M17" s="15" t="s">
        <v>375</v>
      </c>
      <c r="N17" s="15" t="s">
        <v>375</v>
      </c>
      <c r="O17" s="14">
        <v>0.01</v>
      </c>
      <c r="P17" s="15" t="s">
        <v>375</v>
      </c>
      <c r="Q17" s="15" t="s">
        <v>375</v>
      </c>
      <c r="R17" s="15" t="s">
        <v>375</v>
      </c>
      <c r="S17" s="15" t="s">
        <v>375</v>
      </c>
      <c r="T17" s="15" t="s">
        <v>375</v>
      </c>
      <c r="U17" s="15" t="s">
        <v>375</v>
      </c>
      <c r="V17" s="14">
        <v>0.01</v>
      </c>
      <c r="W17" s="15" t="s">
        <v>375</v>
      </c>
      <c r="X17" s="15" t="s">
        <v>375</v>
      </c>
      <c r="Y17" s="15" t="s">
        <v>375</v>
      </c>
      <c r="Z17" s="15" t="s">
        <v>375</v>
      </c>
      <c r="AA17" s="15" t="s">
        <v>375</v>
      </c>
      <c r="AB17" s="15" t="s">
        <v>375</v>
      </c>
      <c r="AC17" s="15" t="s">
        <v>375</v>
      </c>
      <c r="AD17" s="15" t="s">
        <v>375</v>
      </c>
      <c r="AE17" s="15" t="s">
        <v>375</v>
      </c>
      <c r="AF17" s="15" t="s">
        <v>375</v>
      </c>
    </row>
    <row r="18" spans="1:32">
      <c r="A18" s="19"/>
      <c r="B18" s="11" t="s">
        <v>386</v>
      </c>
      <c r="C18" s="12">
        <v>831</v>
      </c>
      <c r="D18" s="12">
        <v>17</v>
      </c>
      <c r="E18" s="12">
        <v>33</v>
      </c>
      <c r="F18" s="12">
        <v>57</v>
      </c>
      <c r="G18" s="12">
        <v>63</v>
      </c>
      <c r="H18" s="12">
        <v>43</v>
      </c>
      <c r="I18" s="12">
        <v>46</v>
      </c>
      <c r="J18" s="12">
        <v>3</v>
      </c>
      <c r="K18" s="12">
        <v>98</v>
      </c>
      <c r="L18" s="12">
        <v>32</v>
      </c>
      <c r="M18" s="12">
        <v>7</v>
      </c>
      <c r="N18" s="12">
        <v>21</v>
      </c>
      <c r="O18" s="12">
        <v>66</v>
      </c>
      <c r="P18" s="12">
        <v>5</v>
      </c>
      <c r="Q18" s="12">
        <v>3</v>
      </c>
      <c r="R18" s="12">
        <v>1</v>
      </c>
      <c r="S18" s="12">
        <v>77</v>
      </c>
      <c r="T18" s="12">
        <v>22</v>
      </c>
      <c r="U18" s="12">
        <v>31</v>
      </c>
      <c r="V18" s="12">
        <v>33</v>
      </c>
      <c r="W18" s="12">
        <v>1</v>
      </c>
      <c r="X18" s="12">
        <v>25</v>
      </c>
      <c r="Y18" s="12">
        <v>105</v>
      </c>
      <c r="Z18" s="12">
        <v>6</v>
      </c>
      <c r="AA18" s="12">
        <v>105</v>
      </c>
      <c r="AB18" s="12">
        <v>12</v>
      </c>
      <c r="AC18" s="12">
        <v>35</v>
      </c>
      <c r="AD18" s="12">
        <v>31</v>
      </c>
      <c r="AE18" s="12">
        <v>32</v>
      </c>
      <c r="AF18" s="12">
        <v>45</v>
      </c>
    </row>
    <row r="19" spans="1:32">
      <c r="A19" s="19"/>
      <c r="B19" s="13" t="s">
        <v>399</v>
      </c>
      <c r="C19" s="14">
        <v>0.03</v>
      </c>
      <c r="D19" s="14">
        <v>0.02</v>
      </c>
      <c r="E19" s="14">
        <v>0.03</v>
      </c>
      <c r="F19" s="14">
        <v>0.05</v>
      </c>
      <c r="G19" s="14">
        <v>0.06</v>
      </c>
      <c r="H19" s="14">
        <v>0.04</v>
      </c>
      <c r="I19" s="14">
        <v>0.03</v>
      </c>
      <c r="J19" s="14">
        <v>0.01</v>
      </c>
      <c r="K19" s="14">
        <v>0.1</v>
      </c>
      <c r="L19" s="14">
        <v>0.03</v>
      </c>
      <c r="M19" s="14">
        <v>0.01</v>
      </c>
      <c r="N19" s="14">
        <v>0.02</v>
      </c>
      <c r="O19" s="14">
        <v>0.06</v>
      </c>
      <c r="P19" s="14">
        <v>0.01</v>
      </c>
      <c r="Q19" s="15" t="s">
        <v>375</v>
      </c>
      <c r="R19" s="15" t="s">
        <v>375</v>
      </c>
      <c r="S19" s="14">
        <v>0.08</v>
      </c>
      <c r="T19" s="14">
        <v>0.02</v>
      </c>
      <c r="U19" s="14">
        <v>0.06</v>
      </c>
      <c r="V19" s="14">
        <v>0.03</v>
      </c>
      <c r="W19" s="15" t="s">
        <v>375</v>
      </c>
      <c r="X19" s="14">
        <v>0.02</v>
      </c>
      <c r="Y19" s="14">
        <v>0.11</v>
      </c>
      <c r="Z19" s="14">
        <v>0.01</v>
      </c>
      <c r="AA19" s="14">
        <v>0.1</v>
      </c>
      <c r="AB19" s="14">
        <v>0.01</v>
      </c>
      <c r="AC19" s="14">
        <v>0.04</v>
      </c>
      <c r="AD19" s="14">
        <v>0.03</v>
      </c>
      <c r="AE19" s="14">
        <v>0.03</v>
      </c>
      <c r="AF19" s="14">
        <v>0.04</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F3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221</v>
      </c>
      <c r="C3" s="17"/>
      <c r="D3" s="17"/>
      <c r="E3" s="17"/>
      <c r="F3" s="17"/>
      <c r="H3" s="17" t="s">
        <v>222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1108</v>
      </c>
      <c r="C12" s="12">
        <v>784</v>
      </c>
      <c r="D12" s="12">
        <v>66</v>
      </c>
      <c r="E12" s="12">
        <v>100</v>
      </c>
      <c r="F12" s="12">
        <v>32</v>
      </c>
      <c r="G12" s="12">
        <v>14</v>
      </c>
      <c r="H12" s="12">
        <v>30</v>
      </c>
      <c r="I12" s="12">
        <v>35</v>
      </c>
      <c r="J12" s="12">
        <v>5</v>
      </c>
      <c r="K12" s="12">
        <v>88</v>
      </c>
      <c r="L12" s="12">
        <v>44</v>
      </c>
      <c r="M12" s="12">
        <v>18</v>
      </c>
      <c r="N12" s="12">
        <v>10</v>
      </c>
      <c r="O12" s="12">
        <v>25</v>
      </c>
      <c r="P12" s="12">
        <v>34</v>
      </c>
      <c r="Q12" s="12">
        <v>18</v>
      </c>
      <c r="R12" s="12">
        <v>11</v>
      </c>
      <c r="S12" s="12">
        <v>61</v>
      </c>
      <c r="T12" s="12">
        <v>30</v>
      </c>
      <c r="U12" s="12">
        <v>30</v>
      </c>
      <c r="V12" s="12">
        <v>29</v>
      </c>
      <c r="W12" s="12">
        <v>10</v>
      </c>
      <c r="X12" s="12">
        <v>59</v>
      </c>
      <c r="Y12" s="12">
        <v>38</v>
      </c>
      <c r="Z12" s="12">
        <v>30</v>
      </c>
      <c r="AA12" s="12">
        <v>44</v>
      </c>
      <c r="AB12" s="12">
        <v>81</v>
      </c>
      <c r="AC12" s="12">
        <v>20</v>
      </c>
      <c r="AD12" s="12">
        <v>44</v>
      </c>
      <c r="AE12" s="12">
        <v>9</v>
      </c>
      <c r="AF12" s="12">
        <v>47</v>
      </c>
    </row>
    <row r="13" spans="1:32">
      <c r="A13" s="19"/>
      <c r="B13" s="13" t="s">
        <v>1109</v>
      </c>
      <c r="C13" s="14">
        <v>0.03</v>
      </c>
      <c r="D13" s="14">
        <v>0.06</v>
      </c>
      <c r="E13" s="14">
        <v>0.1</v>
      </c>
      <c r="F13" s="14">
        <v>0.03</v>
      </c>
      <c r="G13" s="14">
        <v>0.01</v>
      </c>
      <c r="H13" s="14">
        <v>0.02</v>
      </c>
      <c r="I13" s="14">
        <v>0.02</v>
      </c>
      <c r="J13" s="14">
        <v>0.02</v>
      </c>
      <c r="K13" s="14">
        <v>0.09</v>
      </c>
      <c r="L13" s="14">
        <v>0.04</v>
      </c>
      <c r="M13" s="14">
        <v>0.02</v>
      </c>
      <c r="N13" s="14">
        <v>0.01</v>
      </c>
      <c r="O13" s="14">
        <v>0.03</v>
      </c>
      <c r="P13" s="14">
        <v>0.03</v>
      </c>
      <c r="Q13" s="14">
        <v>0.02</v>
      </c>
      <c r="R13" s="14">
        <v>0.02</v>
      </c>
      <c r="S13" s="14">
        <v>0.06</v>
      </c>
      <c r="T13" s="14">
        <v>0.03</v>
      </c>
      <c r="U13" s="14">
        <v>0.06</v>
      </c>
      <c r="V13" s="14">
        <v>0.03</v>
      </c>
      <c r="W13" s="14">
        <v>0.02</v>
      </c>
      <c r="X13" s="14">
        <v>0.06</v>
      </c>
      <c r="Y13" s="14">
        <v>0.04</v>
      </c>
      <c r="Z13" s="14">
        <v>0.03</v>
      </c>
      <c r="AA13" s="14">
        <v>0.04</v>
      </c>
      <c r="AB13" s="14">
        <v>0.08</v>
      </c>
      <c r="AC13" s="14">
        <v>0.02</v>
      </c>
      <c r="AD13" s="14">
        <v>0.04</v>
      </c>
      <c r="AE13" s="14">
        <v>0.01</v>
      </c>
      <c r="AF13" s="14">
        <v>0.05</v>
      </c>
    </row>
    <row r="14" spans="1:32">
      <c r="A14" s="19"/>
      <c r="B14" s="11" t="s">
        <v>1110</v>
      </c>
      <c r="C14" s="12">
        <v>942</v>
      </c>
      <c r="D14" s="12">
        <v>84</v>
      </c>
      <c r="E14" s="12">
        <v>53</v>
      </c>
      <c r="F14" s="12">
        <v>37</v>
      </c>
      <c r="G14" s="12">
        <v>32</v>
      </c>
      <c r="H14" s="12">
        <v>28</v>
      </c>
      <c r="I14" s="12">
        <v>34</v>
      </c>
      <c r="J14" s="12">
        <v>6</v>
      </c>
      <c r="K14" s="12">
        <v>32</v>
      </c>
      <c r="L14" s="12">
        <v>33</v>
      </c>
      <c r="M14" s="12">
        <v>7</v>
      </c>
      <c r="N14" s="12">
        <v>23</v>
      </c>
      <c r="O14" s="12">
        <v>40</v>
      </c>
      <c r="P14" s="12">
        <v>46</v>
      </c>
      <c r="Q14" s="12">
        <v>47</v>
      </c>
      <c r="R14" s="12">
        <v>28</v>
      </c>
      <c r="S14" s="12">
        <v>32</v>
      </c>
      <c r="T14" s="12">
        <v>8</v>
      </c>
      <c r="U14" s="12">
        <v>31</v>
      </c>
      <c r="V14" s="12">
        <v>28</v>
      </c>
      <c r="W14" s="12">
        <v>18</v>
      </c>
      <c r="X14" s="12">
        <v>56</v>
      </c>
      <c r="Y14" s="12">
        <v>34</v>
      </c>
      <c r="Z14" s="12">
        <v>39</v>
      </c>
      <c r="AA14" s="12">
        <v>21</v>
      </c>
      <c r="AB14" s="12">
        <v>59</v>
      </c>
      <c r="AC14" s="12">
        <v>40</v>
      </c>
      <c r="AD14" s="12">
        <v>58</v>
      </c>
      <c r="AE14" s="12">
        <v>36</v>
      </c>
      <c r="AF14" s="12">
        <v>27</v>
      </c>
    </row>
    <row r="15" spans="1:32">
      <c r="A15" s="19"/>
      <c r="B15" s="13" t="s">
        <v>1111</v>
      </c>
      <c r="C15" s="14">
        <v>0.04</v>
      </c>
      <c r="D15" s="14">
        <v>0.08</v>
      </c>
      <c r="E15" s="14">
        <v>0.05</v>
      </c>
      <c r="F15" s="14">
        <v>0.03</v>
      </c>
      <c r="G15" s="14">
        <v>0.03</v>
      </c>
      <c r="H15" s="14">
        <v>0.02</v>
      </c>
      <c r="I15" s="14">
        <v>0.02</v>
      </c>
      <c r="J15" s="14">
        <v>0.02</v>
      </c>
      <c r="K15" s="14">
        <v>0.03</v>
      </c>
      <c r="L15" s="14">
        <v>0.03</v>
      </c>
      <c r="M15" s="14">
        <v>0.01</v>
      </c>
      <c r="N15" s="14">
        <v>0.02</v>
      </c>
      <c r="O15" s="14">
        <v>0.04</v>
      </c>
      <c r="P15" s="14">
        <v>0.05</v>
      </c>
      <c r="Q15" s="14">
        <v>0.05</v>
      </c>
      <c r="R15" s="14">
        <v>0.06</v>
      </c>
      <c r="S15" s="14">
        <v>0.03</v>
      </c>
      <c r="T15" s="14">
        <v>0.01</v>
      </c>
      <c r="U15" s="14">
        <v>0.06</v>
      </c>
      <c r="V15" s="14">
        <v>0.03</v>
      </c>
      <c r="W15" s="14">
        <v>0.04</v>
      </c>
      <c r="X15" s="14">
        <v>0.06</v>
      </c>
      <c r="Y15" s="14">
        <v>0.03</v>
      </c>
      <c r="Z15" s="14">
        <v>0.04</v>
      </c>
      <c r="AA15" s="14">
        <v>0.02</v>
      </c>
      <c r="AB15" s="14">
        <v>0.06</v>
      </c>
      <c r="AC15" s="14">
        <v>0.04</v>
      </c>
      <c r="AD15" s="14">
        <v>0.06</v>
      </c>
      <c r="AE15" s="14">
        <v>0.04</v>
      </c>
      <c r="AF15" s="14">
        <v>0.03</v>
      </c>
    </row>
    <row r="16" spans="1:32">
      <c r="A16" s="19"/>
      <c r="B16" s="11" t="s">
        <v>1112</v>
      </c>
      <c r="C16" s="12">
        <v>629</v>
      </c>
      <c r="D16" s="12">
        <v>37</v>
      </c>
      <c r="E16" s="12">
        <v>9</v>
      </c>
      <c r="F16" s="12">
        <v>26</v>
      </c>
      <c r="G16" s="12">
        <v>35</v>
      </c>
      <c r="H16" s="12">
        <v>39</v>
      </c>
      <c r="I16" s="12">
        <v>41</v>
      </c>
      <c r="J16" s="12">
        <v>2</v>
      </c>
      <c r="K16" s="12">
        <v>13</v>
      </c>
      <c r="L16" s="12">
        <v>10</v>
      </c>
      <c r="M16" s="12">
        <v>0</v>
      </c>
      <c r="N16" s="12">
        <v>18</v>
      </c>
      <c r="O16" s="12">
        <v>27</v>
      </c>
      <c r="P16" s="12">
        <v>12</v>
      </c>
      <c r="Q16" s="12">
        <v>18</v>
      </c>
      <c r="R16" s="12">
        <v>3</v>
      </c>
      <c r="S16" s="12">
        <v>11</v>
      </c>
      <c r="T16" s="12">
        <v>4</v>
      </c>
      <c r="U16" s="12">
        <v>3</v>
      </c>
      <c r="V16" s="12">
        <v>14</v>
      </c>
      <c r="W16" s="12">
        <v>17</v>
      </c>
      <c r="X16" s="12">
        <v>51</v>
      </c>
      <c r="Y16" s="12">
        <v>33</v>
      </c>
      <c r="Z16" s="12">
        <v>21</v>
      </c>
      <c r="AA16" s="12">
        <v>53</v>
      </c>
      <c r="AB16" s="12">
        <v>4</v>
      </c>
      <c r="AC16" s="12">
        <v>16</v>
      </c>
      <c r="AD16" s="12">
        <v>14</v>
      </c>
      <c r="AE16" s="12">
        <v>45</v>
      </c>
      <c r="AF16" s="12">
        <v>46</v>
      </c>
    </row>
    <row r="17" spans="1:32">
      <c r="A17" s="19"/>
      <c r="B17" s="13" t="s">
        <v>1113</v>
      </c>
      <c r="C17" s="14">
        <v>0.02</v>
      </c>
      <c r="D17" s="14">
        <v>0.04</v>
      </c>
      <c r="E17" s="14">
        <v>0.01</v>
      </c>
      <c r="F17" s="14">
        <v>0.02</v>
      </c>
      <c r="G17" s="14">
        <v>0.03</v>
      </c>
      <c r="H17" s="14">
        <v>0.03</v>
      </c>
      <c r="I17" s="14">
        <v>0.03</v>
      </c>
      <c r="J17" s="14">
        <v>0.01</v>
      </c>
      <c r="K17" s="14">
        <v>0.01</v>
      </c>
      <c r="L17" s="14">
        <v>0.01</v>
      </c>
      <c r="M17" s="15" t="s">
        <v>375</v>
      </c>
      <c r="N17" s="14">
        <v>0.02</v>
      </c>
      <c r="O17" s="14">
        <v>0.03</v>
      </c>
      <c r="P17" s="14">
        <v>0.01</v>
      </c>
      <c r="Q17" s="14">
        <v>0.02</v>
      </c>
      <c r="R17" s="14">
        <v>0.01</v>
      </c>
      <c r="S17" s="14">
        <v>0.01</v>
      </c>
      <c r="T17" s="15" t="s">
        <v>375</v>
      </c>
      <c r="U17" s="14">
        <v>0.01</v>
      </c>
      <c r="V17" s="14">
        <v>0.01</v>
      </c>
      <c r="W17" s="14">
        <v>0.03</v>
      </c>
      <c r="X17" s="14">
        <v>0.05</v>
      </c>
      <c r="Y17" s="14">
        <v>0.03</v>
      </c>
      <c r="Z17" s="14">
        <v>0.02</v>
      </c>
      <c r="AA17" s="14">
        <v>0.05</v>
      </c>
      <c r="AB17" s="15" t="s">
        <v>375</v>
      </c>
      <c r="AC17" s="14">
        <v>0.02</v>
      </c>
      <c r="AD17" s="14">
        <v>0.01</v>
      </c>
      <c r="AE17" s="14">
        <v>0.05</v>
      </c>
      <c r="AF17" s="14">
        <v>0.04</v>
      </c>
    </row>
    <row r="18" spans="1:32">
      <c r="A18" s="19"/>
      <c r="B18" s="11" t="s">
        <v>1114</v>
      </c>
      <c r="C18" s="12">
        <v>502</v>
      </c>
      <c r="D18" s="12">
        <v>36</v>
      </c>
      <c r="E18" s="12">
        <v>17</v>
      </c>
      <c r="F18" s="12">
        <v>29</v>
      </c>
      <c r="G18" s="12">
        <v>33</v>
      </c>
      <c r="H18" s="12">
        <v>19</v>
      </c>
      <c r="I18" s="12">
        <v>24</v>
      </c>
      <c r="J18" s="12">
        <v>5</v>
      </c>
      <c r="K18" s="12">
        <v>47</v>
      </c>
      <c r="L18" s="12">
        <v>8</v>
      </c>
      <c r="M18" s="12">
        <v>4</v>
      </c>
      <c r="N18" s="12">
        <v>6</v>
      </c>
      <c r="O18" s="12">
        <v>36</v>
      </c>
      <c r="P18" s="12">
        <v>26</v>
      </c>
      <c r="Q18" s="12">
        <v>13</v>
      </c>
      <c r="R18" s="12">
        <v>1</v>
      </c>
      <c r="S18" s="12">
        <v>27</v>
      </c>
      <c r="T18" s="12">
        <v>18</v>
      </c>
      <c r="U18" s="12">
        <v>2</v>
      </c>
      <c r="V18" s="12">
        <v>14</v>
      </c>
      <c r="W18" s="12">
        <v>15</v>
      </c>
      <c r="X18" s="12">
        <v>35</v>
      </c>
      <c r="Y18" s="12">
        <v>29</v>
      </c>
      <c r="Z18" s="12">
        <v>18</v>
      </c>
      <c r="AA18" s="12">
        <v>16</v>
      </c>
      <c r="AB18" s="12">
        <v>9</v>
      </c>
      <c r="AC18" s="12">
        <v>5</v>
      </c>
      <c r="AD18" s="12">
        <v>13</v>
      </c>
      <c r="AE18" s="12">
        <v>16</v>
      </c>
      <c r="AF18" s="12">
        <v>25</v>
      </c>
    </row>
    <row r="19" spans="1:32">
      <c r="A19" s="19"/>
      <c r="B19" s="13" t="s">
        <v>1115</v>
      </c>
      <c r="C19" s="14">
        <v>0.02</v>
      </c>
      <c r="D19" s="14">
        <v>0.04</v>
      </c>
      <c r="E19" s="14">
        <v>0.02</v>
      </c>
      <c r="F19" s="14">
        <v>0.03</v>
      </c>
      <c r="G19" s="14">
        <v>0.03</v>
      </c>
      <c r="H19" s="14">
        <v>0.02</v>
      </c>
      <c r="I19" s="14">
        <v>0.02</v>
      </c>
      <c r="J19" s="14">
        <v>0.02</v>
      </c>
      <c r="K19" s="14">
        <v>0.05</v>
      </c>
      <c r="L19" s="14">
        <v>0.01</v>
      </c>
      <c r="M19" s="15" t="s">
        <v>375</v>
      </c>
      <c r="N19" s="14">
        <v>0.01</v>
      </c>
      <c r="O19" s="14">
        <v>0.04</v>
      </c>
      <c r="P19" s="14">
        <v>0.03</v>
      </c>
      <c r="Q19" s="14">
        <v>0.01</v>
      </c>
      <c r="R19" s="15" t="s">
        <v>375</v>
      </c>
      <c r="S19" s="14">
        <v>0.03</v>
      </c>
      <c r="T19" s="14">
        <v>0.02</v>
      </c>
      <c r="U19" s="15" t="s">
        <v>375</v>
      </c>
      <c r="V19" s="14">
        <v>0.01</v>
      </c>
      <c r="W19" s="14">
        <v>0.03</v>
      </c>
      <c r="X19" s="14">
        <v>0.03</v>
      </c>
      <c r="Y19" s="14">
        <v>0.03</v>
      </c>
      <c r="Z19" s="14">
        <v>0.02</v>
      </c>
      <c r="AA19" s="14">
        <v>0.02</v>
      </c>
      <c r="AB19" s="14">
        <v>0.01</v>
      </c>
      <c r="AC19" s="14">
        <v>0.01</v>
      </c>
      <c r="AD19" s="14">
        <v>0.01</v>
      </c>
      <c r="AE19" s="14">
        <v>0.02</v>
      </c>
      <c r="AF19" s="14">
        <v>0.02</v>
      </c>
    </row>
    <row r="20" spans="1:32">
      <c r="A20" s="19"/>
      <c r="B20" s="11" t="s">
        <v>1116</v>
      </c>
      <c r="C20" s="12">
        <v>489</v>
      </c>
      <c r="D20" s="12">
        <v>38</v>
      </c>
      <c r="E20" s="12">
        <v>17</v>
      </c>
      <c r="F20" s="12">
        <v>23</v>
      </c>
      <c r="G20" s="12">
        <v>7</v>
      </c>
      <c r="H20" s="12">
        <v>25</v>
      </c>
      <c r="I20" s="12">
        <v>33</v>
      </c>
      <c r="J20" s="12">
        <v>8</v>
      </c>
      <c r="K20" s="12">
        <v>20</v>
      </c>
      <c r="L20" s="12">
        <v>14</v>
      </c>
      <c r="M20" s="12">
        <v>8</v>
      </c>
      <c r="N20" s="12">
        <v>12</v>
      </c>
      <c r="O20" s="12">
        <v>14</v>
      </c>
      <c r="P20" s="12">
        <v>15</v>
      </c>
      <c r="Q20" s="12">
        <v>14</v>
      </c>
      <c r="R20" s="12">
        <v>2</v>
      </c>
      <c r="S20" s="12">
        <v>16</v>
      </c>
      <c r="T20" s="12">
        <v>6</v>
      </c>
      <c r="U20" s="12">
        <v>10</v>
      </c>
      <c r="V20" s="12">
        <v>21</v>
      </c>
      <c r="W20" s="12">
        <v>16</v>
      </c>
      <c r="X20" s="12">
        <v>34</v>
      </c>
      <c r="Y20" s="12">
        <v>17</v>
      </c>
      <c r="Z20" s="12">
        <v>17</v>
      </c>
      <c r="AA20" s="12">
        <v>18</v>
      </c>
      <c r="AB20" s="12">
        <v>40</v>
      </c>
      <c r="AC20" s="12">
        <v>5</v>
      </c>
      <c r="AD20" s="12">
        <v>16</v>
      </c>
      <c r="AE20" s="12">
        <v>48</v>
      </c>
      <c r="AF20" s="12">
        <v>22</v>
      </c>
    </row>
    <row r="21" spans="1:32">
      <c r="A21" s="19"/>
      <c r="B21" s="13" t="s">
        <v>1117</v>
      </c>
      <c r="C21" s="14">
        <v>0.02</v>
      </c>
      <c r="D21" s="14">
        <v>0.04</v>
      </c>
      <c r="E21" s="14">
        <v>0.02</v>
      </c>
      <c r="F21" s="14">
        <v>0.02</v>
      </c>
      <c r="G21" s="14">
        <v>0.01</v>
      </c>
      <c r="H21" s="14">
        <v>0.02</v>
      </c>
      <c r="I21" s="14">
        <v>0.02</v>
      </c>
      <c r="J21" s="14">
        <v>0.03</v>
      </c>
      <c r="K21" s="14">
        <v>0.02</v>
      </c>
      <c r="L21" s="14">
        <v>0.01</v>
      </c>
      <c r="M21" s="14">
        <v>0.01</v>
      </c>
      <c r="N21" s="14">
        <v>0.01</v>
      </c>
      <c r="O21" s="14">
        <v>0.01</v>
      </c>
      <c r="P21" s="14">
        <v>0.01</v>
      </c>
      <c r="Q21" s="14">
        <v>0.01</v>
      </c>
      <c r="R21" s="15" t="s">
        <v>375</v>
      </c>
      <c r="S21" s="14">
        <v>0.02</v>
      </c>
      <c r="T21" s="14">
        <v>0.01</v>
      </c>
      <c r="U21" s="14">
        <v>0.02</v>
      </c>
      <c r="V21" s="14">
        <v>0.02</v>
      </c>
      <c r="W21" s="14">
        <v>0.03</v>
      </c>
      <c r="X21" s="14">
        <v>0.03</v>
      </c>
      <c r="Y21" s="14">
        <v>0.02</v>
      </c>
      <c r="Z21" s="14">
        <v>0.02</v>
      </c>
      <c r="AA21" s="14">
        <v>0.02</v>
      </c>
      <c r="AB21" s="14">
        <v>0.04</v>
      </c>
      <c r="AC21" s="14">
        <v>0.01</v>
      </c>
      <c r="AD21" s="14">
        <v>0.02</v>
      </c>
      <c r="AE21" s="14">
        <v>0.05</v>
      </c>
      <c r="AF21" s="14">
        <v>0.02</v>
      </c>
    </row>
    <row r="22" spans="1:32">
      <c r="A22" s="19"/>
      <c r="B22" s="11" t="s">
        <v>1118</v>
      </c>
      <c r="C22" s="12">
        <v>23547</v>
      </c>
      <c r="D22" s="12">
        <v>796</v>
      </c>
      <c r="E22" s="12">
        <v>855</v>
      </c>
      <c r="F22" s="12">
        <v>920</v>
      </c>
      <c r="G22" s="12">
        <v>913</v>
      </c>
      <c r="H22" s="12">
        <v>1103</v>
      </c>
      <c r="I22" s="12">
        <v>1380</v>
      </c>
      <c r="J22" s="12">
        <v>277</v>
      </c>
      <c r="K22" s="12">
        <v>812</v>
      </c>
      <c r="L22" s="12">
        <v>902</v>
      </c>
      <c r="M22" s="12">
        <v>971</v>
      </c>
      <c r="N22" s="12">
        <v>950</v>
      </c>
      <c r="O22" s="12">
        <v>880</v>
      </c>
      <c r="P22" s="12">
        <v>887</v>
      </c>
      <c r="Q22" s="12">
        <v>938</v>
      </c>
      <c r="R22" s="12">
        <v>458</v>
      </c>
      <c r="S22" s="12">
        <v>867</v>
      </c>
      <c r="T22" s="12">
        <v>958</v>
      </c>
      <c r="U22" s="12">
        <v>439</v>
      </c>
      <c r="V22" s="12">
        <v>933</v>
      </c>
      <c r="W22" s="12">
        <v>438</v>
      </c>
      <c r="X22" s="12">
        <v>824</v>
      </c>
      <c r="Y22" s="12">
        <v>874</v>
      </c>
      <c r="Z22" s="12">
        <v>902</v>
      </c>
      <c r="AA22" s="12">
        <v>940</v>
      </c>
      <c r="AB22" s="12">
        <v>866</v>
      </c>
      <c r="AC22" s="12">
        <v>934</v>
      </c>
      <c r="AD22" s="12">
        <v>870</v>
      </c>
      <c r="AE22" s="12">
        <v>875</v>
      </c>
      <c r="AF22" s="12">
        <v>898</v>
      </c>
    </row>
    <row r="23" spans="1:32">
      <c r="A23" s="19"/>
      <c r="B23" s="13" t="s">
        <v>825</v>
      </c>
      <c r="C23" s="14">
        <v>0.89</v>
      </c>
      <c r="D23" s="14">
        <v>0.78</v>
      </c>
      <c r="E23" s="14">
        <v>0.82000000000000006</v>
      </c>
      <c r="F23" s="14">
        <v>0.86</v>
      </c>
      <c r="G23" s="14">
        <v>0.9</v>
      </c>
      <c r="H23" s="14">
        <v>0.9</v>
      </c>
      <c r="I23" s="14">
        <v>0.9</v>
      </c>
      <c r="J23" s="14">
        <v>0.93</v>
      </c>
      <c r="K23" s="14">
        <v>0.81</v>
      </c>
      <c r="L23" s="14">
        <v>0.9</v>
      </c>
      <c r="M23" s="14">
        <v>0.97</v>
      </c>
      <c r="N23" s="14">
        <v>0.94000000000000006</v>
      </c>
      <c r="O23" s="14">
        <v>0.88</v>
      </c>
      <c r="P23" s="14">
        <v>0.88</v>
      </c>
      <c r="Q23" s="14">
        <v>0.91</v>
      </c>
      <c r="R23" s="14">
        <v>0.91</v>
      </c>
      <c r="S23" s="14">
        <v>0.87</v>
      </c>
      <c r="T23" s="14">
        <v>0.94000000000000006</v>
      </c>
      <c r="U23" s="14">
        <v>0.87</v>
      </c>
      <c r="V23" s="14">
        <v>0.91</v>
      </c>
      <c r="W23" s="14">
        <v>0.87</v>
      </c>
      <c r="X23" s="14">
        <v>0.82000000000000006</v>
      </c>
      <c r="Y23" s="14">
        <v>0.87</v>
      </c>
      <c r="Z23" s="14">
        <v>0.89</v>
      </c>
      <c r="AA23" s="14">
        <v>0.91</v>
      </c>
      <c r="AB23" s="14">
        <v>0.83000000000000007</v>
      </c>
      <c r="AC23" s="14">
        <v>0.93</v>
      </c>
      <c r="AD23" s="14">
        <v>0.87</v>
      </c>
      <c r="AE23" s="14">
        <v>0.87</v>
      </c>
      <c r="AF23" s="14">
        <v>0.87</v>
      </c>
    </row>
    <row r="24" spans="1:32">
      <c r="A24" s="19"/>
      <c r="B24" s="11" t="s">
        <v>1119</v>
      </c>
      <c r="C24" s="12">
        <v>17</v>
      </c>
      <c r="D24" s="12">
        <v>0</v>
      </c>
      <c r="E24" s="12">
        <v>3</v>
      </c>
      <c r="F24" s="12">
        <v>0</v>
      </c>
      <c r="G24" s="12">
        <v>0</v>
      </c>
      <c r="H24" s="12">
        <v>0</v>
      </c>
      <c r="I24" s="12">
        <v>0</v>
      </c>
      <c r="J24" s="12">
        <v>0</v>
      </c>
      <c r="K24" s="12">
        <v>5</v>
      </c>
      <c r="L24" s="12">
        <v>4</v>
      </c>
      <c r="M24" s="12">
        <v>0</v>
      </c>
      <c r="N24" s="12">
        <v>0</v>
      </c>
      <c r="O24" s="12">
        <v>1</v>
      </c>
      <c r="P24" s="12">
        <v>0</v>
      </c>
      <c r="Q24" s="12">
        <v>1</v>
      </c>
      <c r="R24" s="12">
        <v>0</v>
      </c>
      <c r="S24" s="12">
        <v>2</v>
      </c>
      <c r="T24" s="12">
        <v>4</v>
      </c>
      <c r="U24" s="12">
        <v>0</v>
      </c>
      <c r="V24" s="12">
        <v>3</v>
      </c>
      <c r="W24" s="12">
        <v>0</v>
      </c>
      <c r="X24" s="12">
        <v>1</v>
      </c>
      <c r="Y24" s="12">
        <v>4</v>
      </c>
      <c r="Z24" s="12">
        <v>0</v>
      </c>
      <c r="AA24" s="12">
        <v>0</v>
      </c>
      <c r="AB24" s="12">
        <v>1</v>
      </c>
      <c r="AC24" s="12">
        <v>0</v>
      </c>
      <c r="AD24" s="12">
        <v>0</v>
      </c>
      <c r="AE24" s="12">
        <v>0</v>
      </c>
      <c r="AF24" s="12">
        <v>0</v>
      </c>
    </row>
    <row r="25" spans="1:32">
      <c r="A25" s="19"/>
      <c r="B25" s="13" t="s">
        <v>1095</v>
      </c>
      <c r="C25" s="15" t="s">
        <v>375</v>
      </c>
      <c r="D25" s="15" t="s">
        <v>375</v>
      </c>
      <c r="E25" s="15" t="s">
        <v>375</v>
      </c>
      <c r="F25" s="15" t="s">
        <v>375</v>
      </c>
      <c r="G25" s="15" t="s">
        <v>375</v>
      </c>
      <c r="H25" s="15" t="s">
        <v>375</v>
      </c>
      <c r="I25" s="15" t="s">
        <v>375</v>
      </c>
      <c r="J25" s="15" t="s">
        <v>375</v>
      </c>
      <c r="K25" s="15" t="s">
        <v>375</v>
      </c>
      <c r="L25" s="15" t="s">
        <v>375</v>
      </c>
      <c r="M25" s="15" t="s">
        <v>375</v>
      </c>
      <c r="N25" s="15" t="s">
        <v>375</v>
      </c>
      <c r="O25" s="15" t="s">
        <v>375</v>
      </c>
      <c r="P25" s="15" t="s">
        <v>375</v>
      </c>
      <c r="Q25" s="15" t="s">
        <v>375</v>
      </c>
      <c r="R25" s="15" t="s">
        <v>375</v>
      </c>
      <c r="S25" s="15" t="s">
        <v>375</v>
      </c>
      <c r="T25" s="15" t="s">
        <v>375</v>
      </c>
      <c r="U25" s="15" t="s">
        <v>375</v>
      </c>
      <c r="V25" s="15" t="s">
        <v>375</v>
      </c>
      <c r="W25" s="15" t="s">
        <v>375</v>
      </c>
      <c r="X25" s="15" t="s">
        <v>375</v>
      </c>
      <c r="Y25" s="15" t="s">
        <v>375</v>
      </c>
      <c r="Z25" s="15" t="s">
        <v>375</v>
      </c>
      <c r="AA25" s="15" t="s">
        <v>375</v>
      </c>
      <c r="AB25" s="15" t="s">
        <v>375</v>
      </c>
      <c r="AC25" s="15" t="s">
        <v>375</v>
      </c>
      <c r="AD25" s="15" t="s">
        <v>375</v>
      </c>
      <c r="AE25" s="15" t="s">
        <v>375</v>
      </c>
      <c r="AF25" s="15" t="s">
        <v>375</v>
      </c>
    </row>
    <row r="26" spans="1:32">
      <c r="A26" s="19"/>
      <c r="B26" s="11" t="s">
        <v>386</v>
      </c>
      <c r="C26" s="12">
        <v>82</v>
      </c>
      <c r="D26" s="12">
        <v>1</v>
      </c>
      <c r="E26" s="12">
        <v>10</v>
      </c>
      <c r="F26" s="12">
        <v>16</v>
      </c>
      <c r="G26" s="12">
        <v>0</v>
      </c>
      <c r="H26" s="12">
        <v>2</v>
      </c>
      <c r="I26" s="12">
        <v>2</v>
      </c>
      <c r="J26" s="12">
        <v>0</v>
      </c>
      <c r="K26" s="12">
        <v>19</v>
      </c>
      <c r="L26" s="12">
        <v>2</v>
      </c>
      <c r="M26" s="12">
        <v>2</v>
      </c>
      <c r="N26" s="12">
        <v>1</v>
      </c>
      <c r="O26" s="12">
        <v>8</v>
      </c>
      <c r="P26" s="12">
        <v>6</v>
      </c>
      <c r="Q26" s="12">
        <v>1</v>
      </c>
      <c r="R26" s="12">
        <v>4</v>
      </c>
      <c r="S26" s="12">
        <v>3</v>
      </c>
      <c r="T26" s="12">
        <v>1</v>
      </c>
      <c r="U26" s="12">
        <v>1</v>
      </c>
      <c r="V26" s="12">
        <v>0</v>
      </c>
      <c r="W26" s="12">
        <v>0</v>
      </c>
      <c r="X26" s="12">
        <v>1</v>
      </c>
      <c r="Y26" s="12">
        <v>1</v>
      </c>
      <c r="Z26" s="12">
        <v>4</v>
      </c>
      <c r="AA26" s="12">
        <v>6</v>
      </c>
      <c r="AB26" s="12">
        <v>3</v>
      </c>
      <c r="AC26" s="12">
        <v>4</v>
      </c>
      <c r="AD26" s="12">
        <v>2</v>
      </c>
      <c r="AE26" s="12">
        <v>1</v>
      </c>
      <c r="AF26" s="12">
        <v>0</v>
      </c>
    </row>
    <row r="27" spans="1:32">
      <c r="A27" s="19"/>
      <c r="B27" s="13" t="s">
        <v>399</v>
      </c>
      <c r="C27" s="15" t="s">
        <v>375</v>
      </c>
      <c r="D27" s="15" t="s">
        <v>375</v>
      </c>
      <c r="E27" s="14">
        <v>0.01</v>
      </c>
      <c r="F27" s="14">
        <v>0.02</v>
      </c>
      <c r="G27" s="15" t="s">
        <v>375</v>
      </c>
      <c r="H27" s="15" t="s">
        <v>375</v>
      </c>
      <c r="I27" s="15" t="s">
        <v>375</v>
      </c>
      <c r="J27" s="15" t="s">
        <v>375</v>
      </c>
      <c r="K27" s="14">
        <v>0.02</v>
      </c>
      <c r="L27" s="15" t="s">
        <v>375</v>
      </c>
      <c r="M27" s="15" t="s">
        <v>375</v>
      </c>
      <c r="N27" s="15" t="s">
        <v>375</v>
      </c>
      <c r="O27" s="14">
        <v>0.01</v>
      </c>
      <c r="P27" s="14">
        <v>0.01</v>
      </c>
      <c r="Q27" s="15" t="s">
        <v>375</v>
      </c>
      <c r="R27" s="14">
        <v>0.01</v>
      </c>
      <c r="S27" s="15" t="s">
        <v>375</v>
      </c>
      <c r="T27" s="15" t="s">
        <v>375</v>
      </c>
      <c r="U27" s="15" t="s">
        <v>375</v>
      </c>
      <c r="V27" s="15" t="s">
        <v>375</v>
      </c>
      <c r="W27" s="15" t="s">
        <v>375</v>
      </c>
      <c r="X27" s="15" t="s">
        <v>375</v>
      </c>
      <c r="Y27" s="15" t="s">
        <v>375</v>
      </c>
      <c r="Z27" s="15" t="s">
        <v>375</v>
      </c>
      <c r="AA27" s="15" t="s">
        <v>375</v>
      </c>
      <c r="AB27" s="15" t="s">
        <v>375</v>
      </c>
      <c r="AC27" s="15" t="s">
        <v>375</v>
      </c>
      <c r="AD27" s="15" t="s">
        <v>375</v>
      </c>
      <c r="AE27" s="15" t="s">
        <v>375</v>
      </c>
      <c r="AF27" s="15" t="s">
        <v>375</v>
      </c>
    </row>
    <row r="28" spans="1:32">
      <c r="A28" s="19"/>
      <c r="B28" s="11" t="s">
        <v>1120</v>
      </c>
      <c r="C28" s="12">
        <v>2807</v>
      </c>
      <c r="D28" s="12">
        <v>224</v>
      </c>
      <c r="E28" s="12">
        <v>178</v>
      </c>
      <c r="F28" s="12">
        <v>128</v>
      </c>
      <c r="G28" s="12">
        <v>103</v>
      </c>
      <c r="H28" s="12">
        <v>125</v>
      </c>
      <c r="I28" s="12">
        <v>145</v>
      </c>
      <c r="J28" s="12">
        <v>20</v>
      </c>
      <c r="K28" s="12">
        <v>170</v>
      </c>
      <c r="L28" s="12">
        <v>99</v>
      </c>
      <c r="M28" s="12">
        <v>34</v>
      </c>
      <c r="N28" s="12">
        <v>60</v>
      </c>
      <c r="O28" s="12">
        <v>116</v>
      </c>
      <c r="P28" s="12">
        <v>110</v>
      </c>
      <c r="Q28" s="12">
        <v>91</v>
      </c>
      <c r="R28" s="12">
        <v>39</v>
      </c>
      <c r="S28" s="12">
        <v>132</v>
      </c>
      <c r="T28" s="12">
        <v>60</v>
      </c>
      <c r="U28" s="12">
        <v>68</v>
      </c>
      <c r="V28" s="12">
        <v>90</v>
      </c>
      <c r="W28" s="12">
        <v>64</v>
      </c>
      <c r="X28" s="12">
        <v>183</v>
      </c>
      <c r="Y28" s="12">
        <v>125</v>
      </c>
      <c r="Z28" s="12">
        <v>110</v>
      </c>
      <c r="AA28" s="12">
        <v>90</v>
      </c>
      <c r="AB28" s="12">
        <v>172</v>
      </c>
      <c r="AC28" s="12">
        <v>67</v>
      </c>
      <c r="AD28" s="12">
        <v>131</v>
      </c>
      <c r="AE28" s="12">
        <v>125</v>
      </c>
      <c r="AF28" s="12">
        <v>133</v>
      </c>
    </row>
    <row r="29" spans="1:32">
      <c r="A29" s="19"/>
      <c r="B29" s="13" t="s">
        <v>1121</v>
      </c>
      <c r="C29" s="14">
        <v>0.11</v>
      </c>
      <c r="D29" s="14">
        <v>0.22</v>
      </c>
      <c r="E29" s="14">
        <v>0.17</v>
      </c>
      <c r="F29" s="14">
        <v>0.12</v>
      </c>
      <c r="G29" s="14">
        <v>0.1</v>
      </c>
      <c r="H29" s="14">
        <v>0.1</v>
      </c>
      <c r="I29" s="14">
        <v>0.1</v>
      </c>
      <c r="J29" s="14">
        <v>7.0000000000000007E-2</v>
      </c>
      <c r="K29" s="14">
        <v>0.17</v>
      </c>
      <c r="L29" s="14">
        <v>0.1</v>
      </c>
      <c r="M29" s="14">
        <v>0.03</v>
      </c>
      <c r="N29" s="14">
        <v>0.06</v>
      </c>
      <c r="O29" s="14">
        <v>0.11</v>
      </c>
      <c r="P29" s="14">
        <v>0.11</v>
      </c>
      <c r="Q29" s="14">
        <v>0.09</v>
      </c>
      <c r="R29" s="14">
        <v>0.08</v>
      </c>
      <c r="S29" s="14">
        <v>0.13</v>
      </c>
      <c r="T29" s="14">
        <v>0.06</v>
      </c>
      <c r="U29" s="14">
        <v>0.13</v>
      </c>
      <c r="V29" s="14">
        <v>0.09</v>
      </c>
      <c r="W29" s="14">
        <v>0.13</v>
      </c>
      <c r="X29" s="14">
        <v>0.18</v>
      </c>
      <c r="Y29" s="14">
        <v>0.13</v>
      </c>
      <c r="Z29" s="14">
        <v>0.11</v>
      </c>
      <c r="AA29" s="14">
        <v>0.09</v>
      </c>
      <c r="AB29" s="14">
        <v>0.17</v>
      </c>
      <c r="AC29" s="14">
        <v>7.0000000000000007E-2</v>
      </c>
      <c r="AD29" s="14">
        <v>0.13</v>
      </c>
      <c r="AE29" s="14">
        <v>0.13</v>
      </c>
      <c r="AF29" s="14">
        <v>0.13</v>
      </c>
    </row>
    <row r="30" spans="1:32">
      <c r="A30" s="18"/>
    </row>
    <row r="31" spans="1:32">
      <c r="A31" s="18"/>
    </row>
    <row r="32" spans="1:32">
      <c r="A32" s="18"/>
    </row>
    <row r="33" spans="1:1">
      <c r="A33" s="18"/>
    </row>
    <row r="34" spans="1:1">
      <c r="A34" s="18"/>
    </row>
    <row r="35" spans="1:1">
      <c r="A35" s="18"/>
    </row>
  </sheetData>
  <mergeCells count="10">
    <mergeCell ref="H3:L3"/>
    <mergeCell ref="C8:AF8"/>
    <mergeCell ref="B3:F3"/>
    <mergeCell ref="B5:F5"/>
    <mergeCell ref="A10:A27"/>
    <mergeCell ref="B10:B11"/>
    <mergeCell ref="A28:A35"/>
    <mergeCell ref="H4:L4"/>
    <mergeCell ref="B4:F4"/>
    <mergeCell ref="H5:L5"/>
  </mergeCells>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F4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223</v>
      </c>
      <c r="C3" s="17"/>
      <c r="D3" s="17"/>
      <c r="E3" s="17"/>
      <c r="F3" s="17"/>
      <c r="H3" s="17" t="s">
        <v>224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1122</v>
      </c>
      <c r="C12" s="12">
        <v>12123</v>
      </c>
      <c r="D12" s="12">
        <v>486</v>
      </c>
      <c r="E12" s="12">
        <v>10</v>
      </c>
      <c r="F12" s="12">
        <v>223</v>
      </c>
      <c r="G12" s="12">
        <v>13</v>
      </c>
      <c r="H12" s="12">
        <v>406</v>
      </c>
      <c r="I12" s="12">
        <v>423</v>
      </c>
      <c r="J12" s="12">
        <v>17</v>
      </c>
      <c r="K12" s="12">
        <v>35</v>
      </c>
      <c r="L12" s="12">
        <v>727</v>
      </c>
      <c r="M12" s="12">
        <v>2</v>
      </c>
      <c r="N12" s="12">
        <v>616</v>
      </c>
      <c r="O12" s="12">
        <v>418</v>
      </c>
      <c r="P12" s="12">
        <v>840</v>
      </c>
      <c r="Q12" s="12">
        <v>782</v>
      </c>
      <c r="R12" s="12">
        <v>5</v>
      </c>
      <c r="S12" s="12">
        <v>216</v>
      </c>
      <c r="T12" s="12">
        <v>877</v>
      </c>
      <c r="U12" s="12">
        <v>294</v>
      </c>
      <c r="V12" s="12">
        <v>604</v>
      </c>
      <c r="W12" s="12">
        <v>423</v>
      </c>
      <c r="X12" s="12">
        <v>130</v>
      </c>
      <c r="Y12" s="12">
        <v>627</v>
      </c>
      <c r="Z12" s="12">
        <v>890</v>
      </c>
      <c r="AA12" s="12">
        <v>806</v>
      </c>
      <c r="AB12" s="12">
        <v>66</v>
      </c>
      <c r="AC12" s="12">
        <v>694</v>
      </c>
      <c r="AD12" s="12">
        <v>610</v>
      </c>
      <c r="AE12" s="12">
        <v>11</v>
      </c>
      <c r="AF12" s="12">
        <v>15</v>
      </c>
    </row>
    <row r="13" spans="1:32">
      <c r="A13" s="19"/>
      <c r="B13" s="13" t="s">
        <v>1123</v>
      </c>
      <c r="C13" s="14">
        <v>0.46</v>
      </c>
      <c r="D13" s="14">
        <v>0.48</v>
      </c>
      <c r="E13" s="14">
        <v>0.01</v>
      </c>
      <c r="F13" s="14">
        <v>0.21</v>
      </c>
      <c r="G13" s="14">
        <v>0.01</v>
      </c>
      <c r="H13" s="14">
        <v>0.33</v>
      </c>
      <c r="I13" s="14">
        <v>0.28000000000000003</v>
      </c>
      <c r="J13" s="14">
        <v>0.06</v>
      </c>
      <c r="K13" s="14">
        <v>0.03</v>
      </c>
      <c r="L13" s="14">
        <v>0.72</v>
      </c>
      <c r="M13" s="15" t="s">
        <v>375</v>
      </c>
      <c r="N13" s="14">
        <v>0.61</v>
      </c>
      <c r="O13" s="14">
        <v>0.42</v>
      </c>
      <c r="P13" s="14">
        <v>0.84</v>
      </c>
      <c r="Q13" s="14">
        <v>0.76</v>
      </c>
      <c r="R13" s="14">
        <v>0.01</v>
      </c>
      <c r="S13" s="14">
        <v>0.21</v>
      </c>
      <c r="T13" s="14">
        <v>0.86</v>
      </c>
      <c r="U13" s="14">
        <v>0.57999999999999996</v>
      </c>
      <c r="V13" s="14">
        <v>0.59</v>
      </c>
      <c r="W13" s="14">
        <v>0.84</v>
      </c>
      <c r="X13" s="14">
        <v>0.13</v>
      </c>
      <c r="Y13" s="14">
        <v>0.63</v>
      </c>
      <c r="Z13" s="14">
        <v>0.88</v>
      </c>
      <c r="AA13" s="14">
        <v>0.78</v>
      </c>
      <c r="AB13" s="14">
        <v>0.06</v>
      </c>
      <c r="AC13" s="14">
        <v>0.69000000000000006</v>
      </c>
      <c r="AD13" s="14">
        <v>0.61</v>
      </c>
      <c r="AE13" s="14">
        <v>0.01</v>
      </c>
      <c r="AF13" s="14">
        <v>0.01</v>
      </c>
    </row>
    <row r="14" spans="1:32">
      <c r="A14" s="19"/>
      <c r="B14" s="11" t="s">
        <v>1124</v>
      </c>
      <c r="C14" s="12">
        <v>2530</v>
      </c>
      <c r="D14" s="12">
        <v>16</v>
      </c>
      <c r="E14" s="12">
        <v>861</v>
      </c>
      <c r="F14" s="12">
        <v>1</v>
      </c>
      <c r="G14" s="12">
        <v>18</v>
      </c>
      <c r="H14" s="12">
        <v>27</v>
      </c>
      <c r="I14" s="12">
        <v>34</v>
      </c>
      <c r="J14" s="12">
        <v>6</v>
      </c>
      <c r="K14" s="12">
        <v>192</v>
      </c>
      <c r="L14" s="12">
        <v>18</v>
      </c>
      <c r="M14" s="12">
        <v>951</v>
      </c>
      <c r="N14" s="12">
        <v>58</v>
      </c>
      <c r="O14" s="12">
        <v>11</v>
      </c>
      <c r="P14" s="12">
        <v>49</v>
      </c>
      <c r="Q14" s="12">
        <v>53</v>
      </c>
      <c r="R14" s="12">
        <v>471</v>
      </c>
      <c r="S14" s="12">
        <v>184</v>
      </c>
      <c r="T14" s="12">
        <v>21</v>
      </c>
      <c r="U14" s="12">
        <v>14</v>
      </c>
      <c r="V14" s="12">
        <v>10</v>
      </c>
      <c r="W14" s="12">
        <v>5</v>
      </c>
      <c r="X14" s="12">
        <v>7</v>
      </c>
      <c r="Y14" s="12">
        <v>11</v>
      </c>
      <c r="Z14" s="12">
        <v>10</v>
      </c>
      <c r="AA14" s="12">
        <v>2</v>
      </c>
      <c r="AB14" s="12">
        <v>887</v>
      </c>
      <c r="AC14" s="12">
        <v>27</v>
      </c>
      <c r="AD14" s="12">
        <v>10</v>
      </c>
      <c r="AE14" s="12">
        <v>18</v>
      </c>
      <c r="AF14" s="12">
        <v>5</v>
      </c>
    </row>
    <row r="15" spans="1:32">
      <c r="A15" s="19"/>
      <c r="B15" s="13" t="s">
        <v>1125</v>
      </c>
      <c r="C15" s="14">
        <v>0.1</v>
      </c>
      <c r="D15" s="14">
        <v>0.02</v>
      </c>
      <c r="E15" s="14">
        <v>0.82000000000000006</v>
      </c>
      <c r="F15" s="15" t="s">
        <v>375</v>
      </c>
      <c r="G15" s="14">
        <v>0.02</v>
      </c>
      <c r="H15" s="14">
        <v>0.02</v>
      </c>
      <c r="I15" s="14">
        <v>0.02</v>
      </c>
      <c r="J15" s="14">
        <v>0.02</v>
      </c>
      <c r="K15" s="14">
        <v>0.19</v>
      </c>
      <c r="L15" s="14">
        <v>0.02</v>
      </c>
      <c r="M15" s="14">
        <v>0.95000000000000007</v>
      </c>
      <c r="N15" s="14">
        <v>0.06</v>
      </c>
      <c r="O15" s="14">
        <v>0.01</v>
      </c>
      <c r="P15" s="14">
        <v>0.05</v>
      </c>
      <c r="Q15" s="14">
        <v>0.05</v>
      </c>
      <c r="R15" s="14">
        <v>0.94000000000000006</v>
      </c>
      <c r="S15" s="14">
        <v>0.18</v>
      </c>
      <c r="T15" s="14">
        <v>0.02</v>
      </c>
      <c r="U15" s="14">
        <v>0.03</v>
      </c>
      <c r="V15" s="14">
        <v>0.01</v>
      </c>
      <c r="W15" s="14">
        <v>0.01</v>
      </c>
      <c r="X15" s="14">
        <v>0.01</v>
      </c>
      <c r="Y15" s="14">
        <v>0.01</v>
      </c>
      <c r="Z15" s="14">
        <v>0.01</v>
      </c>
      <c r="AA15" s="15" t="s">
        <v>375</v>
      </c>
      <c r="AB15" s="14">
        <v>0.85</v>
      </c>
      <c r="AC15" s="14">
        <v>0.03</v>
      </c>
      <c r="AD15" s="14">
        <v>0.01</v>
      </c>
      <c r="AE15" s="14">
        <v>0.02</v>
      </c>
      <c r="AF15" s="14">
        <v>0.01</v>
      </c>
    </row>
    <row r="16" spans="1:32">
      <c r="A16" s="19"/>
      <c r="B16" s="11" t="s">
        <v>1126</v>
      </c>
      <c r="C16" s="12">
        <v>1947</v>
      </c>
      <c r="D16" s="12">
        <v>27</v>
      </c>
      <c r="E16" s="12">
        <v>5</v>
      </c>
      <c r="F16" s="12">
        <v>17</v>
      </c>
      <c r="G16" s="12">
        <v>533</v>
      </c>
      <c r="H16" s="12">
        <v>252</v>
      </c>
      <c r="I16" s="12">
        <v>286</v>
      </c>
      <c r="J16" s="12">
        <v>34</v>
      </c>
      <c r="K16" s="12">
        <v>54</v>
      </c>
      <c r="L16" s="12">
        <v>16</v>
      </c>
      <c r="M16" s="12">
        <v>0</v>
      </c>
      <c r="N16" s="12">
        <v>5</v>
      </c>
      <c r="O16" s="12">
        <v>17</v>
      </c>
      <c r="P16" s="12">
        <v>0</v>
      </c>
      <c r="Q16" s="12">
        <v>4</v>
      </c>
      <c r="R16" s="12">
        <v>1</v>
      </c>
      <c r="S16" s="12">
        <v>149</v>
      </c>
      <c r="T16" s="12">
        <v>3</v>
      </c>
      <c r="U16" s="12">
        <v>18</v>
      </c>
      <c r="V16" s="12">
        <v>78</v>
      </c>
      <c r="W16" s="12">
        <v>2</v>
      </c>
      <c r="X16" s="12">
        <v>144</v>
      </c>
      <c r="Y16" s="12">
        <v>48</v>
      </c>
      <c r="Z16" s="12">
        <v>4</v>
      </c>
      <c r="AA16" s="12">
        <v>18</v>
      </c>
      <c r="AB16" s="12">
        <v>40</v>
      </c>
      <c r="AC16" s="12">
        <v>2</v>
      </c>
      <c r="AD16" s="12">
        <v>112</v>
      </c>
      <c r="AE16" s="12">
        <v>571</v>
      </c>
      <c r="AF16" s="12">
        <v>311</v>
      </c>
    </row>
    <row r="17" spans="1:32">
      <c r="A17" s="19"/>
      <c r="B17" s="13" t="s">
        <v>1126</v>
      </c>
      <c r="C17" s="14">
        <v>7.0000000000000007E-2</v>
      </c>
      <c r="D17" s="14">
        <v>0.03</v>
      </c>
      <c r="E17" s="14">
        <v>0.01</v>
      </c>
      <c r="F17" s="14">
        <v>0.02</v>
      </c>
      <c r="G17" s="14">
        <v>0.52</v>
      </c>
      <c r="H17" s="14">
        <v>0.21</v>
      </c>
      <c r="I17" s="14">
        <v>0.19</v>
      </c>
      <c r="J17" s="14">
        <v>0.12</v>
      </c>
      <c r="K17" s="14">
        <v>0.05</v>
      </c>
      <c r="L17" s="14">
        <v>0.02</v>
      </c>
      <c r="M17" s="15" t="s">
        <v>375</v>
      </c>
      <c r="N17" s="14">
        <v>0.01</v>
      </c>
      <c r="O17" s="14">
        <v>0.02</v>
      </c>
      <c r="P17" s="15" t="s">
        <v>375</v>
      </c>
      <c r="Q17" s="14">
        <v>0.01</v>
      </c>
      <c r="R17" s="15" t="s">
        <v>375</v>
      </c>
      <c r="S17" s="14">
        <v>0.15</v>
      </c>
      <c r="T17" s="15" t="s">
        <v>375</v>
      </c>
      <c r="U17" s="14">
        <v>0.04</v>
      </c>
      <c r="V17" s="14">
        <v>0.08</v>
      </c>
      <c r="W17" s="15" t="s">
        <v>375</v>
      </c>
      <c r="X17" s="14">
        <v>0.14000000000000001</v>
      </c>
      <c r="Y17" s="14">
        <v>0.05</v>
      </c>
      <c r="Z17" s="15" t="s">
        <v>375</v>
      </c>
      <c r="AA17" s="14">
        <v>0.02</v>
      </c>
      <c r="AB17" s="14">
        <v>0.04</v>
      </c>
      <c r="AC17" s="15" t="s">
        <v>375</v>
      </c>
      <c r="AD17" s="14">
        <v>0.11</v>
      </c>
      <c r="AE17" s="14">
        <v>0.57000000000000006</v>
      </c>
      <c r="AF17" s="14">
        <v>0.3</v>
      </c>
    </row>
    <row r="18" spans="1:32">
      <c r="A18" s="19"/>
      <c r="B18" s="11" t="s">
        <v>1127</v>
      </c>
      <c r="C18" s="12">
        <v>702</v>
      </c>
      <c r="D18" s="12">
        <v>21</v>
      </c>
      <c r="E18" s="12">
        <v>21</v>
      </c>
      <c r="F18" s="12">
        <v>20</v>
      </c>
      <c r="G18" s="12">
        <v>69</v>
      </c>
      <c r="H18" s="12">
        <v>52</v>
      </c>
      <c r="I18" s="12">
        <v>71</v>
      </c>
      <c r="J18" s="12">
        <v>19</v>
      </c>
      <c r="K18" s="12">
        <v>106</v>
      </c>
      <c r="L18" s="12">
        <v>32</v>
      </c>
      <c r="M18" s="12">
        <v>2</v>
      </c>
      <c r="N18" s="12">
        <v>18</v>
      </c>
      <c r="O18" s="12">
        <v>16</v>
      </c>
      <c r="P18" s="12">
        <v>5</v>
      </c>
      <c r="Q18" s="12">
        <v>12</v>
      </c>
      <c r="R18" s="12">
        <v>2</v>
      </c>
      <c r="S18" s="12">
        <v>62</v>
      </c>
      <c r="T18" s="12">
        <v>4</v>
      </c>
      <c r="U18" s="12">
        <v>10</v>
      </c>
      <c r="V18" s="12">
        <v>73</v>
      </c>
      <c r="W18" s="12">
        <v>6</v>
      </c>
      <c r="X18" s="12">
        <v>49</v>
      </c>
      <c r="Y18" s="12">
        <v>23</v>
      </c>
      <c r="Z18" s="12">
        <v>10</v>
      </c>
      <c r="AA18" s="12">
        <v>11</v>
      </c>
      <c r="AB18" s="12">
        <v>29</v>
      </c>
      <c r="AC18" s="12">
        <v>10</v>
      </c>
      <c r="AD18" s="12">
        <v>21</v>
      </c>
      <c r="AE18" s="12">
        <v>67</v>
      </c>
      <c r="AF18" s="12">
        <v>62</v>
      </c>
    </row>
    <row r="19" spans="1:32">
      <c r="A19" s="19"/>
      <c r="B19" s="13" t="s">
        <v>1128</v>
      </c>
      <c r="C19" s="14">
        <v>0.03</v>
      </c>
      <c r="D19" s="14">
        <v>0.02</v>
      </c>
      <c r="E19" s="14">
        <v>0.02</v>
      </c>
      <c r="F19" s="14">
        <v>0.02</v>
      </c>
      <c r="G19" s="14">
        <v>7.0000000000000007E-2</v>
      </c>
      <c r="H19" s="14">
        <v>0.04</v>
      </c>
      <c r="I19" s="14">
        <v>0.05</v>
      </c>
      <c r="J19" s="14">
        <v>0.06</v>
      </c>
      <c r="K19" s="14">
        <v>0.11</v>
      </c>
      <c r="L19" s="14">
        <v>0.03</v>
      </c>
      <c r="M19" s="15" t="s">
        <v>375</v>
      </c>
      <c r="N19" s="14">
        <v>0.02</v>
      </c>
      <c r="O19" s="14">
        <v>0.02</v>
      </c>
      <c r="P19" s="15" t="s">
        <v>375</v>
      </c>
      <c r="Q19" s="14">
        <v>0.01</v>
      </c>
      <c r="R19" s="14">
        <v>0.01</v>
      </c>
      <c r="S19" s="14">
        <v>0.06</v>
      </c>
      <c r="T19" s="14">
        <v>0.01</v>
      </c>
      <c r="U19" s="14">
        <v>0.02</v>
      </c>
      <c r="V19" s="14">
        <v>7.0000000000000007E-2</v>
      </c>
      <c r="W19" s="14">
        <v>0.01</v>
      </c>
      <c r="X19" s="14">
        <v>0.05</v>
      </c>
      <c r="Y19" s="14">
        <v>0.02</v>
      </c>
      <c r="Z19" s="14">
        <v>0.01</v>
      </c>
      <c r="AA19" s="14">
        <v>0.01</v>
      </c>
      <c r="AB19" s="14">
        <v>0.03</v>
      </c>
      <c r="AC19" s="14">
        <v>0.01</v>
      </c>
      <c r="AD19" s="14">
        <v>0.02</v>
      </c>
      <c r="AE19" s="14">
        <v>7.0000000000000007E-2</v>
      </c>
      <c r="AF19" s="14">
        <v>0.06</v>
      </c>
    </row>
    <row r="20" spans="1:32">
      <c r="A20" s="19"/>
      <c r="B20" s="11" t="s">
        <v>1129</v>
      </c>
      <c r="C20" s="12">
        <v>55</v>
      </c>
      <c r="D20" s="12">
        <v>2</v>
      </c>
      <c r="E20" s="12">
        <v>2</v>
      </c>
      <c r="F20" s="12">
        <v>7</v>
      </c>
      <c r="G20" s="12">
        <v>1</v>
      </c>
      <c r="H20" s="12">
        <v>0</v>
      </c>
      <c r="I20" s="12">
        <v>0</v>
      </c>
      <c r="J20" s="12">
        <v>0</v>
      </c>
      <c r="K20" s="12">
        <v>7</v>
      </c>
      <c r="L20" s="12">
        <v>1</v>
      </c>
      <c r="M20" s="12">
        <v>0</v>
      </c>
      <c r="N20" s="12">
        <v>0</v>
      </c>
      <c r="O20" s="12">
        <v>4</v>
      </c>
      <c r="P20" s="12">
        <v>2</v>
      </c>
      <c r="Q20" s="12">
        <v>4</v>
      </c>
      <c r="R20" s="12">
        <v>0</v>
      </c>
      <c r="S20" s="12">
        <v>1</v>
      </c>
      <c r="T20" s="12">
        <v>0</v>
      </c>
      <c r="U20" s="12">
        <v>1</v>
      </c>
      <c r="V20" s="12">
        <v>5</v>
      </c>
      <c r="W20" s="12">
        <v>2</v>
      </c>
      <c r="X20" s="12">
        <v>10</v>
      </c>
      <c r="Y20" s="12">
        <v>1</v>
      </c>
      <c r="Z20" s="12">
        <v>0</v>
      </c>
      <c r="AA20" s="12">
        <v>0</v>
      </c>
      <c r="AB20" s="12">
        <v>1</v>
      </c>
      <c r="AC20" s="12">
        <v>2</v>
      </c>
      <c r="AD20" s="12">
        <v>2</v>
      </c>
      <c r="AE20" s="12">
        <v>2</v>
      </c>
      <c r="AF20" s="12">
        <v>1</v>
      </c>
    </row>
    <row r="21" spans="1:32">
      <c r="A21" s="19"/>
      <c r="B21" s="13" t="s">
        <v>1093</v>
      </c>
      <c r="C21" s="15" t="s">
        <v>375</v>
      </c>
      <c r="D21" s="15" t="s">
        <v>375</v>
      </c>
      <c r="E21" s="15" t="s">
        <v>375</v>
      </c>
      <c r="F21" s="14">
        <v>0.01</v>
      </c>
      <c r="G21" s="15" t="s">
        <v>375</v>
      </c>
      <c r="H21" s="15" t="s">
        <v>375</v>
      </c>
      <c r="I21" s="15" t="s">
        <v>375</v>
      </c>
      <c r="J21" s="15" t="s">
        <v>375</v>
      </c>
      <c r="K21" s="14">
        <v>0.01</v>
      </c>
      <c r="L21" s="15" t="s">
        <v>375</v>
      </c>
      <c r="M21" s="15" t="s">
        <v>375</v>
      </c>
      <c r="N21" s="15" t="s">
        <v>375</v>
      </c>
      <c r="O21" s="15" t="s">
        <v>375</v>
      </c>
      <c r="P21" s="15" t="s">
        <v>375</v>
      </c>
      <c r="Q21" s="15" t="s">
        <v>375</v>
      </c>
      <c r="R21" s="15" t="s">
        <v>375</v>
      </c>
      <c r="S21" s="15" t="s">
        <v>375</v>
      </c>
      <c r="T21" s="15" t="s">
        <v>375</v>
      </c>
      <c r="U21" s="15" t="s">
        <v>375</v>
      </c>
      <c r="V21" s="14">
        <v>0.01</v>
      </c>
      <c r="W21" s="15" t="s">
        <v>375</v>
      </c>
      <c r="X21" s="14">
        <v>0.01</v>
      </c>
      <c r="Y21" s="15" t="s">
        <v>375</v>
      </c>
      <c r="Z21" s="15" t="s">
        <v>375</v>
      </c>
      <c r="AA21" s="15" t="s">
        <v>375</v>
      </c>
      <c r="AB21" s="15" t="s">
        <v>375</v>
      </c>
      <c r="AC21" s="15" t="s">
        <v>375</v>
      </c>
      <c r="AD21" s="15" t="s">
        <v>375</v>
      </c>
      <c r="AE21" s="15" t="s">
        <v>375</v>
      </c>
      <c r="AF21" s="15" t="s">
        <v>375</v>
      </c>
    </row>
    <row r="22" spans="1:32">
      <c r="A22" s="19"/>
      <c r="B22" s="11" t="s">
        <v>1130</v>
      </c>
      <c r="C22" s="12">
        <v>83</v>
      </c>
      <c r="D22" s="12">
        <v>9</v>
      </c>
      <c r="E22" s="12">
        <v>17</v>
      </c>
      <c r="F22" s="12">
        <v>0</v>
      </c>
      <c r="G22" s="12">
        <v>0</v>
      </c>
      <c r="H22" s="12">
        <v>3</v>
      </c>
      <c r="I22" s="12">
        <v>4</v>
      </c>
      <c r="J22" s="12">
        <v>1</v>
      </c>
      <c r="K22" s="12">
        <v>1</v>
      </c>
      <c r="L22" s="12">
        <v>2</v>
      </c>
      <c r="M22" s="12">
        <v>1</v>
      </c>
      <c r="N22" s="12">
        <v>3</v>
      </c>
      <c r="O22" s="12">
        <v>8</v>
      </c>
      <c r="P22" s="12">
        <v>7</v>
      </c>
      <c r="Q22" s="12">
        <v>2</v>
      </c>
      <c r="R22" s="12">
        <v>0</v>
      </c>
      <c r="S22" s="12">
        <v>0</v>
      </c>
      <c r="T22" s="12">
        <v>2</v>
      </c>
      <c r="U22" s="12">
        <v>0</v>
      </c>
      <c r="V22" s="12">
        <v>1</v>
      </c>
      <c r="W22" s="12">
        <v>2</v>
      </c>
      <c r="X22" s="12">
        <v>4</v>
      </c>
      <c r="Y22" s="12">
        <v>3</v>
      </c>
      <c r="Z22" s="12">
        <v>0</v>
      </c>
      <c r="AA22" s="12">
        <v>0</v>
      </c>
      <c r="AB22" s="12">
        <v>1</v>
      </c>
      <c r="AC22" s="12">
        <v>7</v>
      </c>
      <c r="AD22" s="12">
        <v>0</v>
      </c>
      <c r="AE22" s="12">
        <v>0</v>
      </c>
      <c r="AF22" s="12">
        <v>1</v>
      </c>
    </row>
    <row r="23" spans="1:32">
      <c r="A23" s="19"/>
      <c r="B23" s="13" t="s">
        <v>1131</v>
      </c>
      <c r="C23" s="15" t="s">
        <v>375</v>
      </c>
      <c r="D23" s="14">
        <v>0.01</v>
      </c>
      <c r="E23" s="14">
        <v>0.02</v>
      </c>
      <c r="F23" s="15" t="s">
        <v>375</v>
      </c>
      <c r="G23" s="15" t="s">
        <v>375</v>
      </c>
      <c r="H23" s="15" t="s">
        <v>375</v>
      </c>
      <c r="I23" s="15" t="s">
        <v>375</v>
      </c>
      <c r="J23" s="15" t="s">
        <v>375</v>
      </c>
      <c r="K23" s="15" t="s">
        <v>375</v>
      </c>
      <c r="L23" s="15" t="s">
        <v>375</v>
      </c>
      <c r="M23" s="15" t="s">
        <v>375</v>
      </c>
      <c r="N23" s="15" t="s">
        <v>375</v>
      </c>
      <c r="O23" s="14">
        <v>0.01</v>
      </c>
      <c r="P23" s="14">
        <v>0.01</v>
      </c>
      <c r="Q23" s="15" t="s">
        <v>375</v>
      </c>
      <c r="R23" s="15" t="s">
        <v>375</v>
      </c>
      <c r="S23" s="15" t="s">
        <v>375</v>
      </c>
      <c r="T23" s="15" t="s">
        <v>375</v>
      </c>
      <c r="U23" s="15" t="s">
        <v>375</v>
      </c>
      <c r="V23" s="15" t="s">
        <v>375</v>
      </c>
      <c r="W23" s="14">
        <v>0.01</v>
      </c>
      <c r="X23" s="15" t="s">
        <v>375</v>
      </c>
      <c r="Y23" s="15" t="s">
        <v>375</v>
      </c>
      <c r="Z23" s="15" t="s">
        <v>375</v>
      </c>
      <c r="AA23" s="15" t="s">
        <v>375</v>
      </c>
      <c r="AB23" s="15" t="s">
        <v>375</v>
      </c>
      <c r="AC23" s="14">
        <v>0.01</v>
      </c>
      <c r="AD23" s="15" t="s">
        <v>375</v>
      </c>
      <c r="AE23" s="15" t="s">
        <v>375</v>
      </c>
      <c r="AF23" s="15" t="s">
        <v>375</v>
      </c>
    </row>
    <row r="24" spans="1:32">
      <c r="A24" s="19"/>
      <c r="B24" s="11" t="s">
        <v>1132</v>
      </c>
      <c r="C24" s="12">
        <v>385</v>
      </c>
      <c r="D24" s="12">
        <v>36</v>
      </c>
      <c r="E24" s="12">
        <v>46</v>
      </c>
      <c r="F24" s="12">
        <v>2</v>
      </c>
      <c r="G24" s="12">
        <v>14</v>
      </c>
      <c r="H24" s="12">
        <v>26</v>
      </c>
      <c r="I24" s="12">
        <v>29</v>
      </c>
      <c r="J24" s="12">
        <v>3</v>
      </c>
      <c r="K24" s="12">
        <v>0</v>
      </c>
      <c r="L24" s="12">
        <v>8</v>
      </c>
      <c r="M24" s="12">
        <v>3</v>
      </c>
      <c r="N24" s="12">
        <v>3</v>
      </c>
      <c r="O24" s="12">
        <v>50</v>
      </c>
      <c r="P24" s="12">
        <v>7</v>
      </c>
      <c r="Q24" s="12">
        <v>1</v>
      </c>
      <c r="R24" s="12">
        <v>1</v>
      </c>
      <c r="S24" s="12">
        <v>0</v>
      </c>
      <c r="T24" s="12">
        <v>0</v>
      </c>
      <c r="U24" s="12">
        <v>19</v>
      </c>
      <c r="V24" s="12">
        <v>4</v>
      </c>
      <c r="W24" s="12">
        <v>1</v>
      </c>
      <c r="X24" s="12">
        <v>14</v>
      </c>
      <c r="Y24" s="12">
        <v>10</v>
      </c>
      <c r="Z24" s="12">
        <v>1</v>
      </c>
      <c r="AA24" s="12">
        <v>0</v>
      </c>
      <c r="AB24" s="12">
        <v>1</v>
      </c>
      <c r="AC24" s="12">
        <v>5</v>
      </c>
      <c r="AD24" s="12">
        <v>0</v>
      </c>
      <c r="AE24" s="12">
        <v>1</v>
      </c>
      <c r="AF24" s="12">
        <v>6</v>
      </c>
    </row>
    <row r="25" spans="1:32">
      <c r="A25" s="19"/>
      <c r="B25" s="13" t="s">
        <v>1133</v>
      </c>
      <c r="C25" s="14">
        <v>0.02</v>
      </c>
      <c r="D25" s="14">
        <v>0.04</v>
      </c>
      <c r="E25" s="14">
        <v>0.04</v>
      </c>
      <c r="F25" s="15" t="s">
        <v>375</v>
      </c>
      <c r="G25" s="14">
        <v>0.01</v>
      </c>
      <c r="H25" s="14">
        <v>0.02</v>
      </c>
      <c r="I25" s="14">
        <v>0.02</v>
      </c>
      <c r="J25" s="14">
        <v>0.01</v>
      </c>
      <c r="K25" s="15" t="s">
        <v>375</v>
      </c>
      <c r="L25" s="14">
        <v>0.01</v>
      </c>
      <c r="M25" s="15" t="s">
        <v>375</v>
      </c>
      <c r="N25" s="15" t="s">
        <v>375</v>
      </c>
      <c r="O25" s="14">
        <v>0.05</v>
      </c>
      <c r="P25" s="14">
        <v>0.01</v>
      </c>
      <c r="Q25" s="15" t="s">
        <v>375</v>
      </c>
      <c r="R25" s="15" t="s">
        <v>375</v>
      </c>
      <c r="S25" s="15" t="s">
        <v>375</v>
      </c>
      <c r="T25" s="15" t="s">
        <v>375</v>
      </c>
      <c r="U25" s="14">
        <v>0.04</v>
      </c>
      <c r="V25" s="14">
        <v>0.01</v>
      </c>
      <c r="W25" s="15" t="s">
        <v>375</v>
      </c>
      <c r="X25" s="14">
        <v>0.01</v>
      </c>
      <c r="Y25" s="14">
        <v>0.01</v>
      </c>
      <c r="Z25" s="15" t="s">
        <v>375</v>
      </c>
      <c r="AA25" s="15" t="s">
        <v>375</v>
      </c>
      <c r="AB25" s="15" t="s">
        <v>375</v>
      </c>
      <c r="AC25" s="14">
        <v>0.01</v>
      </c>
      <c r="AD25" s="15" t="s">
        <v>375</v>
      </c>
      <c r="AE25" s="15" t="s">
        <v>375</v>
      </c>
      <c r="AF25" s="14">
        <v>0.01</v>
      </c>
    </row>
    <row r="26" spans="1:32">
      <c r="A26" s="19"/>
      <c r="B26" s="11" t="s">
        <v>1134</v>
      </c>
      <c r="C26" s="12">
        <v>182</v>
      </c>
      <c r="D26" s="12">
        <v>22</v>
      </c>
      <c r="E26" s="12">
        <v>21</v>
      </c>
      <c r="F26" s="12">
        <v>0</v>
      </c>
      <c r="G26" s="12">
        <v>0</v>
      </c>
      <c r="H26" s="12">
        <v>6</v>
      </c>
      <c r="I26" s="12">
        <v>7</v>
      </c>
      <c r="J26" s="12">
        <v>1</v>
      </c>
      <c r="K26" s="12">
        <v>8</v>
      </c>
      <c r="L26" s="12">
        <v>6</v>
      </c>
      <c r="M26" s="12">
        <v>2</v>
      </c>
      <c r="N26" s="12">
        <v>4</v>
      </c>
      <c r="O26" s="12">
        <v>26</v>
      </c>
      <c r="P26" s="12">
        <v>4</v>
      </c>
      <c r="Q26" s="12">
        <v>1</v>
      </c>
      <c r="R26" s="12">
        <v>1</v>
      </c>
      <c r="S26" s="12">
        <v>1</v>
      </c>
      <c r="T26" s="12">
        <v>0</v>
      </c>
      <c r="U26" s="12">
        <v>12</v>
      </c>
      <c r="V26" s="12">
        <v>1</v>
      </c>
      <c r="W26" s="12">
        <v>2</v>
      </c>
      <c r="X26" s="12">
        <v>5</v>
      </c>
      <c r="Y26" s="12">
        <v>1</v>
      </c>
      <c r="Z26" s="12">
        <v>0</v>
      </c>
      <c r="AA26" s="12">
        <v>0</v>
      </c>
      <c r="AB26" s="12">
        <v>1</v>
      </c>
      <c r="AC26" s="12">
        <v>24</v>
      </c>
      <c r="AD26" s="12">
        <v>5</v>
      </c>
      <c r="AE26" s="12">
        <v>1</v>
      </c>
      <c r="AF26" s="12">
        <v>2</v>
      </c>
    </row>
    <row r="27" spans="1:32">
      <c r="A27" s="19"/>
      <c r="B27" s="13" t="s">
        <v>1135</v>
      </c>
      <c r="C27" s="14">
        <v>0.01</v>
      </c>
      <c r="D27" s="14">
        <v>0.02</v>
      </c>
      <c r="E27" s="14">
        <v>0.02</v>
      </c>
      <c r="F27" s="15" t="s">
        <v>375</v>
      </c>
      <c r="G27" s="15" t="s">
        <v>375</v>
      </c>
      <c r="H27" s="14">
        <v>0.01</v>
      </c>
      <c r="I27" s="14">
        <v>0.01</v>
      </c>
      <c r="J27" s="15" t="s">
        <v>375</v>
      </c>
      <c r="K27" s="14">
        <v>0.01</v>
      </c>
      <c r="L27" s="14">
        <v>0.01</v>
      </c>
      <c r="M27" s="15" t="s">
        <v>375</v>
      </c>
      <c r="N27" s="15" t="s">
        <v>375</v>
      </c>
      <c r="O27" s="14">
        <v>0.02</v>
      </c>
      <c r="P27" s="15" t="s">
        <v>375</v>
      </c>
      <c r="Q27" s="15" t="s">
        <v>375</v>
      </c>
      <c r="R27" s="15" t="s">
        <v>375</v>
      </c>
      <c r="S27" s="15" t="s">
        <v>375</v>
      </c>
      <c r="T27" s="15" t="s">
        <v>375</v>
      </c>
      <c r="U27" s="14">
        <v>0.02</v>
      </c>
      <c r="V27" s="15" t="s">
        <v>375</v>
      </c>
      <c r="W27" s="14">
        <v>0.01</v>
      </c>
      <c r="X27" s="14">
        <v>0.01</v>
      </c>
      <c r="Y27" s="15" t="s">
        <v>375</v>
      </c>
      <c r="Z27" s="15" t="s">
        <v>375</v>
      </c>
      <c r="AA27" s="15" t="s">
        <v>375</v>
      </c>
      <c r="AB27" s="15" t="s">
        <v>375</v>
      </c>
      <c r="AC27" s="14">
        <v>0.02</v>
      </c>
      <c r="AD27" s="14">
        <v>0.01</v>
      </c>
      <c r="AE27" s="15" t="s">
        <v>375</v>
      </c>
      <c r="AF27" s="15" t="s">
        <v>375</v>
      </c>
    </row>
    <row r="28" spans="1:32">
      <c r="A28" s="19"/>
      <c r="B28" s="11" t="s">
        <v>1136</v>
      </c>
      <c r="C28" s="12">
        <v>8</v>
      </c>
      <c r="D28" s="12">
        <v>1</v>
      </c>
      <c r="E28" s="12">
        <v>0</v>
      </c>
      <c r="F28" s="12">
        <v>1</v>
      </c>
      <c r="G28" s="12">
        <v>0</v>
      </c>
      <c r="H28" s="12">
        <v>1</v>
      </c>
      <c r="I28" s="12">
        <v>1</v>
      </c>
      <c r="J28" s="12">
        <v>0</v>
      </c>
      <c r="K28" s="12">
        <v>1</v>
      </c>
      <c r="L28" s="12">
        <v>0</v>
      </c>
      <c r="M28" s="12">
        <v>0</v>
      </c>
      <c r="N28" s="12">
        <v>0</v>
      </c>
      <c r="O28" s="12">
        <v>0</v>
      </c>
      <c r="P28" s="12">
        <v>2</v>
      </c>
      <c r="Q28" s="12">
        <v>0</v>
      </c>
      <c r="R28" s="12">
        <v>0</v>
      </c>
      <c r="S28" s="12">
        <v>0</v>
      </c>
      <c r="T28" s="12">
        <v>0</v>
      </c>
      <c r="U28" s="12">
        <v>1</v>
      </c>
      <c r="V28" s="12">
        <v>1</v>
      </c>
      <c r="W28" s="12">
        <v>0</v>
      </c>
      <c r="X28" s="12">
        <v>0</v>
      </c>
      <c r="Y28" s="12">
        <v>0</v>
      </c>
      <c r="Z28" s="12">
        <v>1</v>
      </c>
      <c r="AA28" s="12">
        <v>0</v>
      </c>
      <c r="AB28" s="12">
        <v>0</v>
      </c>
      <c r="AC28" s="12">
        <v>0</v>
      </c>
      <c r="AD28" s="12">
        <v>2</v>
      </c>
      <c r="AE28" s="12">
        <v>0</v>
      </c>
      <c r="AF28" s="12">
        <v>0</v>
      </c>
    </row>
    <row r="29" spans="1:32">
      <c r="A29" s="19"/>
      <c r="B29" s="13" t="s">
        <v>1136</v>
      </c>
      <c r="C29" s="15" t="s">
        <v>375</v>
      </c>
      <c r="D29" s="15" t="s">
        <v>375</v>
      </c>
      <c r="E29" s="15" t="s">
        <v>375</v>
      </c>
      <c r="F29" s="15" t="s">
        <v>375</v>
      </c>
      <c r="G29" s="15" t="s">
        <v>375</v>
      </c>
      <c r="H29" s="15" t="s">
        <v>375</v>
      </c>
      <c r="I29" s="15" t="s">
        <v>375</v>
      </c>
      <c r="J29" s="15" t="s">
        <v>375</v>
      </c>
      <c r="K29" s="15" t="s">
        <v>375</v>
      </c>
      <c r="L29" s="15" t="s">
        <v>375</v>
      </c>
      <c r="M29" s="15" t="s">
        <v>375</v>
      </c>
      <c r="N29" s="15" t="s">
        <v>375</v>
      </c>
      <c r="O29" s="15" t="s">
        <v>375</v>
      </c>
      <c r="P29" s="15" t="s">
        <v>375</v>
      </c>
      <c r="Q29" s="15" t="s">
        <v>375</v>
      </c>
      <c r="R29" s="15" t="s">
        <v>375</v>
      </c>
      <c r="S29" s="15" t="s">
        <v>375</v>
      </c>
      <c r="T29" s="15" t="s">
        <v>375</v>
      </c>
      <c r="U29" s="15" t="s">
        <v>375</v>
      </c>
      <c r="V29" s="15" t="s">
        <v>375</v>
      </c>
      <c r="W29" s="15" t="s">
        <v>375</v>
      </c>
      <c r="X29" s="15" t="s">
        <v>375</v>
      </c>
      <c r="Y29" s="15" t="s">
        <v>375</v>
      </c>
      <c r="Z29" s="15" t="s">
        <v>375</v>
      </c>
      <c r="AA29" s="15" t="s">
        <v>375</v>
      </c>
      <c r="AB29" s="15" t="s">
        <v>375</v>
      </c>
      <c r="AC29" s="15" t="s">
        <v>375</v>
      </c>
      <c r="AD29" s="15" t="s">
        <v>375</v>
      </c>
      <c r="AE29" s="15" t="s">
        <v>375</v>
      </c>
      <c r="AF29" s="15" t="s">
        <v>375</v>
      </c>
    </row>
    <row r="30" spans="1:32">
      <c r="A30" s="19"/>
      <c r="B30" s="11" t="s">
        <v>1137</v>
      </c>
      <c r="C30" s="12">
        <v>104</v>
      </c>
      <c r="D30" s="12">
        <v>4</v>
      </c>
      <c r="E30" s="12">
        <v>0</v>
      </c>
      <c r="F30" s="12">
        <v>7</v>
      </c>
      <c r="G30" s="12">
        <v>9</v>
      </c>
      <c r="H30" s="12">
        <v>6</v>
      </c>
      <c r="I30" s="12">
        <v>6</v>
      </c>
      <c r="J30" s="12">
        <v>0</v>
      </c>
      <c r="K30" s="12">
        <v>8</v>
      </c>
      <c r="L30" s="12">
        <v>6</v>
      </c>
      <c r="M30" s="12">
        <v>0</v>
      </c>
      <c r="N30" s="12">
        <v>1</v>
      </c>
      <c r="O30" s="12">
        <v>7</v>
      </c>
      <c r="P30" s="12">
        <v>0</v>
      </c>
      <c r="Q30" s="12">
        <v>7</v>
      </c>
      <c r="R30" s="12">
        <v>0</v>
      </c>
      <c r="S30" s="12">
        <v>0</v>
      </c>
      <c r="T30" s="12">
        <v>3</v>
      </c>
      <c r="U30" s="12">
        <v>2</v>
      </c>
      <c r="V30" s="12">
        <v>1</v>
      </c>
      <c r="W30" s="12">
        <v>0</v>
      </c>
      <c r="X30" s="12">
        <v>9</v>
      </c>
      <c r="Y30" s="12">
        <v>3</v>
      </c>
      <c r="Z30" s="12">
        <v>2</v>
      </c>
      <c r="AA30" s="12">
        <v>1</v>
      </c>
      <c r="AB30" s="12">
        <v>0</v>
      </c>
      <c r="AC30" s="12">
        <v>0</v>
      </c>
      <c r="AD30" s="12">
        <v>0</v>
      </c>
      <c r="AE30" s="12">
        <v>4</v>
      </c>
      <c r="AF30" s="12">
        <v>2</v>
      </c>
    </row>
    <row r="31" spans="1:32">
      <c r="A31" s="19"/>
      <c r="B31" s="13" t="s">
        <v>1138</v>
      </c>
      <c r="C31" s="15" t="s">
        <v>375</v>
      </c>
      <c r="D31" s="15" t="s">
        <v>375</v>
      </c>
      <c r="E31" s="15" t="s">
        <v>375</v>
      </c>
      <c r="F31" s="14">
        <v>0.01</v>
      </c>
      <c r="G31" s="14">
        <v>0.01</v>
      </c>
      <c r="H31" s="14">
        <v>0.01</v>
      </c>
      <c r="I31" s="15" t="s">
        <v>375</v>
      </c>
      <c r="J31" s="15" t="s">
        <v>375</v>
      </c>
      <c r="K31" s="14">
        <v>0.01</v>
      </c>
      <c r="L31" s="14">
        <v>0.01</v>
      </c>
      <c r="M31" s="15" t="s">
        <v>375</v>
      </c>
      <c r="N31" s="15" t="s">
        <v>375</v>
      </c>
      <c r="O31" s="14">
        <v>0.01</v>
      </c>
      <c r="P31" s="15" t="s">
        <v>375</v>
      </c>
      <c r="Q31" s="14">
        <v>0.01</v>
      </c>
      <c r="R31" s="15" t="s">
        <v>375</v>
      </c>
      <c r="S31" s="15" t="s">
        <v>375</v>
      </c>
      <c r="T31" s="15" t="s">
        <v>375</v>
      </c>
      <c r="U31" s="15" t="s">
        <v>375</v>
      </c>
      <c r="V31" s="15" t="s">
        <v>375</v>
      </c>
      <c r="W31" s="15" t="s">
        <v>375</v>
      </c>
      <c r="X31" s="14">
        <v>0.01</v>
      </c>
      <c r="Y31" s="15" t="s">
        <v>375</v>
      </c>
      <c r="Z31" s="15" t="s">
        <v>375</v>
      </c>
      <c r="AA31" s="15" t="s">
        <v>375</v>
      </c>
      <c r="AB31" s="15" t="s">
        <v>375</v>
      </c>
      <c r="AC31" s="15" t="s">
        <v>375</v>
      </c>
      <c r="AD31" s="15" t="s">
        <v>375</v>
      </c>
      <c r="AE31" s="15" t="s">
        <v>375</v>
      </c>
      <c r="AF31" s="15" t="s">
        <v>375</v>
      </c>
    </row>
    <row r="32" spans="1:32">
      <c r="A32" s="19"/>
      <c r="B32" s="11" t="s">
        <v>1139</v>
      </c>
      <c r="C32" s="12">
        <v>20</v>
      </c>
      <c r="D32" s="12">
        <v>5</v>
      </c>
      <c r="E32" s="12">
        <v>0</v>
      </c>
      <c r="F32" s="12">
        <v>0</v>
      </c>
      <c r="G32" s="12">
        <v>2</v>
      </c>
      <c r="H32" s="12">
        <v>1</v>
      </c>
      <c r="I32" s="12">
        <v>1</v>
      </c>
      <c r="J32" s="12">
        <v>0</v>
      </c>
      <c r="K32" s="12">
        <v>1</v>
      </c>
      <c r="L32" s="12">
        <v>8</v>
      </c>
      <c r="M32" s="12">
        <v>0</v>
      </c>
      <c r="N32" s="12">
        <v>0</v>
      </c>
      <c r="O32" s="12">
        <v>0</v>
      </c>
      <c r="P32" s="12">
        <v>0</v>
      </c>
      <c r="Q32" s="12">
        <v>3</v>
      </c>
      <c r="R32" s="12">
        <v>1</v>
      </c>
      <c r="S32" s="12">
        <v>1</v>
      </c>
      <c r="T32" s="12">
        <v>0</v>
      </c>
      <c r="U32" s="12">
        <v>2</v>
      </c>
      <c r="V32" s="12">
        <v>0</v>
      </c>
      <c r="W32" s="12">
        <v>0</v>
      </c>
      <c r="X32" s="12">
        <v>0</v>
      </c>
      <c r="Y32" s="12">
        <v>0</v>
      </c>
      <c r="Z32" s="12">
        <v>0</v>
      </c>
      <c r="AA32" s="12">
        <v>0</v>
      </c>
      <c r="AB32" s="12">
        <v>0</v>
      </c>
      <c r="AC32" s="12">
        <v>0</v>
      </c>
      <c r="AD32" s="12">
        <v>0</v>
      </c>
      <c r="AE32" s="12">
        <v>0</v>
      </c>
      <c r="AF32" s="12">
        <v>0</v>
      </c>
    </row>
    <row r="33" spans="1:32">
      <c r="A33" s="19"/>
      <c r="B33" s="13" t="s">
        <v>1140</v>
      </c>
      <c r="C33" s="15" t="s">
        <v>375</v>
      </c>
      <c r="D33" s="15" t="s">
        <v>375</v>
      </c>
      <c r="E33" s="15" t="s">
        <v>375</v>
      </c>
      <c r="F33" s="15" t="s">
        <v>375</v>
      </c>
      <c r="G33" s="15" t="s">
        <v>375</v>
      </c>
      <c r="H33" s="15" t="s">
        <v>375</v>
      </c>
      <c r="I33" s="15" t="s">
        <v>375</v>
      </c>
      <c r="J33" s="15" t="s">
        <v>375</v>
      </c>
      <c r="K33" s="15" t="s">
        <v>375</v>
      </c>
      <c r="L33" s="14">
        <v>0.01</v>
      </c>
      <c r="M33" s="15" t="s">
        <v>375</v>
      </c>
      <c r="N33" s="15" t="s">
        <v>375</v>
      </c>
      <c r="O33" s="15" t="s">
        <v>375</v>
      </c>
      <c r="P33" s="15" t="s">
        <v>375</v>
      </c>
      <c r="Q33" s="15" t="s">
        <v>375</v>
      </c>
      <c r="R33" s="15" t="s">
        <v>375</v>
      </c>
      <c r="S33" s="15" t="s">
        <v>375</v>
      </c>
      <c r="T33" s="15" t="s">
        <v>375</v>
      </c>
      <c r="U33" s="15" t="s">
        <v>375</v>
      </c>
      <c r="V33" s="15" t="s">
        <v>375</v>
      </c>
      <c r="W33" s="15" t="s">
        <v>375</v>
      </c>
      <c r="X33" s="15" t="s">
        <v>375</v>
      </c>
      <c r="Y33" s="15" t="s">
        <v>375</v>
      </c>
      <c r="Z33" s="15" t="s">
        <v>375</v>
      </c>
      <c r="AA33" s="15" t="s">
        <v>375</v>
      </c>
      <c r="AB33" s="15" t="s">
        <v>375</v>
      </c>
      <c r="AC33" s="15" t="s">
        <v>375</v>
      </c>
      <c r="AD33" s="15" t="s">
        <v>375</v>
      </c>
      <c r="AE33" s="15" t="s">
        <v>375</v>
      </c>
      <c r="AF33" s="15" t="s">
        <v>375</v>
      </c>
    </row>
    <row r="34" spans="1:32">
      <c r="A34" s="19"/>
      <c r="B34" s="11" t="s">
        <v>1141</v>
      </c>
      <c r="C34" s="12">
        <v>2670</v>
      </c>
      <c r="D34" s="12">
        <v>92</v>
      </c>
      <c r="E34" s="12">
        <v>15</v>
      </c>
      <c r="F34" s="12">
        <v>267</v>
      </c>
      <c r="G34" s="12">
        <v>119</v>
      </c>
      <c r="H34" s="12">
        <v>89</v>
      </c>
      <c r="I34" s="12">
        <v>175</v>
      </c>
      <c r="J34" s="12">
        <v>86</v>
      </c>
      <c r="K34" s="12">
        <v>176</v>
      </c>
      <c r="L34" s="12">
        <v>29</v>
      </c>
      <c r="M34" s="12">
        <v>18</v>
      </c>
      <c r="N34" s="12">
        <v>96</v>
      </c>
      <c r="O34" s="12">
        <v>181</v>
      </c>
      <c r="P34" s="12">
        <v>36</v>
      </c>
      <c r="Q34" s="12">
        <v>87</v>
      </c>
      <c r="R34" s="12">
        <v>7</v>
      </c>
      <c r="S34" s="12">
        <v>66</v>
      </c>
      <c r="T34" s="12">
        <v>9</v>
      </c>
      <c r="U34" s="12">
        <v>39</v>
      </c>
      <c r="V34" s="12">
        <v>33</v>
      </c>
      <c r="W34" s="12">
        <v>12</v>
      </c>
      <c r="X34" s="12">
        <v>168</v>
      </c>
      <c r="Y34" s="12">
        <v>47</v>
      </c>
      <c r="Z34" s="12">
        <v>31</v>
      </c>
      <c r="AA34" s="12">
        <v>20</v>
      </c>
      <c r="AB34" s="12">
        <v>8</v>
      </c>
      <c r="AC34" s="12">
        <v>131</v>
      </c>
      <c r="AD34" s="12">
        <v>100</v>
      </c>
      <c r="AE34" s="12">
        <v>132</v>
      </c>
      <c r="AF34" s="12">
        <v>176</v>
      </c>
    </row>
    <row r="35" spans="1:32">
      <c r="A35" s="19"/>
      <c r="B35" s="13" t="s">
        <v>1142</v>
      </c>
      <c r="C35" s="14">
        <v>0.1</v>
      </c>
      <c r="D35" s="14">
        <v>0.09</v>
      </c>
      <c r="E35" s="14">
        <v>0.01</v>
      </c>
      <c r="F35" s="14">
        <v>0.25</v>
      </c>
      <c r="G35" s="14">
        <v>0.12</v>
      </c>
      <c r="H35" s="14">
        <v>7.0000000000000007E-2</v>
      </c>
      <c r="I35" s="14">
        <v>0.11</v>
      </c>
      <c r="J35" s="14">
        <v>0.28999999999999998</v>
      </c>
      <c r="K35" s="14">
        <v>0.17</v>
      </c>
      <c r="L35" s="14">
        <v>0.03</v>
      </c>
      <c r="M35" s="14">
        <v>0.02</v>
      </c>
      <c r="N35" s="14">
        <v>0.1</v>
      </c>
      <c r="O35" s="14">
        <v>0.18</v>
      </c>
      <c r="P35" s="14">
        <v>0.04</v>
      </c>
      <c r="Q35" s="14">
        <v>0.09</v>
      </c>
      <c r="R35" s="14">
        <v>0.02</v>
      </c>
      <c r="S35" s="14">
        <v>7.0000000000000007E-2</v>
      </c>
      <c r="T35" s="14">
        <v>0.01</v>
      </c>
      <c r="U35" s="14">
        <v>0.08</v>
      </c>
      <c r="V35" s="14">
        <v>0.03</v>
      </c>
      <c r="W35" s="14">
        <v>0.02</v>
      </c>
      <c r="X35" s="14">
        <v>0.17</v>
      </c>
      <c r="Y35" s="14">
        <v>0.05</v>
      </c>
      <c r="Z35" s="14">
        <v>0.03</v>
      </c>
      <c r="AA35" s="14">
        <v>0.02</v>
      </c>
      <c r="AB35" s="14">
        <v>0.01</v>
      </c>
      <c r="AC35" s="14">
        <v>0.13</v>
      </c>
      <c r="AD35" s="14">
        <v>0.1</v>
      </c>
      <c r="AE35" s="14">
        <v>0.13</v>
      </c>
      <c r="AF35" s="14">
        <v>0.17</v>
      </c>
    </row>
    <row r="36" spans="1:32">
      <c r="A36" s="19"/>
      <c r="B36" s="11" t="s">
        <v>1143</v>
      </c>
      <c r="C36" s="12">
        <v>4549</v>
      </c>
      <c r="D36" s="12">
        <v>238</v>
      </c>
      <c r="E36" s="12">
        <v>37</v>
      </c>
      <c r="F36" s="12">
        <v>341</v>
      </c>
      <c r="G36" s="12">
        <v>189</v>
      </c>
      <c r="H36" s="12">
        <v>307</v>
      </c>
      <c r="I36" s="12">
        <v>416</v>
      </c>
      <c r="J36" s="12">
        <v>108</v>
      </c>
      <c r="K36" s="12">
        <v>260</v>
      </c>
      <c r="L36" s="12">
        <v>121</v>
      </c>
      <c r="M36" s="12">
        <v>21</v>
      </c>
      <c r="N36" s="12">
        <v>181</v>
      </c>
      <c r="O36" s="12">
        <v>219</v>
      </c>
      <c r="P36" s="12">
        <v>37</v>
      </c>
      <c r="Q36" s="12">
        <v>54</v>
      </c>
      <c r="R36" s="12">
        <v>3</v>
      </c>
      <c r="S36" s="12">
        <v>222</v>
      </c>
      <c r="T36" s="12">
        <v>79</v>
      </c>
      <c r="U36" s="12">
        <v>70</v>
      </c>
      <c r="V36" s="12">
        <v>188</v>
      </c>
      <c r="W36" s="12">
        <v>37</v>
      </c>
      <c r="X36" s="12">
        <v>375</v>
      </c>
      <c r="Y36" s="12">
        <v>177</v>
      </c>
      <c r="Z36" s="12">
        <v>47</v>
      </c>
      <c r="AA36" s="12">
        <v>138</v>
      </c>
      <c r="AB36" s="12">
        <v>1</v>
      </c>
      <c r="AC36" s="12">
        <v>59</v>
      </c>
      <c r="AD36" s="12">
        <v>119</v>
      </c>
      <c r="AE36" s="12">
        <v>137</v>
      </c>
      <c r="AF36" s="12">
        <v>360</v>
      </c>
    </row>
    <row r="37" spans="1:32">
      <c r="A37" s="19"/>
      <c r="B37" s="13" t="s">
        <v>1144</v>
      </c>
      <c r="C37" s="14">
        <v>0.17</v>
      </c>
      <c r="D37" s="14">
        <v>0.23</v>
      </c>
      <c r="E37" s="14">
        <v>0.04</v>
      </c>
      <c r="F37" s="14">
        <v>0.32</v>
      </c>
      <c r="G37" s="14">
        <v>0.19</v>
      </c>
      <c r="H37" s="14">
        <v>0.25</v>
      </c>
      <c r="I37" s="14">
        <v>0.27</v>
      </c>
      <c r="J37" s="14">
        <v>0.37</v>
      </c>
      <c r="K37" s="14">
        <v>0.26</v>
      </c>
      <c r="L37" s="14">
        <v>0.12</v>
      </c>
      <c r="M37" s="14">
        <v>0.02</v>
      </c>
      <c r="N37" s="14">
        <v>0.18</v>
      </c>
      <c r="O37" s="14">
        <v>0.22</v>
      </c>
      <c r="P37" s="14">
        <v>0.04</v>
      </c>
      <c r="Q37" s="14">
        <v>0.05</v>
      </c>
      <c r="R37" s="14">
        <v>0.01</v>
      </c>
      <c r="S37" s="14">
        <v>0.22</v>
      </c>
      <c r="T37" s="14">
        <v>0.08</v>
      </c>
      <c r="U37" s="14">
        <v>0.14000000000000001</v>
      </c>
      <c r="V37" s="14">
        <v>0.18</v>
      </c>
      <c r="W37" s="14">
        <v>0.08</v>
      </c>
      <c r="X37" s="14">
        <v>0.37</v>
      </c>
      <c r="Y37" s="14">
        <v>0.18</v>
      </c>
      <c r="Z37" s="14">
        <v>0.05</v>
      </c>
      <c r="AA37" s="14">
        <v>0.13</v>
      </c>
      <c r="AB37" s="15" t="s">
        <v>375</v>
      </c>
      <c r="AC37" s="14">
        <v>0.06</v>
      </c>
      <c r="AD37" s="14">
        <v>0.12</v>
      </c>
      <c r="AE37" s="14">
        <v>0.14000000000000001</v>
      </c>
      <c r="AF37" s="14">
        <v>0.35</v>
      </c>
    </row>
    <row r="38" spans="1:32">
      <c r="A38" s="19"/>
      <c r="B38" s="11" t="s">
        <v>896</v>
      </c>
      <c r="C38" s="12">
        <v>943</v>
      </c>
      <c r="D38" s="12">
        <v>58</v>
      </c>
      <c r="E38" s="12">
        <v>8</v>
      </c>
      <c r="F38" s="12">
        <v>143</v>
      </c>
      <c r="G38" s="12">
        <v>47</v>
      </c>
      <c r="H38" s="12">
        <v>51</v>
      </c>
      <c r="I38" s="12">
        <v>71</v>
      </c>
      <c r="J38" s="12">
        <v>20</v>
      </c>
      <c r="K38" s="12">
        <v>124</v>
      </c>
      <c r="L38" s="12">
        <v>25</v>
      </c>
      <c r="M38" s="12">
        <v>4</v>
      </c>
      <c r="N38" s="12">
        <v>25</v>
      </c>
      <c r="O38" s="12">
        <v>33</v>
      </c>
      <c r="P38" s="12">
        <v>9</v>
      </c>
      <c r="Q38" s="12">
        <v>19</v>
      </c>
      <c r="R38" s="12">
        <v>6</v>
      </c>
      <c r="S38" s="12">
        <v>86</v>
      </c>
      <c r="T38" s="12">
        <v>24</v>
      </c>
      <c r="U38" s="12">
        <v>24</v>
      </c>
      <c r="V38" s="12">
        <v>14</v>
      </c>
      <c r="W38" s="12">
        <v>11</v>
      </c>
      <c r="X38" s="12">
        <v>90</v>
      </c>
      <c r="Y38" s="12">
        <v>38</v>
      </c>
      <c r="Z38" s="12">
        <v>20</v>
      </c>
      <c r="AA38" s="12">
        <v>38</v>
      </c>
      <c r="AB38" s="12">
        <v>6</v>
      </c>
      <c r="AC38" s="12">
        <v>39</v>
      </c>
      <c r="AD38" s="12">
        <v>11</v>
      </c>
      <c r="AE38" s="12">
        <v>50</v>
      </c>
      <c r="AF38" s="12">
        <v>81</v>
      </c>
    </row>
    <row r="39" spans="1:32">
      <c r="A39" s="19"/>
      <c r="B39" s="13" t="s">
        <v>897</v>
      </c>
      <c r="C39" s="14">
        <v>0.04</v>
      </c>
      <c r="D39" s="14">
        <v>0.06</v>
      </c>
      <c r="E39" s="14">
        <v>0.01</v>
      </c>
      <c r="F39" s="14">
        <v>0.13</v>
      </c>
      <c r="G39" s="14">
        <v>0.05</v>
      </c>
      <c r="H39" s="14">
        <v>0.04</v>
      </c>
      <c r="I39" s="14">
        <v>0.05</v>
      </c>
      <c r="J39" s="14">
        <v>7.0000000000000007E-2</v>
      </c>
      <c r="K39" s="14">
        <v>0.12</v>
      </c>
      <c r="L39" s="14">
        <v>0.02</v>
      </c>
      <c r="M39" s="14">
        <v>0.01</v>
      </c>
      <c r="N39" s="14">
        <v>0.02</v>
      </c>
      <c r="O39" s="14">
        <v>0.03</v>
      </c>
      <c r="P39" s="14">
        <v>0.01</v>
      </c>
      <c r="Q39" s="14">
        <v>0.02</v>
      </c>
      <c r="R39" s="14">
        <v>0.01</v>
      </c>
      <c r="S39" s="14">
        <v>0.09</v>
      </c>
      <c r="T39" s="14">
        <v>0.02</v>
      </c>
      <c r="U39" s="14">
        <v>0.05</v>
      </c>
      <c r="V39" s="14">
        <v>0.01</v>
      </c>
      <c r="W39" s="14">
        <v>0.02</v>
      </c>
      <c r="X39" s="14">
        <v>0.09</v>
      </c>
      <c r="Y39" s="14">
        <v>0.04</v>
      </c>
      <c r="Z39" s="14">
        <v>0.02</v>
      </c>
      <c r="AA39" s="14">
        <v>0.04</v>
      </c>
      <c r="AB39" s="14">
        <v>0.01</v>
      </c>
      <c r="AC39" s="14">
        <v>0.04</v>
      </c>
      <c r="AD39" s="14">
        <v>0.01</v>
      </c>
      <c r="AE39" s="14">
        <v>0.05</v>
      </c>
      <c r="AF39" s="14">
        <v>0.08</v>
      </c>
    </row>
    <row r="40" spans="1:32">
      <c r="A40" s="19"/>
      <c r="B40" s="11" t="s">
        <v>1094</v>
      </c>
      <c r="C40" s="12">
        <v>99</v>
      </c>
      <c r="D40" s="12">
        <v>3</v>
      </c>
      <c r="E40" s="12">
        <v>1</v>
      </c>
      <c r="F40" s="12">
        <v>9</v>
      </c>
      <c r="G40" s="12">
        <v>1</v>
      </c>
      <c r="H40" s="12">
        <v>0</v>
      </c>
      <c r="I40" s="12">
        <v>0</v>
      </c>
      <c r="J40" s="12">
        <v>0</v>
      </c>
      <c r="K40" s="12">
        <v>16</v>
      </c>
      <c r="L40" s="12">
        <v>6</v>
      </c>
      <c r="M40" s="12">
        <v>2</v>
      </c>
      <c r="N40" s="12">
        <v>1</v>
      </c>
      <c r="O40" s="12">
        <v>13</v>
      </c>
      <c r="P40" s="12">
        <v>4</v>
      </c>
      <c r="Q40" s="12">
        <v>2</v>
      </c>
      <c r="R40" s="12">
        <v>0</v>
      </c>
      <c r="S40" s="12">
        <v>7</v>
      </c>
      <c r="T40" s="12">
        <v>0</v>
      </c>
      <c r="U40" s="12">
        <v>0</v>
      </c>
      <c r="V40" s="12">
        <v>13</v>
      </c>
      <c r="W40" s="12">
        <v>0</v>
      </c>
      <c r="X40" s="12">
        <v>1</v>
      </c>
      <c r="Y40" s="12">
        <v>13</v>
      </c>
      <c r="Z40" s="12">
        <v>1</v>
      </c>
      <c r="AA40" s="12">
        <v>1</v>
      </c>
      <c r="AB40" s="12">
        <v>0</v>
      </c>
      <c r="AC40" s="12">
        <v>5</v>
      </c>
      <c r="AD40" s="12">
        <v>9</v>
      </c>
      <c r="AE40" s="12">
        <v>2</v>
      </c>
      <c r="AF40" s="12">
        <v>2</v>
      </c>
    </row>
    <row r="41" spans="1:32">
      <c r="A41" s="19"/>
      <c r="B41" s="13" t="s">
        <v>1095</v>
      </c>
      <c r="C41" s="15" t="s">
        <v>375</v>
      </c>
      <c r="D41" s="15" t="s">
        <v>375</v>
      </c>
      <c r="E41" s="15" t="s">
        <v>375</v>
      </c>
      <c r="F41" s="14">
        <v>0.01</v>
      </c>
      <c r="G41" s="15" t="s">
        <v>375</v>
      </c>
      <c r="H41" s="15" t="s">
        <v>375</v>
      </c>
      <c r="I41" s="15" t="s">
        <v>375</v>
      </c>
      <c r="J41" s="15" t="s">
        <v>375</v>
      </c>
      <c r="K41" s="14">
        <v>0.02</v>
      </c>
      <c r="L41" s="15" t="s">
        <v>375</v>
      </c>
      <c r="M41" s="15" t="s">
        <v>375</v>
      </c>
      <c r="N41" s="15" t="s">
        <v>375</v>
      </c>
      <c r="O41" s="14">
        <v>0.01</v>
      </c>
      <c r="P41" s="15" t="s">
        <v>375</v>
      </c>
      <c r="Q41" s="15" t="s">
        <v>375</v>
      </c>
      <c r="R41" s="15" t="s">
        <v>375</v>
      </c>
      <c r="S41" s="14">
        <v>0.01</v>
      </c>
      <c r="T41" s="15" t="s">
        <v>375</v>
      </c>
      <c r="U41" s="15" t="s">
        <v>375</v>
      </c>
      <c r="V41" s="14">
        <v>0.01</v>
      </c>
      <c r="W41" s="15" t="s">
        <v>375</v>
      </c>
      <c r="X41" s="15" t="s">
        <v>375</v>
      </c>
      <c r="Y41" s="14">
        <v>0.01</v>
      </c>
      <c r="Z41" s="15" t="s">
        <v>375</v>
      </c>
      <c r="AA41" s="15" t="s">
        <v>375</v>
      </c>
      <c r="AB41" s="15" t="s">
        <v>375</v>
      </c>
      <c r="AC41" s="15" t="s">
        <v>375</v>
      </c>
      <c r="AD41" s="14">
        <v>0.01</v>
      </c>
      <c r="AE41" s="15" t="s">
        <v>375</v>
      </c>
      <c r="AF41" s="15" t="s">
        <v>375</v>
      </c>
    </row>
    <row r="42" spans="1:32">
      <c r="A42" s="19"/>
      <c r="B42" s="11" t="s">
        <v>386</v>
      </c>
      <c r="C42" s="12">
        <v>53</v>
      </c>
      <c r="D42" s="12">
        <v>1</v>
      </c>
      <c r="E42" s="12">
        <v>2</v>
      </c>
      <c r="F42" s="12">
        <v>27</v>
      </c>
      <c r="G42" s="12">
        <v>2</v>
      </c>
      <c r="H42" s="12">
        <v>2</v>
      </c>
      <c r="I42" s="12">
        <v>3</v>
      </c>
      <c r="J42" s="12">
        <v>1</v>
      </c>
      <c r="K42" s="12">
        <v>19</v>
      </c>
      <c r="L42" s="12">
        <v>1</v>
      </c>
      <c r="M42" s="12">
        <v>1</v>
      </c>
      <c r="N42" s="12">
        <v>0</v>
      </c>
      <c r="O42" s="12">
        <v>2</v>
      </c>
      <c r="P42" s="12">
        <v>2</v>
      </c>
      <c r="Q42" s="12">
        <v>0</v>
      </c>
      <c r="R42" s="12">
        <v>2</v>
      </c>
      <c r="S42" s="12">
        <v>10</v>
      </c>
      <c r="T42" s="12">
        <v>2</v>
      </c>
      <c r="U42" s="12">
        <v>0</v>
      </c>
      <c r="V42" s="12">
        <v>0</v>
      </c>
      <c r="W42" s="12">
        <v>0</v>
      </c>
      <c r="X42" s="12">
        <v>4</v>
      </c>
      <c r="Y42" s="12">
        <v>1</v>
      </c>
      <c r="Z42" s="12">
        <v>1</v>
      </c>
      <c r="AA42" s="12">
        <v>1</v>
      </c>
      <c r="AB42" s="12">
        <v>0</v>
      </c>
      <c r="AC42" s="12">
        <v>1</v>
      </c>
      <c r="AD42" s="12">
        <v>2</v>
      </c>
      <c r="AE42" s="12">
        <v>6</v>
      </c>
      <c r="AF42" s="12">
        <v>8</v>
      </c>
    </row>
    <row r="43" spans="1:32">
      <c r="A43" s="19"/>
      <c r="B43" s="13" t="s">
        <v>399</v>
      </c>
      <c r="C43" s="15" t="s">
        <v>375</v>
      </c>
      <c r="D43" s="15" t="s">
        <v>375</v>
      </c>
      <c r="E43" s="15" t="s">
        <v>375</v>
      </c>
      <c r="F43" s="14">
        <v>0.02</v>
      </c>
      <c r="G43" s="15" t="s">
        <v>375</v>
      </c>
      <c r="H43" s="15" t="s">
        <v>375</v>
      </c>
      <c r="I43" s="15" t="s">
        <v>375</v>
      </c>
      <c r="J43" s="15" t="s">
        <v>375</v>
      </c>
      <c r="K43" s="14">
        <v>0.02</v>
      </c>
      <c r="L43" s="15" t="s">
        <v>375</v>
      </c>
      <c r="M43" s="15" t="s">
        <v>375</v>
      </c>
      <c r="N43" s="15" t="s">
        <v>375</v>
      </c>
      <c r="O43" s="15" t="s">
        <v>375</v>
      </c>
      <c r="P43" s="15" t="s">
        <v>375</v>
      </c>
      <c r="Q43" s="15" t="s">
        <v>375</v>
      </c>
      <c r="R43" s="15" t="s">
        <v>375</v>
      </c>
      <c r="S43" s="14">
        <v>0.01</v>
      </c>
      <c r="T43" s="15" t="s">
        <v>375</v>
      </c>
      <c r="U43" s="15" t="s">
        <v>375</v>
      </c>
      <c r="V43" s="15" t="s">
        <v>375</v>
      </c>
      <c r="W43" s="15" t="s">
        <v>375</v>
      </c>
      <c r="X43" s="15" t="s">
        <v>375</v>
      </c>
      <c r="Y43" s="15" t="s">
        <v>375</v>
      </c>
      <c r="Z43" s="15" t="s">
        <v>375</v>
      </c>
      <c r="AA43" s="15" t="s">
        <v>375</v>
      </c>
      <c r="AB43" s="15" t="s">
        <v>375</v>
      </c>
      <c r="AC43" s="15" t="s">
        <v>375</v>
      </c>
      <c r="AD43" s="15" t="s">
        <v>375</v>
      </c>
      <c r="AE43" s="14">
        <v>0.01</v>
      </c>
      <c r="AF43" s="14">
        <v>0.01</v>
      </c>
    </row>
  </sheetData>
  <mergeCells count="9">
    <mergeCell ref="H3:L3"/>
    <mergeCell ref="C8:AF8"/>
    <mergeCell ref="B3:F3"/>
    <mergeCell ref="B5:F5"/>
    <mergeCell ref="A10:A43"/>
    <mergeCell ref="H5:L5"/>
    <mergeCell ref="B10:B11"/>
    <mergeCell ref="H4:L4"/>
    <mergeCell ref="B4:F4"/>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3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225</v>
      </c>
      <c r="C3" s="17"/>
      <c r="D3" s="17"/>
      <c r="E3" s="17"/>
      <c r="F3" s="17"/>
      <c r="H3" s="17" t="s">
        <v>226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1145</v>
      </c>
      <c r="C12" s="12">
        <v>17303</v>
      </c>
      <c r="D12" s="12">
        <v>550</v>
      </c>
      <c r="E12" s="12">
        <v>898</v>
      </c>
      <c r="F12" s="12">
        <v>261</v>
      </c>
      <c r="G12" s="12">
        <v>633</v>
      </c>
      <c r="H12" s="12">
        <v>738</v>
      </c>
      <c r="I12" s="12">
        <v>814</v>
      </c>
      <c r="J12" s="12">
        <v>76</v>
      </c>
      <c r="K12" s="12">
        <v>386</v>
      </c>
      <c r="L12" s="12">
        <v>793</v>
      </c>
      <c r="M12" s="12">
        <v>955</v>
      </c>
      <c r="N12" s="12">
        <v>698</v>
      </c>
      <c r="O12" s="12">
        <v>461</v>
      </c>
      <c r="P12" s="12">
        <v>893</v>
      </c>
      <c r="Q12" s="12">
        <v>852</v>
      </c>
      <c r="R12" s="12">
        <v>480</v>
      </c>
      <c r="S12" s="12">
        <v>610</v>
      </c>
      <c r="T12" s="12">
        <v>906</v>
      </c>
      <c r="U12" s="12">
        <v>337</v>
      </c>
      <c r="V12" s="12">
        <v>765</v>
      </c>
      <c r="W12" s="12">
        <v>436</v>
      </c>
      <c r="X12" s="12">
        <v>329</v>
      </c>
      <c r="Y12" s="12">
        <v>709</v>
      </c>
      <c r="Z12" s="12">
        <v>913</v>
      </c>
      <c r="AA12" s="12">
        <v>838</v>
      </c>
      <c r="AB12" s="12">
        <v>1022</v>
      </c>
      <c r="AC12" s="12">
        <v>733</v>
      </c>
      <c r="AD12" s="12">
        <v>753</v>
      </c>
      <c r="AE12" s="12">
        <v>666</v>
      </c>
      <c r="AF12" s="12">
        <v>393</v>
      </c>
    </row>
    <row r="13" spans="1:32">
      <c r="A13" s="19"/>
      <c r="B13" s="13" t="s">
        <v>1146</v>
      </c>
      <c r="C13" s="14">
        <v>0.66</v>
      </c>
      <c r="D13" s="14">
        <v>0.54</v>
      </c>
      <c r="E13" s="14">
        <v>0.86</v>
      </c>
      <c r="F13" s="14">
        <v>0.24</v>
      </c>
      <c r="G13" s="14">
        <v>0.62</v>
      </c>
      <c r="H13" s="14">
        <v>0.6</v>
      </c>
      <c r="I13" s="14">
        <v>0.53</v>
      </c>
      <c r="J13" s="14">
        <v>0.26</v>
      </c>
      <c r="K13" s="14">
        <v>0.38</v>
      </c>
      <c r="L13" s="14">
        <v>0.79</v>
      </c>
      <c r="M13" s="14">
        <v>0.95000000000000007</v>
      </c>
      <c r="N13" s="14">
        <v>0.69000000000000006</v>
      </c>
      <c r="O13" s="14">
        <v>0.46</v>
      </c>
      <c r="P13" s="14">
        <v>0.89</v>
      </c>
      <c r="Q13" s="14">
        <v>0.83000000000000007</v>
      </c>
      <c r="R13" s="14">
        <v>0.96</v>
      </c>
      <c r="S13" s="14">
        <v>0.61</v>
      </c>
      <c r="T13" s="14">
        <v>0.89</v>
      </c>
      <c r="U13" s="14">
        <v>0.66</v>
      </c>
      <c r="V13" s="14">
        <v>0.75</v>
      </c>
      <c r="W13" s="14">
        <v>0.87</v>
      </c>
      <c r="X13" s="14">
        <v>0.33</v>
      </c>
      <c r="Y13" s="14">
        <v>0.71</v>
      </c>
      <c r="Z13" s="14">
        <v>0.9</v>
      </c>
      <c r="AA13" s="14">
        <v>0.81</v>
      </c>
      <c r="AB13" s="14">
        <v>0.98</v>
      </c>
      <c r="AC13" s="14">
        <v>0.73</v>
      </c>
      <c r="AD13" s="14">
        <v>0.75</v>
      </c>
      <c r="AE13" s="14">
        <v>0.67</v>
      </c>
      <c r="AF13" s="14">
        <v>0.38</v>
      </c>
    </row>
    <row r="14" spans="1:32">
      <c r="A14" s="19"/>
      <c r="B14" s="11" t="s">
        <v>1147</v>
      </c>
      <c r="C14" s="12">
        <v>55</v>
      </c>
      <c r="D14" s="12">
        <v>2</v>
      </c>
      <c r="E14" s="12">
        <v>2</v>
      </c>
      <c r="F14" s="12">
        <v>7</v>
      </c>
      <c r="G14" s="12">
        <v>1</v>
      </c>
      <c r="H14" s="12">
        <v>0</v>
      </c>
      <c r="I14" s="12">
        <v>0</v>
      </c>
      <c r="J14" s="12">
        <v>0</v>
      </c>
      <c r="K14" s="12">
        <v>7</v>
      </c>
      <c r="L14" s="12">
        <v>1</v>
      </c>
      <c r="M14" s="12">
        <v>0</v>
      </c>
      <c r="N14" s="12">
        <v>0</v>
      </c>
      <c r="O14" s="12">
        <v>4</v>
      </c>
      <c r="P14" s="12">
        <v>2</v>
      </c>
      <c r="Q14" s="12">
        <v>4</v>
      </c>
      <c r="R14" s="12">
        <v>0</v>
      </c>
      <c r="S14" s="12">
        <v>1</v>
      </c>
      <c r="T14" s="12">
        <v>0</v>
      </c>
      <c r="U14" s="12">
        <v>1</v>
      </c>
      <c r="V14" s="12">
        <v>5</v>
      </c>
      <c r="W14" s="12">
        <v>2</v>
      </c>
      <c r="X14" s="12">
        <v>10</v>
      </c>
      <c r="Y14" s="12">
        <v>1</v>
      </c>
      <c r="Z14" s="12">
        <v>0</v>
      </c>
      <c r="AA14" s="12">
        <v>0</v>
      </c>
      <c r="AB14" s="12">
        <v>1</v>
      </c>
      <c r="AC14" s="12">
        <v>2</v>
      </c>
      <c r="AD14" s="12">
        <v>2</v>
      </c>
      <c r="AE14" s="12">
        <v>2</v>
      </c>
      <c r="AF14" s="12">
        <v>1</v>
      </c>
    </row>
    <row r="15" spans="1:32">
      <c r="A15" s="19"/>
      <c r="B15" s="13" t="s">
        <v>1093</v>
      </c>
      <c r="C15" s="15" t="s">
        <v>375</v>
      </c>
      <c r="D15" s="15" t="s">
        <v>375</v>
      </c>
      <c r="E15" s="15" t="s">
        <v>375</v>
      </c>
      <c r="F15" s="14">
        <v>0.01</v>
      </c>
      <c r="G15" s="15" t="s">
        <v>375</v>
      </c>
      <c r="H15" s="15" t="s">
        <v>375</v>
      </c>
      <c r="I15" s="15" t="s">
        <v>375</v>
      </c>
      <c r="J15" s="15" t="s">
        <v>375</v>
      </c>
      <c r="K15" s="14">
        <v>0.01</v>
      </c>
      <c r="L15" s="15" t="s">
        <v>375</v>
      </c>
      <c r="M15" s="15" t="s">
        <v>375</v>
      </c>
      <c r="N15" s="15" t="s">
        <v>375</v>
      </c>
      <c r="O15" s="14">
        <v>0.01</v>
      </c>
      <c r="P15" s="15" t="s">
        <v>375</v>
      </c>
      <c r="Q15" s="15" t="s">
        <v>375</v>
      </c>
      <c r="R15" s="15" t="s">
        <v>375</v>
      </c>
      <c r="S15" s="15" t="s">
        <v>375</v>
      </c>
      <c r="T15" s="15" t="s">
        <v>375</v>
      </c>
      <c r="U15" s="15" t="s">
        <v>375</v>
      </c>
      <c r="V15" s="14">
        <v>0.01</v>
      </c>
      <c r="W15" s="15" t="s">
        <v>375</v>
      </c>
      <c r="X15" s="14">
        <v>0.01</v>
      </c>
      <c r="Y15" s="15" t="s">
        <v>375</v>
      </c>
      <c r="Z15" s="15" t="s">
        <v>375</v>
      </c>
      <c r="AA15" s="15" t="s">
        <v>375</v>
      </c>
      <c r="AB15" s="15" t="s">
        <v>375</v>
      </c>
      <c r="AC15" s="15" t="s">
        <v>375</v>
      </c>
      <c r="AD15" s="15" t="s">
        <v>375</v>
      </c>
      <c r="AE15" s="15" t="s">
        <v>375</v>
      </c>
      <c r="AF15" s="15" t="s">
        <v>375</v>
      </c>
    </row>
    <row r="16" spans="1:32">
      <c r="A16" s="19"/>
      <c r="B16" s="11" t="s">
        <v>1148</v>
      </c>
      <c r="C16" s="12">
        <v>650</v>
      </c>
      <c r="D16" s="12">
        <v>67</v>
      </c>
      <c r="E16" s="12">
        <v>84</v>
      </c>
      <c r="F16" s="12">
        <v>2</v>
      </c>
      <c r="G16" s="12">
        <v>14</v>
      </c>
      <c r="H16" s="12">
        <v>35</v>
      </c>
      <c r="I16" s="12">
        <v>41</v>
      </c>
      <c r="J16" s="12">
        <v>5</v>
      </c>
      <c r="K16" s="12">
        <v>9</v>
      </c>
      <c r="L16" s="12">
        <v>16</v>
      </c>
      <c r="M16" s="12">
        <v>6</v>
      </c>
      <c r="N16" s="12">
        <v>10</v>
      </c>
      <c r="O16" s="12">
        <v>84</v>
      </c>
      <c r="P16" s="12">
        <v>18</v>
      </c>
      <c r="Q16" s="12">
        <v>4</v>
      </c>
      <c r="R16" s="12">
        <v>2</v>
      </c>
      <c r="S16" s="12">
        <v>1</v>
      </c>
      <c r="T16" s="12">
        <v>2</v>
      </c>
      <c r="U16" s="12">
        <v>31</v>
      </c>
      <c r="V16" s="12">
        <v>6</v>
      </c>
      <c r="W16" s="12">
        <v>5</v>
      </c>
      <c r="X16" s="12">
        <v>23</v>
      </c>
      <c r="Y16" s="12">
        <v>14</v>
      </c>
      <c r="Z16" s="12">
        <v>1</v>
      </c>
      <c r="AA16" s="12">
        <v>0</v>
      </c>
      <c r="AB16" s="12">
        <v>3</v>
      </c>
      <c r="AC16" s="12">
        <v>37</v>
      </c>
      <c r="AD16" s="12">
        <v>5</v>
      </c>
      <c r="AE16" s="12">
        <v>2</v>
      </c>
      <c r="AF16" s="12">
        <v>8</v>
      </c>
    </row>
    <row r="17" spans="1:32">
      <c r="A17" s="19"/>
      <c r="B17" s="13" t="s">
        <v>1099</v>
      </c>
      <c r="C17" s="14">
        <v>0.03</v>
      </c>
      <c r="D17" s="14">
        <v>7.0000000000000007E-2</v>
      </c>
      <c r="E17" s="14">
        <v>0.08</v>
      </c>
      <c r="F17" s="15" t="s">
        <v>375</v>
      </c>
      <c r="G17" s="14">
        <v>0.01</v>
      </c>
      <c r="H17" s="14">
        <v>0.03</v>
      </c>
      <c r="I17" s="14">
        <v>0.03</v>
      </c>
      <c r="J17" s="14">
        <v>0.02</v>
      </c>
      <c r="K17" s="14">
        <v>0.01</v>
      </c>
      <c r="L17" s="14">
        <v>0.02</v>
      </c>
      <c r="M17" s="14">
        <v>0.01</v>
      </c>
      <c r="N17" s="14">
        <v>0.01</v>
      </c>
      <c r="O17" s="14">
        <v>0.08</v>
      </c>
      <c r="P17" s="14">
        <v>0.02</v>
      </c>
      <c r="Q17" s="15" t="s">
        <v>375</v>
      </c>
      <c r="R17" s="15" t="s">
        <v>375</v>
      </c>
      <c r="S17" s="15" t="s">
        <v>375</v>
      </c>
      <c r="T17" s="15" t="s">
        <v>375</v>
      </c>
      <c r="U17" s="14">
        <v>0.06</v>
      </c>
      <c r="V17" s="14">
        <v>0.01</v>
      </c>
      <c r="W17" s="14">
        <v>0.01</v>
      </c>
      <c r="X17" s="14">
        <v>0.02</v>
      </c>
      <c r="Y17" s="14">
        <v>0.01</v>
      </c>
      <c r="Z17" s="15" t="s">
        <v>375</v>
      </c>
      <c r="AA17" s="15" t="s">
        <v>375</v>
      </c>
      <c r="AB17" s="15" t="s">
        <v>375</v>
      </c>
      <c r="AC17" s="14">
        <v>0.04</v>
      </c>
      <c r="AD17" s="14">
        <v>0.01</v>
      </c>
      <c r="AE17" s="15" t="s">
        <v>375</v>
      </c>
      <c r="AF17" s="14">
        <v>0.01</v>
      </c>
    </row>
    <row r="18" spans="1:32">
      <c r="A18" s="19"/>
      <c r="B18" s="11" t="s">
        <v>1149</v>
      </c>
      <c r="C18" s="12">
        <v>8</v>
      </c>
      <c r="D18" s="12">
        <v>1</v>
      </c>
      <c r="E18" s="12">
        <v>0</v>
      </c>
      <c r="F18" s="12">
        <v>1</v>
      </c>
      <c r="G18" s="12">
        <v>0</v>
      </c>
      <c r="H18" s="12">
        <v>1</v>
      </c>
      <c r="I18" s="12">
        <v>1</v>
      </c>
      <c r="J18" s="12">
        <v>0</v>
      </c>
      <c r="K18" s="12">
        <v>1</v>
      </c>
      <c r="L18" s="12">
        <v>0</v>
      </c>
      <c r="M18" s="12">
        <v>0</v>
      </c>
      <c r="N18" s="12">
        <v>0</v>
      </c>
      <c r="O18" s="12">
        <v>0</v>
      </c>
      <c r="P18" s="12">
        <v>2</v>
      </c>
      <c r="Q18" s="12">
        <v>0</v>
      </c>
      <c r="R18" s="12">
        <v>0</v>
      </c>
      <c r="S18" s="12">
        <v>0</v>
      </c>
      <c r="T18" s="12">
        <v>0</v>
      </c>
      <c r="U18" s="12">
        <v>1</v>
      </c>
      <c r="V18" s="12">
        <v>1</v>
      </c>
      <c r="W18" s="12">
        <v>0</v>
      </c>
      <c r="X18" s="12">
        <v>0</v>
      </c>
      <c r="Y18" s="12">
        <v>0</v>
      </c>
      <c r="Z18" s="12">
        <v>1</v>
      </c>
      <c r="AA18" s="12">
        <v>0</v>
      </c>
      <c r="AB18" s="12">
        <v>0</v>
      </c>
      <c r="AC18" s="12">
        <v>0</v>
      </c>
      <c r="AD18" s="12">
        <v>2</v>
      </c>
      <c r="AE18" s="12">
        <v>0</v>
      </c>
      <c r="AF18" s="12">
        <v>0</v>
      </c>
    </row>
    <row r="19" spans="1:32">
      <c r="A19" s="19"/>
      <c r="B19" s="13" t="s">
        <v>1136</v>
      </c>
      <c r="C19" s="15" t="s">
        <v>375</v>
      </c>
      <c r="D19" s="15" t="s">
        <v>375</v>
      </c>
      <c r="E19" s="15" t="s">
        <v>375</v>
      </c>
      <c r="F19" s="15" t="s">
        <v>375</v>
      </c>
      <c r="G19" s="15" t="s">
        <v>375</v>
      </c>
      <c r="H19" s="15" t="s">
        <v>375</v>
      </c>
      <c r="I19" s="15" t="s">
        <v>375</v>
      </c>
      <c r="J19" s="15" t="s">
        <v>375</v>
      </c>
      <c r="K19" s="15" t="s">
        <v>375</v>
      </c>
      <c r="L19" s="15" t="s">
        <v>375</v>
      </c>
      <c r="M19" s="15" t="s">
        <v>375</v>
      </c>
      <c r="N19" s="15" t="s">
        <v>375</v>
      </c>
      <c r="O19" s="15" t="s">
        <v>375</v>
      </c>
      <c r="P19" s="15" t="s">
        <v>375</v>
      </c>
      <c r="Q19" s="15" t="s">
        <v>375</v>
      </c>
      <c r="R19" s="15" t="s">
        <v>375</v>
      </c>
      <c r="S19" s="15" t="s">
        <v>375</v>
      </c>
      <c r="T19" s="15" t="s">
        <v>375</v>
      </c>
      <c r="U19" s="15" t="s">
        <v>375</v>
      </c>
      <c r="V19" s="15" t="s">
        <v>375</v>
      </c>
      <c r="W19" s="15" t="s">
        <v>375</v>
      </c>
      <c r="X19" s="15" t="s">
        <v>375</v>
      </c>
      <c r="Y19" s="15" t="s">
        <v>375</v>
      </c>
      <c r="Z19" s="15" t="s">
        <v>375</v>
      </c>
      <c r="AA19" s="15" t="s">
        <v>375</v>
      </c>
      <c r="AB19" s="15" t="s">
        <v>375</v>
      </c>
      <c r="AC19" s="15" t="s">
        <v>375</v>
      </c>
      <c r="AD19" s="15" t="s">
        <v>375</v>
      </c>
      <c r="AE19" s="15" t="s">
        <v>375</v>
      </c>
      <c r="AF19" s="15" t="s">
        <v>375</v>
      </c>
    </row>
    <row r="20" spans="1:32">
      <c r="A20" s="19"/>
      <c r="B20" s="11" t="s">
        <v>1137</v>
      </c>
      <c r="C20" s="12">
        <v>104</v>
      </c>
      <c r="D20" s="12">
        <v>4</v>
      </c>
      <c r="E20" s="12">
        <v>0</v>
      </c>
      <c r="F20" s="12">
        <v>7</v>
      </c>
      <c r="G20" s="12">
        <v>9</v>
      </c>
      <c r="H20" s="12">
        <v>6</v>
      </c>
      <c r="I20" s="12">
        <v>6</v>
      </c>
      <c r="J20" s="12">
        <v>0</v>
      </c>
      <c r="K20" s="12">
        <v>8</v>
      </c>
      <c r="L20" s="12">
        <v>6</v>
      </c>
      <c r="M20" s="12">
        <v>0</v>
      </c>
      <c r="N20" s="12">
        <v>1</v>
      </c>
      <c r="O20" s="12">
        <v>7</v>
      </c>
      <c r="P20" s="12">
        <v>0</v>
      </c>
      <c r="Q20" s="12">
        <v>7</v>
      </c>
      <c r="R20" s="12">
        <v>0</v>
      </c>
      <c r="S20" s="12">
        <v>0</v>
      </c>
      <c r="T20" s="12">
        <v>3</v>
      </c>
      <c r="U20" s="12">
        <v>2</v>
      </c>
      <c r="V20" s="12">
        <v>1</v>
      </c>
      <c r="W20" s="12">
        <v>0</v>
      </c>
      <c r="X20" s="12">
        <v>9</v>
      </c>
      <c r="Y20" s="12">
        <v>3</v>
      </c>
      <c r="Z20" s="12">
        <v>2</v>
      </c>
      <c r="AA20" s="12">
        <v>1</v>
      </c>
      <c r="AB20" s="12">
        <v>0</v>
      </c>
      <c r="AC20" s="12">
        <v>0</v>
      </c>
      <c r="AD20" s="12">
        <v>0</v>
      </c>
      <c r="AE20" s="12">
        <v>4</v>
      </c>
      <c r="AF20" s="12">
        <v>2</v>
      </c>
    </row>
    <row r="21" spans="1:32">
      <c r="A21" s="19"/>
      <c r="B21" s="13" t="s">
        <v>1138</v>
      </c>
      <c r="C21" s="15" t="s">
        <v>375</v>
      </c>
      <c r="D21" s="15" t="s">
        <v>375</v>
      </c>
      <c r="E21" s="15" t="s">
        <v>375</v>
      </c>
      <c r="F21" s="14">
        <v>0.01</v>
      </c>
      <c r="G21" s="14">
        <v>0.01</v>
      </c>
      <c r="H21" s="14">
        <v>0.01</v>
      </c>
      <c r="I21" s="15" t="s">
        <v>375</v>
      </c>
      <c r="J21" s="15" t="s">
        <v>375</v>
      </c>
      <c r="K21" s="14">
        <v>0.01</v>
      </c>
      <c r="L21" s="14">
        <v>0.01</v>
      </c>
      <c r="M21" s="15" t="s">
        <v>375</v>
      </c>
      <c r="N21" s="15" t="s">
        <v>375</v>
      </c>
      <c r="O21" s="14">
        <v>0.01</v>
      </c>
      <c r="P21" s="15" t="s">
        <v>375</v>
      </c>
      <c r="Q21" s="14">
        <v>0.01</v>
      </c>
      <c r="R21" s="15" t="s">
        <v>375</v>
      </c>
      <c r="S21" s="15" t="s">
        <v>375</v>
      </c>
      <c r="T21" s="15" t="s">
        <v>375</v>
      </c>
      <c r="U21" s="14">
        <v>0.01</v>
      </c>
      <c r="V21" s="15" t="s">
        <v>375</v>
      </c>
      <c r="W21" s="15" t="s">
        <v>375</v>
      </c>
      <c r="X21" s="14">
        <v>0.01</v>
      </c>
      <c r="Y21" s="15" t="s">
        <v>375</v>
      </c>
      <c r="Z21" s="15" t="s">
        <v>375</v>
      </c>
      <c r="AA21" s="15" t="s">
        <v>375</v>
      </c>
      <c r="AB21" s="15" t="s">
        <v>375</v>
      </c>
      <c r="AC21" s="15" t="s">
        <v>375</v>
      </c>
      <c r="AD21" s="15" t="s">
        <v>375</v>
      </c>
      <c r="AE21" s="15" t="s">
        <v>375</v>
      </c>
      <c r="AF21" s="15" t="s">
        <v>375</v>
      </c>
    </row>
    <row r="22" spans="1:32">
      <c r="A22" s="19"/>
      <c r="B22" s="11" t="s">
        <v>1139</v>
      </c>
      <c r="C22" s="12">
        <v>20</v>
      </c>
      <c r="D22" s="12">
        <v>5</v>
      </c>
      <c r="E22" s="12">
        <v>0</v>
      </c>
      <c r="F22" s="12">
        <v>0</v>
      </c>
      <c r="G22" s="12">
        <v>2</v>
      </c>
      <c r="H22" s="12">
        <v>1</v>
      </c>
      <c r="I22" s="12">
        <v>1</v>
      </c>
      <c r="J22" s="12">
        <v>0</v>
      </c>
      <c r="K22" s="12">
        <v>1</v>
      </c>
      <c r="L22" s="12">
        <v>8</v>
      </c>
      <c r="M22" s="12">
        <v>0</v>
      </c>
      <c r="N22" s="12">
        <v>0</v>
      </c>
      <c r="O22" s="12">
        <v>0</v>
      </c>
      <c r="P22" s="12">
        <v>0</v>
      </c>
      <c r="Q22" s="12">
        <v>3</v>
      </c>
      <c r="R22" s="12">
        <v>1</v>
      </c>
      <c r="S22" s="12">
        <v>1</v>
      </c>
      <c r="T22" s="12">
        <v>0</v>
      </c>
      <c r="U22" s="12">
        <v>2</v>
      </c>
      <c r="V22" s="12">
        <v>0</v>
      </c>
      <c r="W22" s="12">
        <v>0</v>
      </c>
      <c r="X22" s="12">
        <v>0</v>
      </c>
      <c r="Y22" s="12">
        <v>0</v>
      </c>
      <c r="Z22" s="12">
        <v>0</v>
      </c>
      <c r="AA22" s="12">
        <v>0</v>
      </c>
      <c r="AB22" s="12">
        <v>0</v>
      </c>
      <c r="AC22" s="12">
        <v>0</v>
      </c>
      <c r="AD22" s="12">
        <v>0</v>
      </c>
      <c r="AE22" s="12">
        <v>0</v>
      </c>
      <c r="AF22" s="12">
        <v>0</v>
      </c>
    </row>
    <row r="23" spans="1:32">
      <c r="A23" s="19"/>
      <c r="B23" s="13" t="s">
        <v>1140</v>
      </c>
      <c r="C23" s="15" t="s">
        <v>375</v>
      </c>
      <c r="D23" s="14">
        <v>0.01</v>
      </c>
      <c r="E23" s="15" t="s">
        <v>375</v>
      </c>
      <c r="F23" s="15" t="s">
        <v>375</v>
      </c>
      <c r="G23" s="15" t="s">
        <v>375</v>
      </c>
      <c r="H23" s="15" t="s">
        <v>375</v>
      </c>
      <c r="I23" s="15" t="s">
        <v>375</v>
      </c>
      <c r="J23" s="15" t="s">
        <v>375</v>
      </c>
      <c r="K23" s="15" t="s">
        <v>375</v>
      </c>
      <c r="L23" s="14">
        <v>0.01</v>
      </c>
      <c r="M23" s="15" t="s">
        <v>375</v>
      </c>
      <c r="N23" s="15" t="s">
        <v>375</v>
      </c>
      <c r="O23" s="15" t="s">
        <v>375</v>
      </c>
      <c r="P23" s="15" t="s">
        <v>375</v>
      </c>
      <c r="Q23" s="15" t="s">
        <v>375</v>
      </c>
      <c r="R23" s="15" t="s">
        <v>375</v>
      </c>
      <c r="S23" s="15" t="s">
        <v>375</v>
      </c>
      <c r="T23" s="15" t="s">
        <v>375</v>
      </c>
      <c r="U23" s="15" t="s">
        <v>375</v>
      </c>
      <c r="V23" s="15" t="s">
        <v>375</v>
      </c>
      <c r="W23" s="15" t="s">
        <v>375</v>
      </c>
      <c r="X23" s="15" t="s">
        <v>375</v>
      </c>
      <c r="Y23" s="15" t="s">
        <v>375</v>
      </c>
      <c r="Z23" s="15" t="s">
        <v>375</v>
      </c>
      <c r="AA23" s="15" t="s">
        <v>375</v>
      </c>
      <c r="AB23" s="15" t="s">
        <v>375</v>
      </c>
      <c r="AC23" s="15" t="s">
        <v>375</v>
      </c>
      <c r="AD23" s="15" t="s">
        <v>375</v>
      </c>
      <c r="AE23" s="15" t="s">
        <v>375</v>
      </c>
      <c r="AF23" s="15" t="s">
        <v>375</v>
      </c>
    </row>
    <row r="24" spans="1:32">
      <c r="A24" s="19"/>
      <c r="B24" s="11" t="s">
        <v>1141</v>
      </c>
      <c r="C24" s="12">
        <v>2670</v>
      </c>
      <c r="D24" s="12">
        <v>92</v>
      </c>
      <c r="E24" s="12">
        <v>15</v>
      </c>
      <c r="F24" s="12">
        <v>267</v>
      </c>
      <c r="G24" s="12">
        <v>119</v>
      </c>
      <c r="H24" s="12">
        <v>89</v>
      </c>
      <c r="I24" s="12">
        <v>175</v>
      </c>
      <c r="J24" s="12">
        <v>86</v>
      </c>
      <c r="K24" s="12">
        <v>176</v>
      </c>
      <c r="L24" s="12">
        <v>29</v>
      </c>
      <c r="M24" s="12">
        <v>18</v>
      </c>
      <c r="N24" s="12">
        <v>96</v>
      </c>
      <c r="O24" s="12">
        <v>181</v>
      </c>
      <c r="P24" s="12">
        <v>36</v>
      </c>
      <c r="Q24" s="12">
        <v>87</v>
      </c>
      <c r="R24" s="12">
        <v>7</v>
      </c>
      <c r="S24" s="12">
        <v>66</v>
      </c>
      <c r="T24" s="12">
        <v>9</v>
      </c>
      <c r="U24" s="12">
        <v>39</v>
      </c>
      <c r="V24" s="12">
        <v>33</v>
      </c>
      <c r="W24" s="12">
        <v>12</v>
      </c>
      <c r="X24" s="12">
        <v>168</v>
      </c>
      <c r="Y24" s="12">
        <v>47</v>
      </c>
      <c r="Z24" s="12">
        <v>31</v>
      </c>
      <c r="AA24" s="12">
        <v>20</v>
      </c>
      <c r="AB24" s="12">
        <v>8</v>
      </c>
      <c r="AC24" s="12">
        <v>131</v>
      </c>
      <c r="AD24" s="12">
        <v>100</v>
      </c>
      <c r="AE24" s="12">
        <v>132</v>
      </c>
      <c r="AF24" s="12">
        <v>176</v>
      </c>
    </row>
    <row r="25" spans="1:32">
      <c r="A25" s="19"/>
      <c r="B25" s="13" t="s">
        <v>1142</v>
      </c>
      <c r="C25" s="14">
        <v>0.1</v>
      </c>
      <c r="D25" s="14">
        <v>0.09</v>
      </c>
      <c r="E25" s="14">
        <v>0.01</v>
      </c>
      <c r="F25" s="14">
        <v>0.25</v>
      </c>
      <c r="G25" s="14">
        <v>0.12</v>
      </c>
      <c r="H25" s="14">
        <v>7.0000000000000007E-2</v>
      </c>
      <c r="I25" s="14">
        <v>0.12</v>
      </c>
      <c r="J25" s="14">
        <v>0.28999999999999998</v>
      </c>
      <c r="K25" s="14">
        <v>0.17</v>
      </c>
      <c r="L25" s="14">
        <v>0.03</v>
      </c>
      <c r="M25" s="14">
        <v>0.02</v>
      </c>
      <c r="N25" s="14">
        <v>0.1</v>
      </c>
      <c r="O25" s="14">
        <v>0.18</v>
      </c>
      <c r="P25" s="14">
        <v>0.04</v>
      </c>
      <c r="Q25" s="14">
        <v>0.09</v>
      </c>
      <c r="R25" s="14">
        <v>0.02</v>
      </c>
      <c r="S25" s="14">
        <v>7.0000000000000007E-2</v>
      </c>
      <c r="T25" s="14">
        <v>0.01</v>
      </c>
      <c r="U25" s="14">
        <v>0.08</v>
      </c>
      <c r="V25" s="14">
        <v>0.03</v>
      </c>
      <c r="W25" s="14">
        <v>0.02</v>
      </c>
      <c r="X25" s="14">
        <v>0.17</v>
      </c>
      <c r="Y25" s="14">
        <v>0.05</v>
      </c>
      <c r="Z25" s="14">
        <v>0.03</v>
      </c>
      <c r="AA25" s="14">
        <v>0.02</v>
      </c>
      <c r="AB25" s="14">
        <v>0.01</v>
      </c>
      <c r="AC25" s="14">
        <v>0.13</v>
      </c>
      <c r="AD25" s="14">
        <v>0.1</v>
      </c>
      <c r="AE25" s="14">
        <v>0.13</v>
      </c>
      <c r="AF25" s="14">
        <v>0.17</v>
      </c>
    </row>
    <row r="26" spans="1:32">
      <c r="A26" s="19"/>
      <c r="B26" s="11" t="s">
        <v>1143</v>
      </c>
      <c r="C26" s="12">
        <v>4549</v>
      </c>
      <c r="D26" s="12">
        <v>238</v>
      </c>
      <c r="E26" s="12">
        <v>37</v>
      </c>
      <c r="F26" s="12">
        <v>341</v>
      </c>
      <c r="G26" s="12">
        <v>189</v>
      </c>
      <c r="H26" s="12">
        <v>307</v>
      </c>
      <c r="I26" s="12">
        <v>416</v>
      </c>
      <c r="J26" s="12">
        <v>108</v>
      </c>
      <c r="K26" s="12">
        <v>260</v>
      </c>
      <c r="L26" s="12">
        <v>121</v>
      </c>
      <c r="M26" s="12">
        <v>21</v>
      </c>
      <c r="N26" s="12">
        <v>181</v>
      </c>
      <c r="O26" s="12">
        <v>219</v>
      </c>
      <c r="P26" s="12">
        <v>37</v>
      </c>
      <c r="Q26" s="12">
        <v>54</v>
      </c>
      <c r="R26" s="12">
        <v>3</v>
      </c>
      <c r="S26" s="12">
        <v>222</v>
      </c>
      <c r="T26" s="12">
        <v>79</v>
      </c>
      <c r="U26" s="12">
        <v>70</v>
      </c>
      <c r="V26" s="12">
        <v>188</v>
      </c>
      <c r="W26" s="12">
        <v>37</v>
      </c>
      <c r="X26" s="12">
        <v>375</v>
      </c>
      <c r="Y26" s="12">
        <v>177</v>
      </c>
      <c r="Z26" s="12">
        <v>47</v>
      </c>
      <c r="AA26" s="12">
        <v>138</v>
      </c>
      <c r="AB26" s="12">
        <v>1</v>
      </c>
      <c r="AC26" s="12">
        <v>59</v>
      </c>
      <c r="AD26" s="12">
        <v>119</v>
      </c>
      <c r="AE26" s="12">
        <v>137</v>
      </c>
      <c r="AF26" s="12">
        <v>360</v>
      </c>
    </row>
    <row r="27" spans="1:32">
      <c r="A27" s="19"/>
      <c r="B27" s="13" t="s">
        <v>1150</v>
      </c>
      <c r="C27" s="14">
        <v>0.17</v>
      </c>
      <c r="D27" s="14">
        <v>0.23</v>
      </c>
      <c r="E27" s="14">
        <v>0.04</v>
      </c>
      <c r="F27" s="14">
        <v>0.32</v>
      </c>
      <c r="G27" s="14">
        <v>0.19</v>
      </c>
      <c r="H27" s="14">
        <v>0.25</v>
      </c>
      <c r="I27" s="14">
        <v>0.27</v>
      </c>
      <c r="J27" s="14">
        <v>0.36</v>
      </c>
      <c r="K27" s="14">
        <v>0.26</v>
      </c>
      <c r="L27" s="14">
        <v>0.12</v>
      </c>
      <c r="M27" s="14">
        <v>0.02</v>
      </c>
      <c r="N27" s="14">
        <v>0.18</v>
      </c>
      <c r="O27" s="14">
        <v>0.22</v>
      </c>
      <c r="P27" s="14">
        <v>0.04</v>
      </c>
      <c r="Q27" s="14">
        <v>0.05</v>
      </c>
      <c r="R27" s="14">
        <v>0.01</v>
      </c>
      <c r="S27" s="14">
        <v>0.22</v>
      </c>
      <c r="T27" s="14">
        <v>0.08</v>
      </c>
      <c r="U27" s="14">
        <v>0.14000000000000001</v>
      </c>
      <c r="V27" s="14">
        <v>0.18</v>
      </c>
      <c r="W27" s="14">
        <v>0.08</v>
      </c>
      <c r="X27" s="14">
        <v>0.37</v>
      </c>
      <c r="Y27" s="14">
        <v>0.18</v>
      </c>
      <c r="Z27" s="14">
        <v>0.05</v>
      </c>
      <c r="AA27" s="14">
        <v>0.13</v>
      </c>
      <c r="AB27" s="15" t="s">
        <v>375</v>
      </c>
      <c r="AC27" s="14">
        <v>0.06</v>
      </c>
      <c r="AD27" s="14">
        <v>0.12</v>
      </c>
      <c r="AE27" s="14">
        <v>0.14000000000000001</v>
      </c>
      <c r="AF27" s="14">
        <v>0.35</v>
      </c>
    </row>
    <row r="28" spans="1:32">
      <c r="A28" s="19"/>
      <c r="B28" s="11" t="s">
        <v>896</v>
      </c>
      <c r="C28" s="12">
        <v>943</v>
      </c>
      <c r="D28" s="12">
        <v>58</v>
      </c>
      <c r="E28" s="12">
        <v>8</v>
      </c>
      <c r="F28" s="12">
        <v>143</v>
      </c>
      <c r="G28" s="12">
        <v>47</v>
      </c>
      <c r="H28" s="12">
        <v>51</v>
      </c>
      <c r="I28" s="12">
        <v>71</v>
      </c>
      <c r="J28" s="12">
        <v>20</v>
      </c>
      <c r="K28" s="12">
        <v>124</v>
      </c>
      <c r="L28" s="12">
        <v>25</v>
      </c>
      <c r="M28" s="12">
        <v>4</v>
      </c>
      <c r="N28" s="12">
        <v>25</v>
      </c>
      <c r="O28" s="12">
        <v>33</v>
      </c>
      <c r="P28" s="12">
        <v>9</v>
      </c>
      <c r="Q28" s="12">
        <v>19</v>
      </c>
      <c r="R28" s="12">
        <v>6</v>
      </c>
      <c r="S28" s="12">
        <v>86</v>
      </c>
      <c r="T28" s="12">
        <v>24</v>
      </c>
      <c r="U28" s="12">
        <v>24</v>
      </c>
      <c r="V28" s="12">
        <v>14</v>
      </c>
      <c r="W28" s="12">
        <v>11</v>
      </c>
      <c r="X28" s="12">
        <v>90</v>
      </c>
      <c r="Y28" s="12">
        <v>38</v>
      </c>
      <c r="Z28" s="12">
        <v>20</v>
      </c>
      <c r="AA28" s="12">
        <v>38</v>
      </c>
      <c r="AB28" s="12">
        <v>6</v>
      </c>
      <c r="AC28" s="12">
        <v>39</v>
      </c>
      <c r="AD28" s="12">
        <v>11</v>
      </c>
      <c r="AE28" s="12">
        <v>50</v>
      </c>
      <c r="AF28" s="12">
        <v>81</v>
      </c>
    </row>
    <row r="29" spans="1:32">
      <c r="A29" s="19"/>
      <c r="B29" s="13" t="s">
        <v>897</v>
      </c>
      <c r="C29" s="14">
        <v>0.04</v>
      </c>
      <c r="D29" s="14">
        <v>0.06</v>
      </c>
      <c r="E29" s="14">
        <v>0.01</v>
      </c>
      <c r="F29" s="14">
        <v>0.13</v>
      </c>
      <c r="G29" s="14">
        <v>0.05</v>
      </c>
      <c r="H29" s="14">
        <v>0.04</v>
      </c>
      <c r="I29" s="14">
        <v>0.05</v>
      </c>
      <c r="J29" s="14">
        <v>7.0000000000000007E-2</v>
      </c>
      <c r="K29" s="14">
        <v>0.12</v>
      </c>
      <c r="L29" s="14">
        <v>0.02</v>
      </c>
      <c r="M29" s="15" t="s">
        <v>375</v>
      </c>
      <c r="N29" s="14">
        <v>0.02</v>
      </c>
      <c r="O29" s="14">
        <v>0.03</v>
      </c>
      <c r="P29" s="14">
        <v>0.01</v>
      </c>
      <c r="Q29" s="14">
        <v>0.02</v>
      </c>
      <c r="R29" s="14">
        <v>0.01</v>
      </c>
      <c r="S29" s="14">
        <v>0.08</v>
      </c>
      <c r="T29" s="14">
        <v>0.02</v>
      </c>
      <c r="U29" s="14">
        <v>0.05</v>
      </c>
      <c r="V29" s="14">
        <v>0.01</v>
      </c>
      <c r="W29" s="14">
        <v>0.02</v>
      </c>
      <c r="X29" s="14">
        <v>0.09</v>
      </c>
      <c r="Y29" s="14">
        <v>0.04</v>
      </c>
      <c r="Z29" s="14">
        <v>0.02</v>
      </c>
      <c r="AA29" s="14">
        <v>0.04</v>
      </c>
      <c r="AB29" s="14">
        <v>0.01</v>
      </c>
      <c r="AC29" s="14">
        <v>0.04</v>
      </c>
      <c r="AD29" s="14">
        <v>0.01</v>
      </c>
      <c r="AE29" s="14">
        <v>0.05</v>
      </c>
      <c r="AF29" s="14">
        <v>0.08</v>
      </c>
    </row>
    <row r="30" spans="1:32">
      <c r="A30" s="19"/>
      <c r="B30" s="11" t="s">
        <v>1094</v>
      </c>
      <c r="C30" s="12">
        <v>99</v>
      </c>
      <c r="D30" s="12">
        <v>3</v>
      </c>
      <c r="E30" s="12">
        <v>1</v>
      </c>
      <c r="F30" s="12">
        <v>9</v>
      </c>
      <c r="G30" s="12">
        <v>1</v>
      </c>
      <c r="H30" s="12">
        <v>0</v>
      </c>
      <c r="I30" s="12">
        <v>0</v>
      </c>
      <c r="J30" s="12">
        <v>0</v>
      </c>
      <c r="K30" s="12">
        <v>16</v>
      </c>
      <c r="L30" s="12">
        <v>6</v>
      </c>
      <c r="M30" s="12">
        <v>2</v>
      </c>
      <c r="N30" s="12">
        <v>1</v>
      </c>
      <c r="O30" s="12">
        <v>13</v>
      </c>
      <c r="P30" s="12">
        <v>4</v>
      </c>
      <c r="Q30" s="12">
        <v>2</v>
      </c>
      <c r="R30" s="12">
        <v>0</v>
      </c>
      <c r="S30" s="12">
        <v>7</v>
      </c>
      <c r="T30" s="12">
        <v>0</v>
      </c>
      <c r="U30" s="12">
        <v>0</v>
      </c>
      <c r="V30" s="12">
        <v>13</v>
      </c>
      <c r="W30" s="12">
        <v>0</v>
      </c>
      <c r="X30" s="12">
        <v>1</v>
      </c>
      <c r="Y30" s="12">
        <v>13</v>
      </c>
      <c r="Z30" s="12">
        <v>1</v>
      </c>
      <c r="AA30" s="12">
        <v>1</v>
      </c>
      <c r="AB30" s="12">
        <v>0</v>
      </c>
      <c r="AC30" s="12">
        <v>5</v>
      </c>
      <c r="AD30" s="12">
        <v>9</v>
      </c>
      <c r="AE30" s="12">
        <v>2</v>
      </c>
      <c r="AF30" s="12">
        <v>2</v>
      </c>
    </row>
    <row r="31" spans="1:32">
      <c r="A31" s="19"/>
      <c r="B31" s="13" t="s">
        <v>1095</v>
      </c>
      <c r="C31" s="15" t="s">
        <v>375</v>
      </c>
      <c r="D31" s="15" t="s">
        <v>375</v>
      </c>
      <c r="E31" s="15" t="s">
        <v>375</v>
      </c>
      <c r="F31" s="14">
        <v>0.01</v>
      </c>
      <c r="G31" s="15" t="s">
        <v>375</v>
      </c>
      <c r="H31" s="15" t="s">
        <v>375</v>
      </c>
      <c r="I31" s="15" t="s">
        <v>375</v>
      </c>
      <c r="J31" s="15" t="s">
        <v>375</v>
      </c>
      <c r="K31" s="14">
        <v>0.02</v>
      </c>
      <c r="L31" s="15" t="s">
        <v>375</v>
      </c>
      <c r="M31" s="15" t="s">
        <v>375</v>
      </c>
      <c r="N31" s="15" t="s">
        <v>375</v>
      </c>
      <c r="O31" s="14">
        <v>0.01</v>
      </c>
      <c r="P31" s="15" t="s">
        <v>375</v>
      </c>
      <c r="Q31" s="15" t="s">
        <v>375</v>
      </c>
      <c r="R31" s="15" t="s">
        <v>375</v>
      </c>
      <c r="S31" s="14">
        <v>0.01</v>
      </c>
      <c r="T31" s="15" t="s">
        <v>375</v>
      </c>
      <c r="U31" s="15" t="s">
        <v>375</v>
      </c>
      <c r="V31" s="14">
        <v>0.01</v>
      </c>
      <c r="W31" s="15" t="s">
        <v>375</v>
      </c>
      <c r="X31" s="15" t="s">
        <v>375</v>
      </c>
      <c r="Y31" s="14">
        <v>0.01</v>
      </c>
      <c r="Z31" s="15" t="s">
        <v>375</v>
      </c>
      <c r="AA31" s="15" t="s">
        <v>375</v>
      </c>
      <c r="AB31" s="15" t="s">
        <v>375</v>
      </c>
      <c r="AC31" s="15" t="s">
        <v>375</v>
      </c>
      <c r="AD31" s="14">
        <v>0.01</v>
      </c>
      <c r="AE31" s="15" t="s">
        <v>375</v>
      </c>
      <c r="AF31" s="15" t="s">
        <v>375</v>
      </c>
    </row>
    <row r="32" spans="1:32">
      <c r="A32" s="19"/>
      <c r="B32" s="11" t="s">
        <v>386</v>
      </c>
      <c r="C32" s="12">
        <v>53</v>
      </c>
      <c r="D32" s="12">
        <v>1</v>
      </c>
      <c r="E32" s="12">
        <v>2</v>
      </c>
      <c r="F32" s="12">
        <v>27</v>
      </c>
      <c r="G32" s="12">
        <v>2</v>
      </c>
      <c r="H32" s="12">
        <v>2</v>
      </c>
      <c r="I32" s="12">
        <v>3</v>
      </c>
      <c r="J32" s="12">
        <v>1</v>
      </c>
      <c r="K32" s="12">
        <v>19</v>
      </c>
      <c r="L32" s="12">
        <v>1</v>
      </c>
      <c r="M32" s="12">
        <v>1</v>
      </c>
      <c r="N32" s="12">
        <v>0</v>
      </c>
      <c r="O32" s="12">
        <v>2</v>
      </c>
      <c r="P32" s="12">
        <v>2</v>
      </c>
      <c r="Q32" s="12">
        <v>0</v>
      </c>
      <c r="R32" s="12">
        <v>2</v>
      </c>
      <c r="S32" s="12">
        <v>10</v>
      </c>
      <c r="T32" s="12">
        <v>2</v>
      </c>
      <c r="U32" s="12">
        <v>0</v>
      </c>
      <c r="V32" s="12">
        <v>0</v>
      </c>
      <c r="W32" s="12">
        <v>0</v>
      </c>
      <c r="X32" s="12">
        <v>4</v>
      </c>
      <c r="Y32" s="12">
        <v>1</v>
      </c>
      <c r="Z32" s="12">
        <v>1</v>
      </c>
      <c r="AA32" s="12">
        <v>1</v>
      </c>
      <c r="AB32" s="12">
        <v>0</v>
      </c>
      <c r="AC32" s="12">
        <v>1</v>
      </c>
      <c r="AD32" s="12">
        <v>2</v>
      </c>
      <c r="AE32" s="12">
        <v>6</v>
      </c>
      <c r="AF32" s="12">
        <v>8</v>
      </c>
    </row>
    <row r="33" spans="1:32">
      <c r="A33" s="19"/>
      <c r="B33" s="13" t="s">
        <v>399</v>
      </c>
      <c r="C33" s="15" t="s">
        <v>375</v>
      </c>
      <c r="D33" s="15" t="s">
        <v>375</v>
      </c>
      <c r="E33" s="15" t="s">
        <v>375</v>
      </c>
      <c r="F33" s="14">
        <v>0.03</v>
      </c>
      <c r="G33" s="15" t="s">
        <v>375</v>
      </c>
      <c r="H33" s="15" t="s">
        <v>375</v>
      </c>
      <c r="I33" s="15" t="s">
        <v>375</v>
      </c>
      <c r="J33" s="15" t="s">
        <v>375</v>
      </c>
      <c r="K33" s="14">
        <v>0.02</v>
      </c>
      <c r="L33" s="15" t="s">
        <v>375</v>
      </c>
      <c r="M33" s="15" t="s">
        <v>375</v>
      </c>
      <c r="N33" s="15" t="s">
        <v>375</v>
      </c>
      <c r="O33" s="15" t="s">
        <v>375</v>
      </c>
      <c r="P33" s="15" t="s">
        <v>375</v>
      </c>
      <c r="Q33" s="15" t="s">
        <v>375</v>
      </c>
      <c r="R33" s="15" t="s">
        <v>375</v>
      </c>
      <c r="S33" s="14">
        <v>0.01</v>
      </c>
      <c r="T33" s="15" t="s">
        <v>375</v>
      </c>
      <c r="U33" s="15" t="s">
        <v>375</v>
      </c>
      <c r="V33" s="15" t="s">
        <v>375</v>
      </c>
      <c r="W33" s="15" t="s">
        <v>375</v>
      </c>
      <c r="X33" s="15" t="s">
        <v>375</v>
      </c>
      <c r="Y33" s="15" t="s">
        <v>375</v>
      </c>
      <c r="Z33" s="15" t="s">
        <v>375</v>
      </c>
      <c r="AA33" s="15" t="s">
        <v>375</v>
      </c>
      <c r="AB33" s="15" t="s">
        <v>375</v>
      </c>
      <c r="AC33" s="15" t="s">
        <v>375</v>
      </c>
      <c r="AD33" s="15" t="s">
        <v>375</v>
      </c>
      <c r="AE33" s="14">
        <v>0.01</v>
      </c>
      <c r="AF33" s="14">
        <v>0.01</v>
      </c>
    </row>
  </sheetData>
  <mergeCells count="9">
    <mergeCell ref="B4:F4"/>
    <mergeCell ref="H3:L3"/>
    <mergeCell ref="C8:AF8"/>
    <mergeCell ref="A10:A33"/>
    <mergeCell ref="B3:F3"/>
    <mergeCell ref="B5:F5"/>
    <mergeCell ref="H5:L5"/>
    <mergeCell ref="B10:B11"/>
    <mergeCell ref="H4:L4"/>
  </mergeCells>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227</v>
      </c>
      <c r="C3" s="17"/>
      <c r="D3" s="17"/>
      <c r="E3" s="17"/>
      <c r="F3" s="17"/>
      <c r="H3" s="17" t="s">
        <v>228</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1151</v>
      </c>
      <c r="C12" s="12">
        <v>4123</v>
      </c>
      <c r="D12" s="12">
        <v>98</v>
      </c>
      <c r="E12" s="12">
        <v>50</v>
      </c>
      <c r="F12" s="12">
        <v>42</v>
      </c>
      <c r="G12" s="12">
        <v>142</v>
      </c>
      <c r="H12" s="12">
        <v>240</v>
      </c>
      <c r="I12" s="12">
        <v>292</v>
      </c>
      <c r="J12" s="12">
        <v>52</v>
      </c>
      <c r="K12" s="12">
        <v>7</v>
      </c>
      <c r="L12" s="12">
        <v>81</v>
      </c>
      <c r="M12" s="12">
        <v>27</v>
      </c>
      <c r="N12" s="12">
        <v>86</v>
      </c>
      <c r="O12" s="12">
        <v>294</v>
      </c>
      <c r="P12" s="12">
        <v>86</v>
      </c>
      <c r="Q12" s="12">
        <v>247</v>
      </c>
      <c r="R12" s="12">
        <v>31</v>
      </c>
      <c r="S12" s="12">
        <v>24</v>
      </c>
      <c r="T12" s="12">
        <v>47</v>
      </c>
      <c r="U12" s="12">
        <v>28</v>
      </c>
      <c r="V12" s="12">
        <v>66</v>
      </c>
      <c r="W12" s="12">
        <v>34</v>
      </c>
      <c r="X12" s="12">
        <v>165</v>
      </c>
      <c r="Y12" s="12">
        <v>168</v>
      </c>
      <c r="Z12" s="12">
        <v>65</v>
      </c>
      <c r="AA12" s="12">
        <v>104</v>
      </c>
      <c r="AB12" s="12">
        <v>45</v>
      </c>
      <c r="AC12" s="12">
        <v>37</v>
      </c>
      <c r="AD12" s="12">
        <v>43</v>
      </c>
      <c r="AE12" s="12">
        <v>17</v>
      </c>
      <c r="AF12" s="12">
        <v>207</v>
      </c>
    </row>
    <row r="13" spans="1:32">
      <c r="A13" s="19"/>
      <c r="B13" s="13" t="s">
        <v>1152</v>
      </c>
      <c r="C13" s="14">
        <v>0.15</v>
      </c>
      <c r="D13" s="14">
        <v>0.1</v>
      </c>
      <c r="E13" s="14">
        <v>0.05</v>
      </c>
      <c r="F13" s="14">
        <v>0.04</v>
      </c>
      <c r="G13" s="14">
        <v>0.14000000000000001</v>
      </c>
      <c r="H13" s="14">
        <v>0.2</v>
      </c>
      <c r="I13" s="14">
        <v>0.19</v>
      </c>
      <c r="J13" s="14">
        <v>0.17</v>
      </c>
      <c r="K13" s="14">
        <v>0.01</v>
      </c>
      <c r="L13" s="14">
        <v>0.08</v>
      </c>
      <c r="M13" s="14">
        <v>0.03</v>
      </c>
      <c r="N13" s="14">
        <v>0.09</v>
      </c>
      <c r="O13" s="14">
        <v>0.28999999999999998</v>
      </c>
      <c r="P13" s="14">
        <v>0.09</v>
      </c>
      <c r="Q13" s="14">
        <v>0.24</v>
      </c>
      <c r="R13" s="14">
        <v>0.06</v>
      </c>
      <c r="S13" s="14">
        <v>0.03</v>
      </c>
      <c r="T13" s="14">
        <v>0.04</v>
      </c>
      <c r="U13" s="14">
        <v>0.05</v>
      </c>
      <c r="V13" s="14">
        <v>0.06</v>
      </c>
      <c r="W13" s="14">
        <v>7.0000000000000007E-2</v>
      </c>
      <c r="X13" s="14">
        <v>0.16</v>
      </c>
      <c r="Y13" s="14">
        <v>0.17</v>
      </c>
      <c r="Z13" s="14">
        <v>0.06</v>
      </c>
      <c r="AA13" s="14">
        <v>0.1</v>
      </c>
      <c r="AB13" s="14">
        <v>0.04</v>
      </c>
      <c r="AC13" s="14">
        <v>0.03</v>
      </c>
      <c r="AD13" s="14">
        <v>0.04</v>
      </c>
      <c r="AE13" s="14">
        <v>0.02</v>
      </c>
      <c r="AF13" s="14">
        <v>0.2</v>
      </c>
    </row>
    <row r="14" spans="1:32">
      <c r="A14" s="19"/>
      <c r="B14" s="11" t="s">
        <v>1153</v>
      </c>
      <c r="C14" s="12">
        <v>10500</v>
      </c>
      <c r="D14" s="12">
        <v>420</v>
      </c>
      <c r="E14" s="12">
        <v>215</v>
      </c>
      <c r="F14" s="12">
        <v>211</v>
      </c>
      <c r="G14" s="12">
        <v>405</v>
      </c>
      <c r="H14" s="12">
        <v>642</v>
      </c>
      <c r="I14" s="12">
        <v>790</v>
      </c>
      <c r="J14" s="12">
        <v>147</v>
      </c>
      <c r="K14" s="12">
        <v>80</v>
      </c>
      <c r="L14" s="12">
        <v>331</v>
      </c>
      <c r="M14" s="12">
        <v>207</v>
      </c>
      <c r="N14" s="12">
        <v>247</v>
      </c>
      <c r="O14" s="12">
        <v>455</v>
      </c>
      <c r="P14" s="12">
        <v>253</v>
      </c>
      <c r="Q14" s="12">
        <v>501</v>
      </c>
      <c r="R14" s="12">
        <v>108</v>
      </c>
      <c r="S14" s="12">
        <v>163</v>
      </c>
      <c r="T14" s="12">
        <v>313</v>
      </c>
      <c r="U14" s="12">
        <v>138</v>
      </c>
      <c r="V14" s="12">
        <v>350</v>
      </c>
      <c r="W14" s="12">
        <v>72</v>
      </c>
      <c r="X14" s="12">
        <v>554</v>
      </c>
      <c r="Y14" s="12">
        <v>397</v>
      </c>
      <c r="Z14" s="12">
        <v>406</v>
      </c>
      <c r="AA14" s="12">
        <v>237</v>
      </c>
      <c r="AB14" s="12">
        <v>246</v>
      </c>
      <c r="AC14" s="12">
        <v>191</v>
      </c>
      <c r="AD14" s="12">
        <v>224</v>
      </c>
      <c r="AE14" s="12">
        <v>144</v>
      </c>
      <c r="AF14" s="12">
        <v>546</v>
      </c>
    </row>
    <row r="15" spans="1:32">
      <c r="A15" s="19"/>
      <c r="B15" s="13" t="s">
        <v>1154</v>
      </c>
      <c r="C15" s="14">
        <v>0.4</v>
      </c>
      <c r="D15" s="14">
        <v>0.41</v>
      </c>
      <c r="E15" s="14">
        <v>0.2</v>
      </c>
      <c r="F15" s="14">
        <v>0.2</v>
      </c>
      <c r="G15" s="14">
        <v>0.4</v>
      </c>
      <c r="H15" s="14">
        <v>0.52</v>
      </c>
      <c r="I15" s="14">
        <v>0.52</v>
      </c>
      <c r="J15" s="14">
        <v>0.5</v>
      </c>
      <c r="K15" s="14">
        <v>0.08</v>
      </c>
      <c r="L15" s="14">
        <v>0.33</v>
      </c>
      <c r="M15" s="14">
        <v>0.21</v>
      </c>
      <c r="N15" s="14">
        <v>0.24</v>
      </c>
      <c r="O15" s="14">
        <v>0.45</v>
      </c>
      <c r="P15" s="14">
        <v>0.25</v>
      </c>
      <c r="Q15" s="14">
        <v>0.49</v>
      </c>
      <c r="R15" s="14">
        <v>0.21</v>
      </c>
      <c r="S15" s="14">
        <v>0.16</v>
      </c>
      <c r="T15" s="14">
        <v>0.31</v>
      </c>
      <c r="U15" s="14">
        <v>0.27</v>
      </c>
      <c r="V15" s="14">
        <v>0.34</v>
      </c>
      <c r="W15" s="14">
        <v>0.14000000000000001</v>
      </c>
      <c r="X15" s="14">
        <v>0.55000000000000004</v>
      </c>
      <c r="Y15" s="14">
        <v>0.4</v>
      </c>
      <c r="Z15" s="14">
        <v>0.4</v>
      </c>
      <c r="AA15" s="14">
        <v>0.23</v>
      </c>
      <c r="AB15" s="14">
        <v>0.24</v>
      </c>
      <c r="AC15" s="14">
        <v>0.19</v>
      </c>
      <c r="AD15" s="14">
        <v>0.22</v>
      </c>
      <c r="AE15" s="14">
        <v>0.14000000000000001</v>
      </c>
      <c r="AF15" s="14">
        <v>0.53</v>
      </c>
    </row>
    <row r="16" spans="1:32">
      <c r="A16" s="19"/>
      <c r="B16" s="11" t="s">
        <v>1155</v>
      </c>
      <c r="C16" s="12">
        <v>7369</v>
      </c>
      <c r="D16" s="12">
        <v>423</v>
      </c>
      <c r="E16" s="12">
        <v>272</v>
      </c>
      <c r="F16" s="12">
        <v>439</v>
      </c>
      <c r="G16" s="12">
        <v>347</v>
      </c>
      <c r="H16" s="12">
        <v>296</v>
      </c>
      <c r="I16" s="12">
        <v>375</v>
      </c>
      <c r="J16" s="12">
        <v>78</v>
      </c>
      <c r="K16" s="12">
        <v>477</v>
      </c>
      <c r="L16" s="12">
        <v>365</v>
      </c>
      <c r="M16" s="12">
        <v>337</v>
      </c>
      <c r="N16" s="12">
        <v>327</v>
      </c>
      <c r="O16" s="12">
        <v>156</v>
      </c>
      <c r="P16" s="12">
        <v>378</v>
      </c>
      <c r="Q16" s="12">
        <v>216</v>
      </c>
      <c r="R16" s="12">
        <v>183</v>
      </c>
      <c r="S16" s="12">
        <v>434</v>
      </c>
      <c r="T16" s="12">
        <v>418</v>
      </c>
      <c r="U16" s="12">
        <v>230</v>
      </c>
      <c r="V16" s="12">
        <v>414</v>
      </c>
      <c r="W16" s="12">
        <v>210</v>
      </c>
      <c r="X16" s="12">
        <v>249</v>
      </c>
      <c r="Y16" s="12">
        <v>330</v>
      </c>
      <c r="Z16" s="12">
        <v>383</v>
      </c>
      <c r="AA16" s="12">
        <v>253</v>
      </c>
      <c r="AB16" s="12">
        <v>339</v>
      </c>
      <c r="AC16" s="12">
        <v>399</v>
      </c>
      <c r="AD16" s="12">
        <v>437</v>
      </c>
      <c r="AE16" s="12">
        <v>547</v>
      </c>
      <c r="AF16" s="12">
        <v>221</v>
      </c>
    </row>
    <row r="17" spans="1:32">
      <c r="A17" s="19"/>
      <c r="B17" s="13" t="s">
        <v>1156</v>
      </c>
      <c r="C17" s="14">
        <v>0.28000000000000003</v>
      </c>
      <c r="D17" s="14">
        <v>0.41</v>
      </c>
      <c r="E17" s="14">
        <v>0.26</v>
      </c>
      <c r="F17" s="14">
        <v>0.41</v>
      </c>
      <c r="G17" s="14">
        <v>0.34</v>
      </c>
      <c r="H17" s="14">
        <v>0.24</v>
      </c>
      <c r="I17" s="14">
        <v>0.24</v>
      </c>
      <c r="J17" s="14">
        <v>0.26</v>
      </c>
      <c r="K17" s="14">
        <v>0.47</v>
      </c>
      <c r="L17" s="14">
        <v>0.36</v>
      </c>
      <c r="M17" s="14">
        <v>0.33</v>
      </c>
      <c r="N17" s="14">
        <v>0.32</v>
      </c>
      <c r="O17" s="14">
        <v>0.16</v>
      </c>
      <c r="P17" s="14">
        <v>0.38</v>
      </c>
      <c r="Q17" s="14">
        <v>0.21</v>
      </c>
      <c r="R17" s="14">
        <v>0.37</v>
      </c>
      <c r="S17" s="14">
        <v>0.43</v>
      </c>
      <c r="T17" s="14">
        <v>0.41</v>
      </c>
      <c r="U17" s="14">
        <v>0.45</v>
      </c>
      <c r="V17" s="14">
        <v>0.4</v>
      </c>
      <c r="W17" s="14">
        <v>0.42</v>
      </c>
      <c r="X17" s="14">
        <v>0.25</v>
      </c>
      <c r="Y17" s="14">
        <v>0.33</v>
      </c>
      <c r="Z17" s="14">
        <v>0.38</v>
      </c>
      <c r="AA17" s="14">
        <v>0.24</v>
      </c>
      <c r="AB17" s="14">
        <v>0.32</v>
      </c>
      <c r="AC17" s="14">
        <v>0.4</v>
      </c>
      <c r="AD17" s="14">
        <v>0.44</v>
      </c>
      <c r="AE17" s="14">
        <v>0.55000000000000004</v>
      </c>
      <c r="AF17" s="14">
        <v>0.21</v>
      </c>
    </row>
    <row r="18" spans="1:32">
      <c r="A18" s="19"/>
      <c r="B18" s="11" t="s">
        <v>1157</v>
      </c>
      <c r="C18" s="12">
        <v>3336</v>
      </c>
      <c r="D18" s="12">
        <v>61</v>
      </c>
      <c r="E18" s="12">
        <v>368</v>
      </c>
      <c r="F18" s="12">
        <v>322</v>
      </c>
      <c r="G18" s="12">
        <v>87</v>
      </c>
      <c r="H18" s="12">
        <v>15</v>
      </c>
      <c r="I18" s="12">
        <v>27</v>
      </c>
      <c r="J18" s="12">
        <v>12</v>
      </c>
      <c r="K18" s="12">
        <v>346</v>
      </c>
      <c r="L18" s="12">
        <v>171</v>
      </c>
      <c r="M18" s="12">
        <v>396</v>
      </c>
      <c r="N18" s="12">
        <v>284</v>
      </c>
      <c r="O18" s="12">
        <v>39</v>
      </c>
      <c r="P18" s="12">
        <v>254</v>
      </c>
      <c r="Q18" s="12">
        <v>45</v>
      </c>
      <c r="R18" s="12">
        <v>136</v>
      </c>
      <c r="S18" s="12">
        <v>294</v>
      </c>
      <c r="T18" s="12">
        <v>190</v>
      </c>
      <c r="U18" s="12">
        <v>79</v>
      </c>
      <c r="V18" s="12">
        <v>172</v>
      </c>
      <c r="W18" s="12">
        <v>168</v>
      </c>
      <c r="X18" s="12">
        <v>29</v>
      </c>
      <c r="Y18" s="12">
        <v>64</v>
      </c>
      <c r="Z18" s="12">
        <v>124</v>
      </c>
      <c r="AA18" s="12">
        <v>359</v>
      </c>
      <c r="AB18" s="12">
        <v>362</v>
      </c>
      <c r="AC18" s="12">
        <v>321</v>
      </c>
      <c r="AD18" s="12">
        <v>258</v>
      </c>
      <c r="AE18" s="12">
        <v>235</v>
      </c>
      <c r="AF18" s="12">
        <v>42</v>
      </c>
    </row>
    <row r="19" spans="1:32">
      <c r="A19" s="19"/>
      <c r="B19" s="13" t="s">
        <v>1158</v>
      </c>
      <c r="C19" s="14">
        <v>0.13</v>
      </c>
      <c r="D19" s="14">
        <v>0.06</v>
      </c>
      <c r="E19" s="14">
        <v>0.35</v>
      </c>
      <c r="F19" s="14">
        <v>0.3</v>
      </c>
      <c r="G19" s="14">
        <v>0.09</v>
      </c>
      <c r="H19" s="14">
        <v>0.01</v>
      </c>
      <c r="I19" s="14">
        <v>0.02</v>
      </c>
      <c r="J19" s="14">
        <v>0.04</v>
      </c>
      <c r="K19" s="14">
        <v>0.34</v>
      </c>
      <c r="L19" s="14">
        <v>0.17</v>
      </c>
      <c r="M19" s="14">
        <v>0.39</v>
      </c>
      <c r="N19" s="14">
        <v>0.28000000000000003</v>
      </c>
      <c r="O19" s="14">
        <v>0.04</v>
      </c>
      <c r="P19" s="14">
        <v>0.25</v>
      </c>
      <c r="Q19" s="14">
        <v>0.04</v>
      </c>
      <c r="R19" s="14">
        <v>0.27</v>
      </c>
      <c r="S19" s="14">
        <v>0.28999999999999998</v>
      </c>
      <c r="T19" s="14">
        <v>0.19</v>
      </c>
      <c r="U19" s="14">
        <v>0.16</v>
      </c>
      <c r="V19" s="14">
        <v>0.17</v>
      </c>
      <c r="W19" s="14">
        <v>0.33</v>
      </c>
      <c r="X19" s="14">
        <v>0.03</v>
      </c>
      <c r="Y19" s="14">
        <v>0.06</v>
      </c>
      <c r="Z19" s="14">
        <v>0.12</v>
      </c>
      <c r="AA19" s="14">
        <v>0.35</v>
      </c>
      <c r="AB19" s="14">
        <v>0.35</v>
      </c>
      <c r="AC19" s="14">
        <v>0.32</v>
      </c>
      <c r="AD19" s="14">
        <v>0.26</v>
      </c>
      <c r="AE19" s="14">
        <v>0.23</v>
      </c>
      <c r="AF19" s="14">
        <v>0.04</v>
      </c>
    </row>
    <row r="20" spans="1:32">
      <c r="A20" s="19"/>
      <c r="B20" s="11" t="s">
        <v>386</v>
      </c>
      <c r="C20" s="12">
        <v>1124</v>
      </c>
      <c r="D20" s="12">
        <v>19</v>
      </c>
      <c r="E20" s="12">
        <v>142</v>
      </c>
      <c r="F20" s="12">
        <v>49</v>
      </c>
      <c r="G20" s="12">
        <v>36</v>
      </c>
      <c r="H20" s="12">
        <v>35</v>
      </c>
      <c r="I20" s="12">
        <v>43</v>
      </c>
      <c r="J20" s="12">
        <v>8</v>
      </c>
      <c r="K20" s="12">
        <v>96</v>
      </c>
      <c r="L20" s="12">
        <v>59</v>
      </c>
      <c r="M20" s="12">
        <v>41</v>
      </c>
      <c r="N20" s="12">
        <v>68</v>
      </c>
      <c r="O20" s="12">
        <v>60</v>
      </c>
      <c r="P20" s="12">
        <v>32</v>
      </c>
      <c r="Q20" s="12">
        <v>23</v>
      </c>
      <c r="R20" s="12">
        <v>43</v>
      </c>
      <c r="S20" s="12">
        <v>89</v>
      </c>
      <c r="T20" s="12">
        <v>54</v>
      </c>
      <c r="U20" s="12">
        <v>33</v>
      </c>
      <c r="V20" s="12">
        <v>25</v>
      </c>
      <c r="W20" s="12">
        <v>18</v>
      </c>
      <c r="X20" s="12">
        <v>13</v>
      </c>
      <c r="Y20" s="12">
        <v>44</v>
      </c>
      <c r="Z20" s="12">
        <v>38</v>
      </c>
      <c r="AA20" s="12">
        <v>84</v>
      </c>
      <c r="AB20" s="12">
        <v>49</v>
      </c>
      <c r="AC20" s="12">
        <v>57</v>
      </c>
      <c r="AD20" s="12">
        <v>41</v>
      </c>
      <c r="AE20" s="12">
        <v>58</v>
      </c>
      <c r="AF20" s="12">
        <v>16</v>
      </c>
    </row>
    <row r="21" spans="1:32">
      <c r="A21" s="19"/>
      <c r="B21" s="13" t="s">
        <v>399</v>
      </c>
      <c r="C21" s="14">
        <v>0.04</v>
      </c>
      <c r="D21" s="14">
        <v>0.02</v>
      </c>
      <c r="E21" s="14">
        <v>0.14000000000000001</v>
      </c>
      <c r="F21" s="14">
        <v>0.05</v>
      </c>
      <c r="G21" s="14">
        <v>0.03</v>
      </c>
      <c r="H21" s="14">
        <v>0.03</v>
      </c>
      <c r="I21" s="14">
        <v>0.03</v>
      </c>
      <c r="J21" s="14">
        <v>0.03</v>
      </c>
      <c r="K21" s="14">
        <v>0.1</v>
      </c>
      <c r="L21" s="14">
        <v>0.06</v>
      </c>
      <c r="M21" s="14">
        <v>0.04</v>
      </c>
      <c r="N21" s="14">
        <v>7.0000000000000007E-2</v>
      </c>
      <c r="O21" s="14">
        <v>0.06</v>
      </c>
      <c r="P21" s="14">
        <v>0.03</v>
      </c>
      <c r="Q21" s="14">
        <v>0.02</v>
      </c>
      <c r="R21" s="14">
        <v>0.09</v>
      </c>
      <c r="S21" s="14">
        <v>0.09</v>
      </c>
      <c r="T21" s="14">
        <v>0.05</v>
      </c>
      <c r="U21" s="14">
        <v>7.0000000000000007E-2</v>
      </c>
      <c r="V21" s="14">
        <v>0.03</v>
      </c>
      <c r="W21" s="14">
        <v>0.04</v>
      </c>
      <c r="X21" s="14">
        <v>0.01</v>
      </c>
      <c r="Y21" s="14">
        <v>0.04</v>
      </c>
      <c r="Z21" s="14">
        <v>0.04</v>
      </c>
      <c r="AA21" s="14">
        <v>0.08</v>
      </c>
      <c r="AB21" s="14">
        <v>0.05</v>
      </c>
      <c r="AC21" s="14">
        <v>0.06</v>
      </c>
      <c r="AD21" s="14">
        <v>0.04</v>
      </c>
      <c r="AE21" s="14">
        <v>0.06</v>
      </c>
      <c r="AF21" s="14">
        <v>0.02</v>
      </c>
    </row>
    <row r="22" spans="1:32">
      <c r="A22" s="19"/>
      <c r="B22" s="11" t="s">
        <v>1159</v>
      </c>
      <c r="C22" s="12">
        <v>14623</v>
      </c>
      <c r="D22" s="12">
        <v>518</v>
      </c>
      <c r="E22" s="12">
        <v>265</v>
      </c>
      <c r="F22" s="12">
        <v>253</v>
      </c>
      <c r="G22" s="12">
        <v>547</v>
      </c>
      <c r="H22" s="12">
        <v>882</v>
      </c>
      <c r="I22" s="12">
        <v>1082</v>
      </c>
      <c r="J22" s="12">
        <v>199</v>
      </c>
      <c r="K22" s="12">
        <v>87</v>
      </c>
      <c r="L22" s="12">
        <v>412</v>
      </c>
      <c r="M22" s="12">
        <v>234</v>
      </c>
      <c r="N22" s="12">
        <v>333</v>
      </c>
      <c r="O22" s="12">
        <v>749</v>
      </c>
      <c r="P22" s="12">
        <v>339</v>
      </c>
      <c r="Q22" s="12">
        <v>748</v>
      </c>
      <c r="R22" s="12">
        <v>139</v>
      </c>
      <c r="S22" s="12">
        <v>187</v>
      </c>
      <c r="T22" s="12">
        <v>360</v>
      </c>
      <c r="U22" s="12">
        <v>166</v>
      </c>
      <c r="V22" s="12">
        <v>416</v>
      </c>
      <c r="W22" s="12">
        <v>106</v>
      </c>
      <c r="X22" s="12">
        <v>719</v>
      </c>
      <c r="Y22" s="12">
        <v>565</v>
      </c>
      <c r="Z22" s="12">
        <v>471</v>
      </c>
      <c r="AA22" s="12">
        <v>341</v>
      </c>
      <c r="AB22" s="12">
        <v>291</v>
      </c>
      <c r="AC22" s="12">
        <v>228</v>
      </c>
      <c r="AD22" s="12">
        <v>267</v>
      </c>
      <c r="AE22" s="12">
        <v>161</v>
      </c>
      <c r="AF22" s="12">
        <v>753</v>
      </c>
    </row>
    <row r="23" spans="1:32">
      <c r="A23" s="19"/>
      <c r="B23" s="13" t="s">
        <v>1160</v>
      </c>
      <c r="C23" s="14">
        <v>0.55000000000000004</v>
      </c>
      <c r="D23" s="14">
        <v>0.51</v>
      </c>
      <c r="E23" s="14">
        <v>0.25</v>
      </c>
      <c r="F23" s="14">
        <v>0.24</v>
      </c>
      <c r="G23" s="14">
        <v>0.54</v>
      </c>
      <c r="H23" s="14">
        <v>0.72</v>
      </c>
      <c r="I23" s="14">
        <v>0.71</v>
      </c>
      <c r="J23" s="14">
        <v>0.67</v>
      </c>
      <c r="K23" s="14">
        <v>0.09</v>
      </c>
      <c r="L23" s="14">
        <v>0.41</v>
      </c>
      <c r="M23" s="14">
        <v>0.24</v>
      </c>
      <c r="N23" s="14">
        <v>0.33</v>
      </c>
      <c r="O23" s="14">
        <v>0.74</v>
      </c>
      <c r="P23" s="14">
        <v>0.34</v>
      </c>
      <c r="Q23" s="14">
        <v>0.73</v>
      </c>
      <c r="R23" s="14">
        <v>0.27</v>
      </c>
      <c r="S23" s="14">
        <v>0.19</v>
      </c>
      <c r="T23" s="14">
        <v>0.35</v>
      </c>
      <c r="U23" s="14">
        <v>0.32</v>
      </c>
      <c r="V23" s="14">
        <v>0.4</v>
      </c>
      <c r="W23" s="14">
        <v>0.21</v>
      </c>
      <c r="X23" s="14">
        <v>0.71</v>
      </c>
      <c r="Y23" s="14">
        <v>0.57000000000000006</v>
      </c>
      <c r="Z23" s="14">
        <v>0.46</v>
      </c>
      <c r="AA23" s="14">
        <v>0.33</v>
      </c>
      <c r="AB23" s="14">
        <v>0.28000000000000003</v>
      </c>
      <c r="AC23" s="14">
        <v>0.22</v>
      </c>
      <c r="AD23" s="14">
        <v>0.26</v>
      </c>
      <c r="AE23" s="14">
        <v>0.16</v>
      </c>
      <c r="AF23" s="14">
        <v>0.73</v>
      </c>
    </row>
    <row r="24" spans="1:32">
      <c r="A24" s="19"/>
      <c r="B24" s="11" t="s">
        <v>1161</v>
      </c>
      <c r="C24" s="12">
        <v>10705</v>
      </c>
      <c r="D24" s="12">
        <v>484</v>
      </c>
      <c r="E24" s="12">
        <v>640</v>
      </c>
      <c r="F24" s="12">
        <v>761</v>
      </c>
      <c r="G24" s="12">
        <v>434</v>
      </c>
      <c r="H24" s="12">
        <v>311</v>
      </c>
      <c r="I24" s="12">
        <v>402</v>
      </c>
      <c r="J24" s="12">
        <v>90</v>
      </c>
      <c r="K24" s="12">
        <v>823</v>
      </c>
      <c r="L24" s="12">
        <v>536</v>
      </c>
      <c r="M24" s="12">
        <v>733</v>
      </c>
      <c r="N24" s="12">
        <v>611</v>
      </c>
      <c r="O24" s="12">
        <v>195</v>
      </c>
      <c r="P24" s="12">
        <v>632</v>
      </c>
      <c r="Q24" s="12">
        <v>261</v>
      </c>
      <c r="R24" s="12">
        <v>319</v>
      </c>
      <c r="S24" s="12">
        <v>728</v>
      </c>
      <c r="T24" s="12">
        <v>608</v>
      </c>
      <c r="U24" s="12">
        <v>309</v>
      </c>
      <c r="V24" s="12">
        <v>586</v>
      </c>
      <c r="W24" s="12">
        <v>378</v>
      </c>
      <c r="X24" s="12">
        <v>278</v>
      </c>
      <c r="Y24" s="12">
        <v>394</v>
      </c>
      <c r="Z24" s="12">
        <v>507</v>
      </c>
      <c r="AA24" s="12">
        <v>612</v>
      </c>
      <c r="AB24" s="12">
        <v>701</v>
      </c>
      <c r="AC24" s="12">
        <v>720</v>
      </c>
      <c r="AD24" s="12">
        <v>695</v>
      </c>
      <c r="AE24" s="12">
        <v>782</v>
      </c>
      <c r="AF24" s="12">
        <v>263</v>
      </c>
    </row>
    <row r="25" spans="1:32">
      <c r="A25" s="19"/>
      <c r="B25" s="13" t="s">
        <v>1162</v>
      </c>
      <c r="C25" s="14">
        <v>0.41</v>
      </c>
      <c r="D25" s="14">
        <v>0.47</v>
      </c>
      <c r="E25" s="14">
        <v>0.61</v>
      </c>
      <c r="F25" s="14">
        <v>0.71</v>
      </c>
      <c r="G25" s="14">
        <v>0.43</v>
      </c>
      <c r="H25" s="14">
        <v>0.25</v>
      </c>
      <c r="I25" s="14">
        <v>0.26</v>
      </c>
      <c r="J25" s="14">
        <v>0.3</v>
      </c>
      <c r="K25" s="14">
        <v>0.81</v>
      </c>
      <c r="L25" s="14">
        <v>0.53</v>
      </c>
      <c r="M25" s="14">
        <v>0.72</v>
      </c>
      <c r="N25" s="14">
        <v>0.6</v>
      </c>
      <c r="O25" s="14">
        <v>0.2</v>
      </c>
      <c r="P25" s="14">
        <v>0.63</v>
      </c>
      <c r="Q25" s="14">
        <v>0.25</v>
      </c>
      <c r="R25" s="14">
        <v>0.64</v>
      </c>
      <c r="S25" s="14">
        <v>0.72</v>
      </c>
      <c r="T25" s="14">
        <v>0.6</v>
      </c>
      <c r="U25" s="14">
        <v>0.61</v>
      </c>
      <c r="V25" s="14">
        <v>0.57000000000000006</v>
      </c>
      <c r="W25" s="14">
        <v>0.75</v>
      </c>
      <c r="X25" s="14">
        <v>0.28000000000000003</v>
      </c>
      <c r="Y25" s="14">
        <v>0.39</v>
      </c>
      <c r="Z25" s="14">
        <v>0.5</v>
      </c>
      <c r="AA25" s="14">
        <v>0.59</v>
      </c>
      <c r="AB25" s="14">
        <v>0.67</v>
      </c>
      <c r="AC25" s="14">
        <v>0.72</v>
      </c>
      <c r="AD25" s="14">
        <v>0.70000000000000007</v>
      </c>
      <c r="AE25" s="14">
        <v>0.78</v>
      </c>
      <c r="AF25" s="14">
        <v>0.25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229</v>
      </c>
      <c r="C3" s="17"/>
      <c r="D3" s="17"/>
      <c r="E3" s="17"/>
      <c r="F3" s="17"/>
      <c r="H3" s="17" t="s">
        <v>230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1163</v>
      </c>
      <c r="C12" s="12">
        <v>12514</v>
      </c>
      <c r="D12" s="12">
        <v>555</v>
      </c>
      <c r="E12" s="12">
        <v>100</v>
      </c>
      <c r="F12" s="12">
        <v>130</v>
      </c>
      <c r="G12" s="12">
        <v>701</v>
      </c>
      <c r="H12" s="12">
        <v>840</v>
      </c>
      <c r="I12" s="12">
        <v>1025</v>
      </c>
      <c r="J12" s="12">
        <v>185</v>
      </c>
      <c r="K12" s="12">
        <v>123</v>
      </c>
      <c r="L12" s="12">
        <v>475</v>
      </c>
      <c r="M12" s="12">
        <v>219</v>
      </c>
      <c r="N12" s="12">
        <v>408</v>
      </c>
      <c r="O12" s="12">
        <v>632</v>
      </c>
      <c r="P12" s="12">
        <v>206</v>
      </c>
      <c r="Q12" s="12">
        <v>548</v>
      </c>
      <c r="R12" s="12">
        <v>199</v>
      </c>
      <c r="S12" s="12">
        <v>154</v>
      </c>
      <c r="T12" s="12">
        <v>143</v>
      </c>
      <c r="U12" s="12">
        <v>210</v>
      </c>
      <c r="V12" s="12">
        <v>133</v>
      </c>
      <c r="W12" s="12">
        <v>149</v>
      </c>
      <c r="X12" s="12">
        <v>791</v>
      </c>
      <c r="Y12" s="12">
        <v>499</v>
      </c>
      <c r="Z12" s="12">
        <v>205</v>
      </c>
      <c r="AA12" s="12">
        <v>214</v>
      </c>
      <c r="AB12" s="12">
        <v>133</v>
      </c>
      <c r="AC12" s="12">
        <v>255</v>
      </c>
      <c r="AD12" s="12">
        <v>174</v>
      </c>
      <c r="AE12" s="12">
        <v>366</v>
      </c>
      <c r="AF12" s="12">
        <v>730</v>
      </c>
    </row>
    <row r="13" spans="1:32">
      <c r="A13" s="19"/>
      <c r="B13" s="13" t="s">
        <v>1164</v>
      </c>
      <c r="C13" s="14">
        <v>0.47</v>
      </c>
      <c r="D13" s="14">
        <v>0.54</v>
      </c>
      <c r="E13" s="14">
        <v>0.1</v>
      </c>
      <c r="F13" s="14">
        <v>0.12</v>
      </c>
      <c r="G13" s="14">
        <v>0.69000000000000006</v>
      </c>
      <c r="H13" s="14">
        <v>0.68</v>
      </c>
      <c r="I13" s="14">
        <v>0.67</v>
      </c>
      <c r="J13" s="14">
        <v>0.62</v>
      </c>
      <c r="K13" s="14">
        <v>0.12</v>
      </c>
      <c r="L13" s="14">
        <v>0.47</v>
      </c>
      <c r="M13" s="14">
        <v>0.22</v>
      </c>
      <c r="N13" s="14">
        <v>0.4</v>
      </c>
      <c r="O13" s="14">
        <v>0.63</v>
      </c>
      <c r="P13" s="14">
        <v>0.2</v>
      </c>
      <c r="Q13" s="14">
        <v>0.53</v>
      </c>
      <c r="R13" s="14">
        <v>0.4</v>
      </c>
      <c r="S13" s="14">
        <v>0.15</v>
      </c>
      <c r="T13" s="14">
        <v>0.14000000000000001</v>
      </c>
      <c r="U13" s="14">
        <v>0.41</v>
      </c>
      <c r="V13" s="14">
        <v>0.13</v>
      </c>
      <c r="W13" s="14">
        <v>0.3</v>
      </c>
      <c r="X13" s="14">
        <v>0.78</v>
      </c>
      <c r="Y13" s="14">
        <v>0.5</v>
      </c>
      <c r="Z13" s="14">
        <v>0.2</v>
      </c>
      <c r="AA13" s="14">
        <v>0.21</v>
      </c>
      <c r="AB13" s="14">
        <v>0.13</v>
      </c>
      <c r="AC13" s="14">
        <v>0.25</v>
      </c>
      <c r="AD13" s="14">
        <v>0.17</v>
      </c>
      <c r="AE13" s="14">
        <v>0.37</v>
      </c>
      <c r="AF13" s="14">
        <v>0.71</v>
      </c>
    </row>
    <row r="14" spans="1:32">
      <c r="A14" s="19"/>
      <c r="B14" s="11" t="s">
        <v>1165</v>
      </c>
      <c r="C14" s="12">
        <v>2311</v>
      </c>
      <c r="D14" s="12">
        <v>100</v>
      </c>
      <c r="E14" s="12">
        <v>172</v>
      </c>
      <c r="F14" s="12">
        <v>153</v>
      </c>
      <c r="G14" s="12">
        <v>42</v>
      </c>
      <c r="H14" s="12">
        <v>30</v>
      </c>
      <c r="I14" s="12">
        <v>38</v>
      </c>
      <c r="J14" s="12">
        <v>8</v>
      </c>
      <c r="K14" s="12">
        <v>129</v>
      </c>
      <c r="L14" s="12">
        <v>43</v>
      </c>
      <c r="M14" s="12">
        <v>75</v>
      </c>
      <c r="N14" s="12">
        <v>50</v>
      </c>
      <c r="O14" s="12">
        <v>21</v>
      </c>
      <c r="P14" s="12">
        <v>176</v>
      </c>
      <c r="Q14" s="12">
        <v>131</v>
      </c>
      <c r="R14" s="12">
        <v>13</v>
      </c>
      <c r="S14" s="12">
        <v>143</v>
      </c>
      <c r="T14" s="12">
        <v>183</v>
      </c>
      <c r="U14" s="12">
        <v>32</v>
      </c>
      <c r="V14" s="12">
        <v>221</v>
      </c>
      <c r="W14" s="12">
        <v>131</v>
      </c>
      <c r="X14" s="12">
        <v>44</v>
      </c>
      <c r="Y14" s="12">
        <v>85</v>
      </c>
      <c r="Z14" s="12">
        <v>236</v>
      </c>
      <c r="AA14" s="12">
        <v>24</v>
      </c>
      <c r="AB14" s="12">
        <v>269</v>
      </c>
      <c r="AC14" s="12">
        <v>61</v>
      </c>
      <c r="AD14" s="12">
        <v>189</v>
      </c>
      <c r="AE14" s="12">
        <v>29</v>
      </c>
      <c r="AF14" s="12">
        <v>31</v>
      </c>
    </row>
    <row r="15" spans="1:32">
      <c r="A15" s="19"/>
      <c r="B15" s="13" t="s">
        <v>1166</v>
      </c>
      <c r="C15" s="14">
        <v>0.09</v>
      </c>
      <c r="D15" s="14">
        <v>0.1</v>
      </c>
      <c r="E15" s="14">
        <v>0.16</v>
      </c>
      <c r="F15" s="14">
        <v>0.15</v>
      </c>
      <c r="G15" s="14">
        <v>0.04</v>
      </c>
      <c r="H15" s="14">
        <v>0.02</v>
      </c>
      <c r="I15" s="14">
        <v>0.03</v>
      </c>
      <c r="J15" s="14">
        <v>0.03</v>
      </c>
      <c r="K15" s="14">
        <v>0.13</v>
      </c>
      <c r="L15" s="14">
        <v>0.04</v>
      </c>
      <c r="M15" s="14">
        <v>7.0000000000000007E-2</v>
      </c>
      <c r="N15" s="14">
        <v>0.05</v>
      </c>
      <c r="O15" s="14">
        <v>0.02</v>
      </c>
      <c r="P15" s="14">
        <v>0.18</v>
      </c>
      <c r="Q15" s="14">
        <v>0.13</v>
      </c>
      <c r="R15" s="14">
        <v>0.02</v>
      </c>
      <c r="S15" s="14">
        <v>0.14000000000000001</v>
      </c>
      <c r="T15" s="14">
        <v>0.18</v>
      </c>
      <c r="U15" s="14">
        <v>0.06</v>
      </c>
      <c r="V15" s="14">
        <v>0.21</v>
      </c>
      <c r="W15" s="14">
        <v>0.26</v>
      </c>
      <c r="X15" s="14">
        <v>0.05</v>
      </c>
      <c r="Y15" s="14">
        <v>0.08</v>
      </c>
      <c r="Z15" s="14">
        <v>0.23</v>
      </c>
      <c r="AA15" s="14">
        <v>0.02</v>
      </c>
      <c r="AB15" s="14">
        <v>0.26</v>
      </c>
      <c r="AC15" s="14">
        <v>0.06</v>
      </c>
      <c r="AD15" s="14">
        <v>0.19</v>
      </c>
      <c r="AE15" s="14">
        <v>0.03</v>
      </c>
      <c r="AF15" s="14">
        <v>0.03</v>
      </c>
    </row>
    <row r="16" spans="1:32">
      <c r="A16" s="19"/>
      <c r="B16" s="11" t="s">
        <v>1167</v>
      </c>
      <c r="C16" s="12">
        <v>9869</v>
      </c>
      <c r="D16" s="12">
        <v>337</v>
      </c>
      <c r="E16" s="12">
        <v>490</v>
      </c>
      <c r="F16" s="12">
        <v>674</v>
      </c>
      <c r="G16" s="12">
        <v>224</v>
      </c>
      <c r="H16" s="12">
        <v>327</v>
      </c>
      <c r="I16" s="12">
        <v>426</v>
      </c>
      <c r="J16" s="12">
        <v>99</v>
      </c>
      <c r="K16" s="12">
        <v>530</v>
      </c>
      <c r="L16" s="12">
        <v>389</v>
      </c>
      <c r="M16" s="12">
        <v>600</v>
      </c>
      <c r="N16" s="12">
        <v>461</v>
      </c>
      <c r="O16" s="12">
        <v>265</v>
      </c>
      <c r="P16" s="12">
        <v>572</v>
      </c>
      <c r="Q16" s="12">
        <v>311</v>
      </c>
      <c r="R16" s="12">
        <v>225</v>
      </c>
      <c r="S16" s="12">
        <v>496</v>
      </c>
      <c r="T16" s="12">
        <v>587</v>
      </c>
      <c r="U16" s="12">
        <v>176</v>
      </c>
      <c r="V16" s="12">
        <v>635</v>
      </c>
      <c r="W16" s="12">
        <v>178</v>
      </c>
      <c r="X16" s="12">
        <v>163</v>
      </c>
      <c r="Y16" s="12">
        <v>352</v>
      </c>
      <c r="Z16" s="12">
        <v>511</v>
      </c>
      <c r="AA16" s="12">
        <v>597</v>
      </c>
      <c r="AB16" s="12">
        <v>567</v>
      </c>
      <c r="AC16" s="12">
        <v>617</v>
      </c>
      <c r="AD16" s="12">
        <v>565</v>
      </c>
      <c r="AE16" s="12">
        <v>471</v>
      </c>
      <c r="AF16" s="12">
        <v>237</v>
      </c>
    </row>
    <row r="17" spans="1:32">
      <c r="A17" s="19"/>
      <c r="B17" s="13" t="s">
        <v>1168</v>
      </c>
      <c r="C17" s="14">
        <v>0.37</v>
      </c>
      <c r="D17" s="14">
        <v>0.33</v>
      </c>
      <c r="E17" s="14">
        <v>0.47</v>
      </c>
      <c r="F17" s="14">
        <v>0.63</v>
      </c>
      <c r="G17" s="14">
        <v>0.22</v>
      </c>
      <c r="H17" s="14">
        <v>0.27</v>
      </c>
      <c r="I17" s="14">
        <v>0.28000000000000003</v>
      </c>
      <c r="J17" s="14">
        <v>0.33</v>
      </c>
      <c r="K17" s="14">
        <v>0.53</v>
      </c>
      <c r="L17" s="14">
        <v>0.39</v>
      </c>
      <c r="M17" s="14">
        <v>0.6</v>
      </c>
      <c r="N17" s="14">
        <v>0.46</v>
      </c>
      <c r="O17" s="14">
        <v>0.26</v>
      </c>
      <c r="P17" s="14">
        <v>0.57000000000000006</v>
      </c>
      <c r="Q17" s="14">
        <v>0.3</v>
      </c>
      <c r="R17" s="14">
        <v>0.45</v>
      </c>
      <c r="S17" s="14">
        <v>0.5</v>
      </c>
      <c r="T17" s="14">
        <v>0.57000000000000006</v>
      </c>
      <c r="U17" s="14">
        <v>0.35</v>
      </c>
      <c r="V17" s="14">
        <v>0.62</v>
      </c>
      <c r="W17" s="14">
        <v>0.35</v>
      </c>
      <c r="X17" s="14">
        <v>0.16</v>
      </c>
      <c r="Y17" s="14">
        <v>0.35</v>
      </c>
      <c r="Z17" s="14">
        <v>0.5</v>
      </c>
      <c r="AA17" s="14">
        <v>0.57999999999999996</v>
      </c>
      <c r="AB17" s="14">
        <v>0.54</v>
      </c>
      <c r="AC17" s="14">
        <v>0.62</v>
      </c>
      <c r="AD17" s="14">
        <v>0.56000000000000005</v>
      </c>
      <c r="AE17" s="14">
        <v>0.47</v>
      </c>
      <c r="AF17" s="14">
        <v>0.23</v>
      </c>
    </row>
    <row r="18" spans="1:32">
      <c r="A18" s="19"/>
      <c r="B18" s="11" t="s">
        <v>386</v>
      </c>
      <c r="C18" s="12">
        <v>1760</v>
      </c>
      <c r="D18" s="12">
        <v>29</v>
      </c>
      <c r="E18" s="12">
        <v>284</v>
      </c>
      <c r="F18" s="12">
        <v>107</v>
      </c>
      <c r="G18" s="12">
        <v>49</v>
      </c>
      <c r="H18" s="12">
        <v>33</v>
      </c>
      <c r="I18" s="12">
        <v>38</v>
      </c>
      <c r="J18" s="12">
        <v>5</v>
      </c>
      <c r="K18" s="12">
        <v>223</v>
      </c>
      <c r="L18" s="12">
        <v>100</v>
      </c>
      <c r="M18" s="12">
        <v>113</v>
      </c>
      <c r="N18" s="12">
        <v>91</v>
      </c>
      <c r="O18" s="12">
        <v>86</v>
      </c>
      <c r="P18" s="12">
        <v>48</v>
      </c>
      <c r="Q18" s="12">
        <v>42</v>
      </c>
      <c r="R18" s="12">
        <v>65</v>
      </c>
      <c r="S18" s="12">
        <v>211</v>
      </c>
      <c r="T18" s="12">
        <v>110</v>
      </c>
      <c r="U18" s="12">
        <v>90</v>
      </c>
      <c r="V18" s="12">
        <v>37</v>
      </c>
      <c r="W18" s="12">
        <v>43</v>
      </c>
      <c r="X18" s="12">
        <v>12</v>
      </c>
      <c r="Y18" s="12">
        <v>67</v>
      </c>
      <c r="Z18" s="12">
        <v>64</v>
      </c>
      <c r="AA18" s="12">
        <v>202</v>
      </c>
      <c r="AB18" s="12">
        <v>72</v>
      </c>
      <c r="AC18" s="12">
        <v>72</v>
      </c>
      <c r="AD18" s="12">
        <v>75</v>
      </c>
      <c r="AE18" s="12">
        <v>135</v>
      </c>
      <c r="AF18" s="12">
        <v>33</v>
      </c>
    </row>
    <row r="19" spans="1:32">
      <c r="A19" s="19"/>
      <c r="B19" s="13" t="s">
        <v>399</v>
      </c>
      <c r="C19" s="14">
        <v>7.0000000000000007E-2</v>
      </c>
      <c r="D19" s="14">
        <v>0.03</v>
      </c>
      <c r="E19" s="14">
        <v>0.27</v>
      </c>
      <c r="F19" s="14">
        <v>0.1</v>
      </c>
      <c r="G19" s="14">
        <v>0.05</v>
      </c>
      <c r="H19" s="14">
        <v>0.03</v>
      </c>
      <c r="I19" s="14">
        <v>0.02</v>
      </c>
      <c r="J19" s="14">
        <v>0.02</v>
      </c>
      <c r="K19" s="14">
        <v>0.22</v>
      </c>
      <c r="L19" s="14">
        <v>0.1</v>
      </c>
      <c r="M19" s="14">
        <v>0.11</v>
      </c>
      <c r="N19" s="14">
        <v>0.09</v>
      </c>
      <c r="O19" s="14">
        <v>0.09</v>
      </c>
      <c r="P19" s="14">
        <v>0.05</v>
      </c>
      <c r="Q19" s="14">
        <v>0.04</v>
      </c>
      <c r="R19" s="14">
        <v>0.13</v>
      </c>
      <c r="S19" s="14">
        <v>0.21</v>
      </c>
      <c r="T19" s="14">
        <v>0.11</v>
      </c>
      <c r="U19" s="14">
        <v>0.18</v>
      </c>
      <c r="V19" s="14">
        <v>0.04</v>
      </c>
      <c r="W19" s="14">
        <v>0.09</v>
      </c>
      <c r="X19" s="14">
        <v>0.01</v>
      </c>
      <c r="Y19" s="14">
        <v>7.0000000000000007E-2</v>
      </c>
      <c r="Z19" s="14">
        <v>7.0000000000000007E-2</v>
      </c>
      <c r="AA19" s="14">
        <v>0.19</v>
      </c>
      <c r="AB19" s="14">
        <v>7.0000000000000007E-2</v>
      </c>
      <c r="AC19" s="14">
        <v>7.0000000000000007E-2</v>
      </c>
      <c r="AD19" s="14">
        <v>0.08</v>
      </c>
      <c r="AE19" s="14">
        <v>0.13</v>
      </c>
      <c r="AF19" s="14">
        <v>0.03</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1169</v>
      </c>
      <c r="C3" s="17"/>
      <c r="D3" s="17"/>
      <c r="E3" s="17"/>
      <c r="F3" s="17"/>
      <c r="H3" s="17" t="s">
        <v>1170</v>
      </c>
      <c r="I3" s="17"/>
      <c r="J3" s="17"/>
      <c r="K3" s="17"/>
      <c r="L3" s="17"/>
    </row>
    <row r="4" spans="1:32" ht="27" customHeight="1">
      <c r="B4" s="17" t="s">
        <v>1171</v>
      </c>
      <c r="C4" s="17"/>
      <c r="D4" s="17"/>
      <c r="E4" s="17"/>
      <c r="F4" s="17"/>
      <c r="H4" s="17" t="s">
        <v>1172</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1151</v>
      </c>
      <c r="C12" s="12">
        <v>7283</v>
      </c>
      <c r="D12" s="12">
        <v>233</v>
      </c>
      <c r="E12" s="12">
        <v>167</v>
      </c>
      <c r="F12" s="12">
        <v>167</v>
      </c>
      <c r="G12" s="12">
        <v>234</v>
      </c>
      <c r="H12" s="12">
        <v>358</v>
      </c>
      <c r="I12" s="12">
        <v>422</v>
      </c>
      <c r="J12" s="12">
        <v>65</v>
      </c>
      <c r="K12" s="12">
        <v>24</v>
      </c>
      <c r="L12" s="12">
        <v>92</v>
      </c>
      <c r="M12" s="12">
        <v>75</v>
      </c>
      <c r="N12" s="12">
        <v>111</v>
      </c>
      <c r="O12" s="12">
        <v>557</v>
      </c>
      <c r="P12" s="12">
        <v>176</v>
      </c>
      <c r="Q12" s="12">
        <v>404</v>
      </c>
      <c r="R12" s="12">
        <v>71</v>
      </c>
      <c r="S12" s="12">
        <v>65</v>
      </c>
      <c r="T12" s="12">
        <v>102</v>
      </c>
      <c r="U12" s="12">
        <v>95</v>
      </c>
      <c r="V12" s="12">
        <v>202</v>
      </c>
      <c r="W12" s="12">
        <v>44</v>
      </c>
      <c r="X12" s="12">
        <v>326</v>
      </c>
      <c r="Y12" s="12">
        <v>247</v>
      </c>
      <c r="Z12" s="12">
        <v>183</v>
      </c>
      <c r="AA12" s="12">
        <v>137</v>
      </c>
      <c r="AB12" s="12">
        <v>127</v>
      </c>
      <c r="AC12" s="12">
        <v>77</v>
      </c>
      <c r="AD12" s="12">
        <v>102</v>
      </c>
      <c r="AE12" s="12">
        <v>70</v>
      </c>
      <c r="AF12" s="12">
        <v>358</v>
      </c>
    </row>
    <row r="13" spans="1:32">
      <c r="A13" s="19"/>
      <c r="B13" s="13" t="s">
        <v>1152</v>
      </c>
      <c r="C13" s="14">
        <v>0.27</v>
      </c>
      <c r="D13" s="14">
        <v>0.23</v>
      </c>
      <c r="E13" s="14">
        <v>0.16</v>
      </c>
      <c r="F13" s="14">
        <v>0.16</v>
      </c>
      <c r="G13" s="14">
        <v>0.23</v>
      </c>
      <c r="H13" s="14">
        <v>0.28999999999999998</v>
      </c>
      <c r="I13" s="14">
        <v>0.28000000000000003</v>
      </c>
      <c r="J13" s="14">
        <v>0.22</v>
      </c>
      <c r="K13" s="14">
        <v>0.03</v>
      </c>
      <c r="L13" s="14">
        <v>0.09</v>
      </c>
      <c r="M13" s="14">
        <v>7.0000000000000007E-2</v>
      </c>
      <c r="N13" s="14">
        <v>0.11</v>
      </c>
      <c r="O13" s="14">
        <v>0.56000000000000005</v>
      </c>
      <c r="P13" s="14">
        <v>0.18</v>
      </c>
      <c r="Q13" s="14">
        <v>0.39</v>
      </c>
      <c r="R13" s="14">
        <v>0.14000000000000001</v>
      </c>
      <c r="S13" s="14">
        <v>7.0000000000000007E-2</v>
      </c>
      <c r="T13" s="14">
        <v>0.1</v>
      </c>
      <c r="U13" s="14">
        <v>0.19</v>
      </c>
      <c r="V13" s="14">
        <v>0.2</v>
      </c>
      <c r="W13" s="14">
        <v>0.09</v>
      </c>
      <c r="X13" s="14">
        <v>0.32</v>
      </c>
      <c r="Y13" s="14">
        <v>0.25</v>
      </c>
      <c r="Z13" s="14">
        <v>0.18</v>
      </c>
      <c r="AA13" s="14">
        <v>0.13</v>
      </c>
      <c r="AB13" s="14">
        <v>0.12</v>
      </c>
      <c r="AC13" s="14">
        <v>0.08</v>
      </c>
      <c r="AD13" s="14">
        <v>0.1</v>
      </c>
      <c r="AE13" s="14">
        <v>7.0000000000000007E-2</v>
      </c>
      <c r="AF13" s="14">
        <v>0.35</v>
      </c>
    </row>
    <row r="14" spans="1:32">
      <c r="A14" s="19"/>
      <c r="B14" s="11" t="s">
        <v>1153</v>
      </c>
      <c r="C14" s="12">
        <v>8987</v>
      </c>
      <c r="D14" s="12">
        <v>375</v>
      </c>
      <c r="E14" s="12">
        <v>239</v>
      </c>
      <c r="F14" s="12">
        <v>252</v>
      </c>
      <c r="G14" s="12">
        <v>403</v>
      </c>
      <c r="H14" s="12">
        <v>500</v>
      </c>
      <c r="I14" s="12">
        <v>640</v>
      </c>
      <c r="J14" s="12">
        <v>140</v>
      </c>
      <c r="K14" s="12">
        <v>74</v>
      </c>
      <c r="L14" s="12">
        <v>180</v>
      </c>
      <c r="M14" s="12">
        <v>204</v>
      </c>
      <c r="N14" s="12">
        <v>229</v>
      </c>
      <c r="O14" s="12">
        <v>322</v>
      </c>
      <c r="P14" s="12">
        <v>251</v>
      </c>
      <c r="Q14" s="12">
        <v>430</v>
      </c>
      <c r="R14" s="12">
        <v>106</v>
      </c>
      <c r="S14" s="12">
        <v>129</v>
      </c>
      <c r="T14" s="12">
        <v>335</v>
      </c>
      <c r="U14" s="12">
        <v>78</v>
      </c>
      <c r="V14" s="12">
        <v>332</v>
      </c>
      <c r="W14" s="12">
        <v>47</v>
      </c>
      <c r="X14" s="12">
        <v>464</v>
      </c>
      <c r="Y14" s="12">
        <v>378</v>
      </c>
      <c r="Z14" s="12">
        <v>390</v>
      </c>
      <c r="AA14" s="12">
        <v>260</v>
      </c>
      <c r="AB14" s="12">
        <v>287</v>
      </c>
      <c r="AC14" s="12">
        <v>235</v>
      </c>
      <c r="AD14" s="12">
        <v>308</v>
      </c>
      <c r="AE14" s="12">
        <v>140</v>
      </c>
      <c r="AF14" s="12">
        <v>378</v>
      </c>
    </row>
    <row r="15" spans="1:32">
      <c r="A15" s="19"/>
      <c r="B15" s="13" t="s">
        <v>1154</v>
      </c>
      <c r="C15" s="14">
        <v>0.34</v>
      </c>
      <c r="D15" s="14">
        <v>0.37</v>
      </c>
      <c r="E15" s="14">
        <v>0.23</v>
      </c>
      <c r="F15" s="14">
        <v>0.24</v>
      </c>
      <c r="G15" s="14">
        <v>0.4</v>
      </c>
      <c r="H15" s="14">
        <v>0.41</v>
      </c>
      <c r="I15" s="14">
        <v>0.42</v>
      </c>
      <c r="J15" s="14">
        <v>0.47</v>
      </c>
      <c r="K15" s="14">
        <v>7.0000000000000007E-2</v>
      </c>
      <c r="L15" s="14">
        <v>0.18</v>
      </c>
      <c r="M15" s="14">
        <v>0.2</v>
      </c>
      <c r="N15" s="14">
        <v>0.23</v>
      </c>
      <c r="O15" s="14">
        <v>0.32</v>
      </c>
      <c r="P15" s="14">
        <v>0.25</v>
      </c>
      <c r="Q15" s="14">
        <v>0.42</v>
      </c>
      <c r="R15" s="14">
        <v>0.21</v>
      </c>
      <c r="S15" s="14">
        <v>0.13</v>
      </c>
      <c r="T15" s="14">
        <v>0.33</v>
      </c>
      <c r="U15" s="14">
        <v>0.15</v>
      </c>
      <c r="V15" s="14">
        <v>0.32</v>
      </c>
      <c r="W15" s="14">
        <v>0.09</v>
      </c>
      <c r="X15" s="14">
        <v>0.46</v>
      </c>
      <c r="Y15" s="14">
        <v>0.38</v>
      </c>
      <c r="Z15" s="14">
        <v>0.38</v>
      </c>
      <c r="AA15" s="14">
        <v>0.25</v>
      </c>
      <c r="AB15" s="14">
        <v>0.28000000000000003</v>
      </c>
      <c r="AC15" s="14">
        <v>0.23</v>
      </c>
      <c r="AD15" s="14">
        <v>0.31</v>
      </c>
      <c r="AE15" s="14">
        <v>0.14000000000000001</v>
      </c>
      <c r="AF15" s="14">
        <v>0.37</v>
      </c>
    </row>
    <row r="16" spans="1:32">
      <c r="A16" s="19"/>
      <c r="B16" s="11" t="s">
        <v>1155</v>
      </c>
      <c r="C16" s="12">
        <v>5701</v>
      </c>
      <c r="D16" s="12">
        <v>332</v>
      </c>
      <c r="E16" s="12">
        <v>183</v>
      </c>
      <c r="F16" s="12">
        <v>294</v>
      </c>
      <c r="G16" s="12">
        <v>238</v>
      </c>
      <c r="H16" s="12">
        <v>288</v>
      </c>
      <c r="I16" s="12">
        <v>361</v>
      </c>
      <c r="J16" s="12">
        <v>73</v>
      </c>
      <c r="K16" s="12">
        <v>428</v>
      </c>
      <c r="L16" s="12">
        <v>335</v>
      </c>
      <c r="M16" s="12">
        <v>339</v>
      </c>
      <c r="N16" s="12">
        <v>249</v>
      </c>
      <c r="O16" s="12">
        <v>75</v>
      </c>
      <c r="P16" s="12">
        <v>331</v>
      </c>
      <c r="Q16" s="12">
        <v>153</v>
      </c>
      <c r="R16" s="12">
        <v>124</v>
      </c>
      <c r="S16" s="12">
        <v>352</v>
      </c>
      <c r="T16" s="12">
        <v>293</v>
      </c>
      <c r="U16" s="12">
        <v>194</v>
      </c>
      <c r="V16" s="12">
        <v>313</v>
      </c>
      <c r="W16" s="12">
        <v>181</v>
      </c>
      <c r="X16" s="12">
        <v>172</v>
      </c>
      <c r="Y16" s="12">
        <v>209</v>
      </c>
      <c r="Z16" s="12">
        <v>301</v>
      </c>
      <c r="AA16" s="12">
        <v>201</v>
      </c>
      <c r="AB16" s="12">
        <v>284</v>
      </c>
      <c r="AC16" s="12">
        <v>321</v>
      </c>
      <c r="AD16" s="12">
        <v>330</v>
      </c>
      <c r="AE16" s="12">
        <v>387</v>
      </c>
      <c r="AF16" s="12">
        <v>182</v>
      </c>
    </row>
    <row r="17" spans="1:32">
      <c r="A17" s="19"/>
      <c r="B17" s="13" t="s">
        <v>1156</v>
      </c>
      <c r="C17" s="14">
        <v>0.22</v>
      </c>
      <c r="D17" s="14">
        <v>0.32</v>
      </c>
      <c r="E17" s="14">
        <v>0.17</v>
      </c>
      <c r="F17" s="14">
        <v>0.28000000000000003</v>
      </c>
      <c r="G17" s="14">
        <v>0.23</v>
      </c>
      <c r="H17" s="14">
        <v>0.23</v>
      </c>
      <c r="I17" s="14">
        <v>0.23</v>
      </c>
      <c r="J17" s="14">
        <v>0.24</v>
      </c>
      <c r="K17" s="14">
        <v>0.43</v>
      </c>
      <c r="L17" s="14">
        <v>0.33</v>
      </c>
      <c r="M17" s="14">
        <v>0.34</v>
      </c>
      <c r="N17" s="14">
        <v>0.25</v>
      </c>
      <c r="O17" s="14">
        <v>7.0000000000000007E-2</v>
      </c>
      <c r="P17" s="14">
        <v>0.33</v>
      </c>
      <c r="Q17" s="14">
        <v>0.15</v>
      </c>
      <c r="R17" s="14">
        <v>0.25</v>
      </c>
      <c r="S17" s="14">
        <v>0.35</v>
      </c>
      <c r="T17" s="14">
        <v>0.28999999999999998</v>
      </c>
      <c r="U17" s="14">
        <v>0.38</v>
      </c>
      <c r="V17" s="14">
        <v>0.31</v>
      </c>
      <c r="W17" s="14">
        <v>0.36</v>
      </c>
      <c r="X17" s="14">
        <v>0.17</v>
      </c>
      <c r="Y17" s="14">
        <v>0.21</v>
      </c>
      <c r="Z17" s="14">
        <v>0.3</v>
      </c>
      <c r="AA17" s="14">
        <v>0.19</v>
      </c>
      <c r="AB17" s="14">
        <v>0.27</v>
      </c>
      <c r="AC17" s="14">
        <v>0.32</v>
      </c>
      <c r="AD17" s="14">
        <v>0.33</v>
      </c>
      <c r="AE17" s="14">
        <v>0.39</v>
      </c>
      <c r="AF17" s="14">
        <v>0.18</v>
      </c>
    </row>
    <row r="18" spans="1:32">
      <c r="A18" s="19"/>
      <c r="B18" s="11" t="s">
        <v>1157</v>
      </c>
      <c r="C18" s="12">
        <v>2936</v>
      </c>
      <c r="D18" s="12">
        <v>46</v>
      </c>
      <c r="E18" s="12">
        <v>311</v>
      </c>
      <c r="F18" s="12">
        <v>282</v>
      </c>
      <c r="G18" s="12">
        <v>68</v>
      </c>
      <c r="H18" s="12">
        <v>17</v>
      </c>
      <c r="I18" s="12">
        <v>25</v>
      </c>
      <c r="J18" s="12">
        <v>8</v>
      </c>
      <c r="K18" s="12">
        <v>365</v>
      </c>
      <c r="L18" s="12">
        <v>289</v>
      </c>
      <c r="M18" s="12">
        <v>303</v>
      </c>
      <c r="N18" s="12">
        <v>307</v>
      </c>
      <c r="O18" s="12">
        <v>8</v>
      </c>
      <c r="P18" s="12">
        <v>191</v>
      </c>
      <c r="Q18" s="12">
        <v>23</v>
      </c>
      <c r="R18" s="12">
        <v>139</v>
      </c>
      <c r="S18" s="12">
        <v>325</v>
      </c>
      <c r="T18" s="12">
        <v>211</v>
      </c>
      <c r="U18" s="12">
        <v>64</v>
      </c>
      <c r="V18" s="12">
        <v>148</v>
      </c>
      <c r="W18" s="12">
        <v>197</v>
      </c>
      <c r="X18" s="12">
        <v>20</v>
      </c>
      <c r="Y18" s="12">
        <v>72</v>
      </c>
      <c r="Z18" s="12">
        <v>94</v>
      </c>
      <c r="AA18" s="12">
        <v>339</v>
      </c>
      <c r="AB18" s="12">
        <v>279</v>
      </c>
      <c r="AC18" s="12">
        <v>294</v>
      </c>
      <c r="AD18" s="12">
        <v>209</v>
      </c>
      <c r="AE18" s="12">
        <v>304</v>
      </c>
      <c r="AF18" s="12">
        <v>45</v>
      </c>
    </row>
    <row r="19" spans="1:32">
      <c r="A19" s="19"/>
      <c r="B19" s="13" t="s">
        <v>1158</v>
      </c>
      <c r="C19" s="14">
        <v>0.11</v>
      </c>
      <c r="D19" s="14">
        <v>0.05</v>
      </c>
      <c r="E19" s="14">
        <v>0.3</v>
      </c>
      <c r="F19" s="14">
        <v>0.26</v>
      </c>
      <c r="G19" s="14">
        <v>7.0000000000000007E-2</v>
      </c>
      <c r="H19" s="14">
        <v>0.01</v>
      </c>
      <c r="I19" s="14">
        <v>0.02</v>
      </c>
      <c r="J19" s="14">
        <v>0.03</v>
      </c>
      <c r="K19" s="14">
        <v>0.36</v>
      </c>
      <c r="L19" s="14">
        <v>0.28999999999999998</v>
      </c>
      <c r="M19" s="14">
        <v>0.3</v>
      </c>
      <c r="N19" s="14">
        <v>0.3</v>
      </c>
      <c r="O19" s="14">
        <v>0.01</v>
      </c>
      <c r="P19" s="14">
        <v>0.19</v>
      </c>
      <c r="Q19" s="14">
        <v>0.02</v>
      </c>
      <c r="R19" s="14">
        <v>0.28000000000000003</v>
      </c>
      <c r="S19" s="14">
        <v>0.32</v>
      </c>
      <c r="T19" s="14">
        <v>0.2</v>
      </c>
      <c r="U19" s="14">
        <v>0.13</v>
      </c>
      <c r="V19" s="14">
        <v>0.14000000000000001</v>
      </c>
      <c r="W19" s="14">
        <v>0.39</v>
      </c>
      <c r="X19" s="14">
        <v>0.02</v>
      </c>
      <c r="Y19" s="14">
        <v>7.0000000000000007E-2</v>
      </c>
      <c r="Z19" s="14">
        <v>0.09</v>
      </c>
      <c r="AA19" s="14">
        <v>0.33</v>
      </c>
      <c r="AB19" s="14">
        <v>0.27</v>
      </c>
      <c r="AC19" s="14">
        <v>0.28999999999999998</v>
      </c>
      <c r="AD19" s="14">
        <v>0.21</v>
      </c>
      <c r="AE19" s="14">
        <v>0.3</v>
      </c>
      <c r="AF19" s="14">
        <v>0.04</v>
      </c>
    </row>
    <row r="20" spans="1:32">
      <c r="A20" s="19"/>
      <c r="B20" s="11" t="s">
        <v>386</v>
      </c>
      <c r="C20" s="12">
        <v>1546</v>
      </c>
      <c r="D20" s="12">
        <v>35</v>
      </c>
      <c r="E20" s="12">
        <v>146</v>
      </c>
      <c r="F20" s="12">
        <v>68</v>
      </c>
      <c r="G20" s="12">
        <v>74</v>
      </c>
      <c r="H20" s="12">
        <v>67</v>
      </c>
      <c r="I20" s="12">
        <v>79</v>
      </c>
      <c r="J20" s="12">
        <v>12</v>
      </c>
      <c r="K20" s="12">
        <v>115</v>
      </c>
      <c r="L20" s="12">
        <v>110</v>
      </c>
      <c r="M20" s="12">
        <v>86</v>
      </c>
      <c r="N20" s="12">
        <v>115</v>
      </c>
      <c r="O20" s="12">
        <v>41</v>
      </c>
      <c r="P20" s="12">
        <v>55</v>
      </c>
      <c r="Q20" s="12">
        <v>22</v>
      </c>
      <c r="R20" s="12">
        <v>61</v>
      </c>
      <c r="S20" s="12">
        <v>133</v>
      </c>
      <c r="T20" s="12">
        <v>82</v>
      </c>
      <c r="U20" s="12">
        <v>77</v>
      </c>
      <c r="V20" s="12">
        <v>31</v>
      </c>
      <c r="W20" s="12">
        <v>34</v>
      </c>
      <c r="X20" s="12">
        <v>29</v>
      </c>
      <c r="Y20" s="12">
        <v>97</v>
      </c>
      <c r="Z20" s="12">
        <v>48</v>
      </c>
      <c r="AA20" s="12">
        <v>100</v>
      </c>
      <c r="AB20" s="12">
        <v>64</v>
      </c>
      <c r="AC20" s="12">
        <v>78</v>
      </c>
      <c r="AD20" s="12">
        <v>54</v>
      </c>
      <c r="AE20" s="12">
        <v>101</v>
      </c>
      <c r="AF20" s="12">
        <v>68</v>
      </c>
    </row>
    <row r="21" spans="1:32">
      <c r="A21" s="19"/>
      <c r="B21" s="13" t="s">
        <v>399</v>
      </c>
      <c r="C21" s="14">
        <v>0.06</v>
      </c>
      <c r="D21" s="14">
        <v>0.03</v>
      </c>
      <c r="E21" s="14">
        <v>0.14000000000000001</v>
      </c>
      <c r="F21" s="14">
        <v>0.06</v>
      </c>
      <c r="G21" s="14">
        <v>7.0000000000000007E-2</v>
      </c>
      <c r="H21" s="14">
        <v>0.06</v>
      </c>
      <c r="I21" s="14">
        <v>0.05</v>
      </c>
      <c r="J21" s="14">
        <v>0.04</v>
      </c>
      <c r="K21" s="14">
        <v>0.11</v>
      </c>
      <c r="L21" s="14">
        <v>0.11</v>
      </c>
      <c r="M21" s="14">
        <v>0.09</v>
      </c>
      <c r="N21" s="14">
        <v>0.11</v>
      </c>
      <c r="O21" s="14">
        <v>0.04</v>
      </c>
      <c r="P21" s="14">
        <v>0.05</v>
      </c>
      <c r="Q21" s="14">
        <v>0.02</v>
      </c>
      <c r="R21" s="14">
        <v>0.12</v>
      </c>
      <c r="S21" s="14">
        <v>0.13</v>
      </c>
      <c r="T21" s="14">
        <v>0.08</v>
      </c>
      <c r="U21" s="14">
        <v>0.15</v>
      </c>
      <c r="V21" s="14">
        <v>0.03</v>
      </c>
      <c r="W21" s="14">
        <v>7.0000000000000007E-2</v>
      </c>
      <c r="X21" s="14">
        <v>0.03</v>
      </c>
      <c r="Y21" s="14">
        <v>0.09</v>
      </c>
      <c r="Z21" s="14">
        <v>0.05</v>
      </c>
      <c r="AA21" s="14">
        <v>0.1</v>
      </c>
      <c r="AB21" s="14">
        <v>0.06</v>
      </c>
      <c r="AC21" s="14">
        <v>0.08</v>
      </c>
      <c r="AD21" s="14">
        <v>0.05</v>
      </c>
      <c r="AE21" s="14">
        <v>0.1</v>
      </c>
      <c r="AF21" s="14">
        <v>0.06</v>
      </c>
    </row>
    <row r="22" spans="1:32">
      <c r="A22" s="19"/>
      <c r="B22" s="11" t="s">
        <v>1159</v>
      </c>
      <c r="C22" s="12">
        <v>16270</v>
      </c>
      <c r="D22" s="12">
        <v>608</v>
      </c>
      <c r="E22" s="12">
        <v>406</v>
      </c>
      <c r="F22" s="12">
        <v>419</v>
      </c>
      <c r="G22" s="12">
        <v>637</v>
      </c>
      <c r="H22" s="12">
        <v>858</v>
      </c>
      <c r="I22" s="12">
        <v>1062</v>
      </c>
      <c r="J22" s="12">
        <v>205</v>
      </c>
      <c r="K22" s="12">
        <v>98</v>
      </c>
      <c r="L22" s="12">
        <v>272</v>
      </c>
      <c r="M22" s="12">
        <v>279</v>
      </c>
      <c r="N22" s="12">
        <v>340</v>
      </c>
      <c r="O22" s="12">
        <v>879</v>
      </c>
      <c r="P22" s="12">
        <v>427</v>
      </c>
      <c r="Q22" s="12">
        <v>834</v>
      </c>
      <c r="R22" s="12">
        <v>177</v>
      </c>
      <c r="S22" s="12">
        <v>194</v>
      </c>
      <c r="T22" s="12">
        <v>437</v>
      </c>
      <c r="U22" s="12">
        <v>173</v>
      </c>
      <c r="V22" s="12">
        <v>534</v>
      </c>
      <c r="W22" s="12">
        <v>91</v>
      </c>
      <c r="X22" s="12">
        <v>790</v>
      </c>
      <c r="Y22" s="12">
        <v>625</v>
      </c>
      <c r="Z22" s="12">
        <v>573</v>
      </c>
      <c r="AA22" s="12">
        <v>397</v>
      </c>
      <c r="AB22" s="12">
        <v>414</v>
      </c>
      <c r="AC22" s="12">
        <v>312</v>
      </c>
      <c r="AD22" s="12">
        <v>410</v>
      </c>
      <c r="AE22" s="12">
        <v>210</v>
      </c>
      <c r="AF22" s="12">
        <v>736</v>
      </c>
    </row>
    <row r="23" spans="1:32">
      <c r="A23" s="19"/>
      <c r="B23" s="13" t="s">
        <v>1160</v>
      </c>
      <c r="C23" s="14">
        <v>0.61</v>
      </c>
      <c r="D23" s="14">
        <v>0.6</v>
      </c>
      <c r="E23" s="14">
        <v>0.39</v>
      </c>
      <c r="F23" s="14">
        <v>0.4</v>
      </c>
      <c r="G23" s="14">
        <v>0.63</v>
      </c>
      <c r="H23" s="14">
        <v>0.70000000000000007</v>
      </c>
      <c r="I23" s="14">
        <v>0.70000000000000007</v>
      </c>
      <c r="J23" s="14">
        <v>0.69000000000000006</v>
      </c>
      <c r="K23" s="14">
        <v>0.1</v>
      </c>
      <c r="L23" s="14">
        <v>0.27</v>
      </c>
      <c r="M23" s="14">
        <v>0.27</v>
      </c>
      <c r="N23" s="14">
        <v>0.34</v>
      </c>
      <c r="O23" s="14">
        <v>0.88</v>
      </c>
      <c r="P23" s="14">
        <v>0.43</v>
      </c>
      <c r="Q23" s="14">
        <v>0.81</v>
      </c>
      <c r="R23" s="14">
        <v>0.35</v>
      </c>
      <c r="S23" s="14">
        <v>0.2</v>
      </c>
      <c r="T23" s="14">
        <v>0.43</v>
      </c>
      <c r="U23" s="14">
        <v>0.34</v>
      </c>
      <c r="V23" s="14">
        <v>0.52</v>
      </c>
      <c r="W23" s="14">
        <v>0.18</v>
      </c>
      <c r="X23" s="14">
        <v>0.78</v>
      </c>
      <c r="Y23" s="14">
        <v>0.63</v>
      </c>
      <c r="Z23" s="14">
        <v>0.56000000000000005</v>
      </c>
      <c r="AA23" s="14">
        <v>0.38</v>
      </c>
      <c r="AB23" s="14">
        <v>0.4</v>
      </c>
      <c r="AC23" s="14">
        <v>0.31</v>
      </c>
      <c r="AD23" s="14">
        <v>0.41</v>
      </c>
      <c r="AE23" s="14">
        <v>0.21</v>
      </c>
      <c r="AF23" s="14">
        <v>0.72</v>
      </c>
    </row>
    <row r="24" spans="1:32">
      <c r="A24" s="19"/>
      <c r="B24" s="11" t="s">
        <v>1161</v>
      </c>
      <c r="C24" s="12">
        <v>8637</v>
      </c>
      <c r="D24" s="12">
        <v>378</v>
      </c>
      <c r="E24" s="12">
        <v>494</v>
      </c>
      <c r="F24" s="12">
        <v>576</v>
      </c>
      <c r="G24" s="12">
        <v>306</v>
      </c>
      <c r="H24" s="12">
        <v>305</v>
      </c>
      <c r="I24" s="12">
        <v>386</v>
      </c>
      <c r="J24" s="12">
        <v>81</v>
      </c>
      <c r="K24" s="12">
        <v>793</v>
      </c>
      <c r="L24" s="12">
        <v>624</v>
      </c>
      <c r="M24" s="12">
        <v>642</v>
      </c>
      <c r="N24" s="12">
        <v>556</v>
      </c>
      <c r="O24" s="12">
        <v>83</v>
      </c>
      <c r="P24" s="12">
        <v>522</v>
      </c>
      <c r="Q24" s="12">
        <v>176</v>
      </c>
      <c r="R24" s="12">
        <v>263</v>
      </c>
      <c r="S24" s="12">
        <v>677</v>
      </c>
      <c r="T24" s="12">
        <v>504</v>
      </c>
      <c r="U24" s="12">
        <v>258</v>
      </c>
      <c r="V24" s="12">
        <v>461</v>
      </c>
      <c r="W24" s="12">
        <v>378</v>
      </c>
      <c r="X24" s="12">
        <v>192</v>
      </c>
      <c r="Y24" s="12">
        <v>281</v>
      </c>
      <c r="Z24" s="12">
        <v>395</v>
      </c>
      <c r="AA24" s="12">
        <v>540</v>
      </c>
      <c r="AB24" s="12">
        <v>563</v>
      </c>
      <c r="AC24" s="12">
        <v>615</v>
      </c>
      <c r="AD24" s="12">
        <v>539</v>
      </c>
      <c r="AE24" s="12">
        <v>691</v>
      </c>
      <c r="AF24" s="12">
        <v>227</v>
      </c>
    </row>
    <row r="25" spans="1:32">
      <c r="A25" s="19"/>
      <c r="B25" s="13" t="s">
        <v>1162</v>
      </c>
      <c r="C25" s="14">
        <v>0.33</v>
      </c>
      <c r="D25" s="14">
        <v>0.37</v>
      </c>
      <c r="E25" s="14">
        <v>0.47</v>
      </c>
      <c r="F25" s="14">
        <v>0.54</v>
      </c>
      <c r="G25" s="14">
        <v>0.3</v>
      </c>
      <c r="H25" s="14">
        <v>0.24</v>
      </c>
      <c r="I25" s="14">
        <v>0.25</v>
      </c>
      <c r="J25" s="14">
        <v>0.27</v>
      </c>
      <c r="K25" s="14">
        <v>0.79</v>
      </c>
      <c r="L25" s="14">
        <v>0.62</v>
      </c>
      <c r="M25" s="14">
        <v>0.64</v>
      </c>
      <c r="N25" s="14">
        <v>0.55000000000000004</v>
      </c>
      <c r="O25" s="14">
        <v>0.08</v>
      </c>
      <c r="P25" s="14">
        <v>0.52</v>
      </c>
      <c r="Q25" s="14">
        <v>0.17</v>
      </c>
      <c r="R25" s="14">
        <v>0.53</v>
      </c>
      <c r="S25" s="14">
        <v>0.67</v>
      </c>
      <c r="T25" s="14">
        <v>0.49</v>
      </c>
      <c r="U25" s="14">
        <v>0.51</v>
      </c>
      <c r="V25" s="14">
        <v>0.45</v>
      </c>
      <c r="W25" s="14">
        <v>0.75</v>
      </c>
      <c r="X25" s="14">
        <v>0.19</v>
      </c>
      <c r="Y25" s="14">
        <v>0.28000000000000003</v>
      </c>
      <c r="Z25" s="14">
        <v>0.39</v>
      </c>
      <c r="AA25" s="14">
        <v>0.52</v>
      </c>
      <c r="AB25" s="14">
        <v>0.54</v>
      </c>
      <c r="AC25" s="14">
        <v>0.61</v>
      </c>
      <c r="AD25" s="14">
        <v>0.54</v>
      </c>
      <c r="AE25" s="14">
        <v>0.69000000000000006</v>
      </c>
      <c r="AF25" s="14">
        <v>0.22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1173</v>
      </c>
      <c r="C3" s="17"/>
      <c r="D3" s="17"/>
      <c r="E3" s="17"/>
      <c r="F3" s="17"/>
      <c r="H3" s="17" t="s">
        <v>1174</v>
      </c>
      <c r="I3" s="17"/>
      <c r="J3" s="17"/>
      <c r="K3" s="17"/>
      <c r="L3" s="17"/>
    </row>
    <row r="4" spans="1:32" ht="27" customHeight="1">
      <c r="B4" s="17" t="s">
        <v>1175</v>
      </c>
      <c r="C4" s="17"/>
      <c r="D4" s="17"/>
      <c r="E4" s="17"/>
      <c r="F4" s="17"/>
      <c r="H4" s="17" t="s">
        <v>1176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1151</v>
      </c>
      <c r="C12" s="12">
        <v>8578</v>
      </c>
      <c r="D12" s="12">
        <v>298</v>
      </c>
      <c r="E12" s="12">
        <v>184</v>
      </c>
      <c r="F12" s="12">
        <v>198</v>
      </c>
      <c r="G12" s="12">
        <v>340</v>
      </c>
      <c r="H12" s="12">
        <v>498</v>
      </c>
      <c r="I12" s="12">
        <v>589</v>
      </c>
      <c r="J12" s="12">
        <v>91</v>
      </c>
      <c r="K12" s="12">
        <v>22</v>
      </c>
      <c r="L12" s="12">
        <v>117</v>
      </c>
      <c r="M12" s="12">
        <v>81</v>
      </c>
      <c r="N12" s="12">
        <v>176</v>
      </c>
      <c r="O12" s="12">
        <v>631</v>
      </c>
      <c r="P12" s="12">
        <v>156</v>
      </c>
      <c r="Q12" s="12">
        <v>442</v>
      </c>
      <c r="R12" s="12">
        <v>86</v>
      </c>
      <c r="S12" s="12">
        <v>70</v>
      </c>
      <c r="T12" s="12">
        <v>105</v>
      </c>
      <c r="U12" s="12">
        <v>94</v>
      </c>
      <c r="V12" s="12">
        <v>208</v>
      </c>
      <c r="W12" s="12">
        <v>44</v>
      </c>
      <c r="X12" s="12">
        <v>398</v>
      </c>
      <c r="Y12" s="12">
        <v>296</v>
      </c>
      <c r="Z12" s="12">
        <v>115</v>
      </c>
      <c r="AA12" s="12">
        <v>152</v>
      </c>
      <c r="AB12" s="12">
        <v>111</v>
      </c>
      <c r="AC12" s="12">
        <v>90</v>
      </c>
      <c r="AD12" s="12">
        <v>78</v>
      </c>
      <c r="AE12" s="12">
        <v>100</v>
      </c>
      <c r="AF12" s="12">
        <v>492</v>
      </c>
    </row>
    <row r="13" spans="1:32">
      <c r="A13" s="19"/>
      <c r="B13" s="13" t="s">
        <v>1152</v>
      </c>
      <c r="C13" s="14">
        <v>0.32</v>
      </c>
      <c r="D13" s="14">
        <v>0.28999999999999998</v>
      </c>
      <c r="E13" s="14">
        <v>0.18</v>
      </c>
      <c r="F13" s="14">
        <v>0.19</v>
      </c>
      <c r="G13" s="14">
        <v>0.33</v>
      </c>
      <c r="H13" s="14">
        <v>0.4</v>
      </c>
      <c r="I13" s="14">
        <v>0.39</v>
      </c>
      <c r="J13" s="14">
        <v>0.31</v>
      </c>
      <c r="K13" s="14">
        <v>0.02</v>
      </c>
      <c r="L13" s="14">
        <v>0.12</v>
      </c>
      <c r="M13" s="14">
        <v>0.08</v>
      </c>
      <c r="N13" s="14">
        <v>0.18</v>
      </c>
      <c r="O13" s="14">
        <v>0.63</v>
      </c>
      <c r="P13" s="14">
        <v>0.16</v>
      </c>
      <c r="Q13" s="14">
        <v>0.43</v>
      </c>
      <c r="R13" s="14">
        <v>0.17</v>
      </c>
      <c r="S13" s="14">
        <v>7.0000000000000007E-2</v>
      </c>
      <c r="T13" s="14">
        <v>0.1</v>
      </c>
      <c r="U13" s="14">
        <v>0.18</v>
      </c>
      <c r="V13" s="14">
        <v>0.2</v>
      </c>
      <c r="W13" s="14">
        <v>0.09</v>
      </c>
      <c r="X13" s="14">
        <v>0.39</v>
      </c>
      <c r="Y13" s="14">
        <v>0.28999999999999998</v>
      </c>
      <c r="Z13" s="14">
        <v>0.11</v>
      </c>
      <c r="AA13" s="14">
        <v>0.15</v>
      </c>
      <c r="AB13" s="14">
        <v>0.11</v>
      </c>
      <c r="AC13" s="14">
        <v>0.09</v>
      </c>
      <c r="AD13" s="14">
        <v>0.08</v>
      </c>
      <c r="AE13" s="14">
        <v>0.1</v>
      </c>
      <c r="AF13" s="14">
        <v>0.48</v>
      </c>
    </row>
    <row r="14" spans="1:32">
      <c r="A14" s="19"/>
      <c r="B14" s="11" t="s">
        <v>1153</v>
      </c>
      <c r="C14" s="12">
        <v>7396</v>
      </c>
      <c r="D14" s="12">
        <v>338</v>
      </c>
      <c r="E14" s="12">
        <v>215</v>
      </c>
      <c r="F14" s="12">
        <v>185</v>
      </c>
      <c r="G14" s="12">
        <v>251</v>
      </c>
      <c r="H14" s="12">
        <v>427</v>
      </c>
      <c r="I14" s="12">
        <v>540</v>
      </c>
      <c r="J14" s="12">
        <v>113</v>
      </c>
      <c r="K14" s="12">
        <v>53</v>
      </c>
      <c r="L14" s="12">
        <v>183</v>
      </c>
      <c r="M14" s="12">
        <v>182</v>
      </c>
      <c r="N14" s="12">
        <v>175</v>
      </c>
      <c r="O14" s="12">
        <v>268</v>
      </c>
      <c r="P14" s="12">
        <v>194</v>
      </c>
      <c r="Q14" s="12">
        <v>388</v>
      </c>
      <c r="R14" s="12">
        <v>84</v>
      </c>
      <c r="S14" s="12">
        <v>76</v>
      </c>
      <c r="T14" s="12">
        <v>250</v>
      </c>
      <c r="U14" s="12">
        <v>71</v>
      </c>
      <c r="V14" s="12">
        <v>290</v>
      </c>
      <c r="W14" s="12">
        <v>39</v>
      </c>
      <c r="X14" s="12">
        <v>326</v>
      </c>
      <c r="Y14" s="12">
        <v>229</v>
      </c>
      <c r="Z14" s="12">
        <v>324</v>
      </c>
      <c r="AA14" s="12">
        <v>234</v>
      </c>
      <c r="AB14" s="12">
        <v>257</v>
      </c>
      <c r="AC14" s="12">
        <v>141</v>
      </c>
      <c r="AD14" s="12">
        <v>190</v>
      </c>
      <c r="AE14" s="12">
        <v>99</v>
      </c>
      <c r="AF14" s="12">
        <v>229</v>
      </c>
    </row>
    <row r="15" spans="1:32">
      <c r="A15" s="19"/>
      <c r="B15" s="13" t="s">
        <v>1154</v>
      </c>
      <c r="C15" s="14">
        <v>0.28000000000000003</v>
      </c>
      <c r="D15" s="14">
        <v>0.33</v>
      </c>
      <c r="E15" s="14">
        <v>0.2</v>
      </c>
      <c r="F15" s="14">
        <v>0.17</v>
      </c>
      <c r="G15" s="14">
        <v>0.25</v>
      </c>
      <c r="H15" s="14">
        <v>0.35</v>
      </c>
      <c r="I15" s="14">
        <v>0.35</v>
      </c>
      <c r="J15" s="14">
        <v>0.38</v>
      </c>
      <c r="K15" s="14">
        <v>0.05</v>
      </c>
      <c r="L15" s="14">
        <v>0.18</v>
      </c>
      <c r="M15" s="14">
        <v>0.18</v>
      </c>
      <c r="N15" s="14">
        <v>0.17</v>
      </c>
      <c r="O15" s="14">
        <v>0.27</v>
      </c>
      <c r="P15" s="14">
        <v>0.19</v>
      </c>
      <c r="Q15" s="14">
        <v>0.38</v>
      </c>
      <c r="R15" s="14">
        <v>0.17</v>
      </c>
      <c r="S15" s="14">
        <v>0.08</v>
      </c>
      <c r="T15" s="14">
        <v>0.24</v>
      </c>
      <c r="U15" s="14">
        <v>0.14000000000000001</v>
      </c>
      <c r="V15" s="14">
        <v>0.28000000000000003</v>
      </c>
      <c r="W15" s="14">
        <v>0.08</v>
      </c>
      <c r="X15" s="14">
        <v>0.32</v>
      </c>
      <c r="Y15" s="14">
        <v>0.23</v>
      </c>
      <c r="Z15" s="14">
        <v>0.32</v>
      </c>
      <c r="AA15" s="14">
        <v>0.23</v>
      </c>
      <c r="AB15" s="14">
        <v>0.25</v>
      </c>
      <c r="AC15" s="14">
        <v>0.14000000000000001</v>
      </c>
      <c r="AD15" s="14">
        <v>0.19</v>
      </c>
      <c r="AE15" s="14">
        <v>0.1</v>
      </c>
      <c r="AF15" s="14">
        <v>0.22</v>
      </c>
    </row>
    <row r="16" spans="1:32">
      <c r="A16" s="19"/>
      <c r="B16" s="11" t="s">
        <v>1155</v>
      </c>
      <c r="C16" s="12">
        <v>5468</v>
      </c>
      <c r="D16" s="12">
        <v>301</v>
      </c>
      <c r="E16" s="12">
        <v>169</v>
      </c>
      <c r="F16" s="12">
        <v>276</v>
      </c>
      <c r="G16" s="12">
        <v>263</v>
      </c>
      <c r="H16" s="12">
        <v>238</v>
      </c>
      <c r="I16" s="12">
        <v>302</v>
      </c>
      <c r="J16" s="12">
        <v>64</v>
      </c>
      <c r="K16" s="12">
        <v>419</v>
      </c>
      <c r="L16" s="12">
        <v>322</v>
      </c>
      <c r="M16" s="12">
        <v>289</v>
      </c>
      <c r="N16" s="12">
        <v>236</v>
      </c>
      <c r="O16" s="12">
        <v>59</v>
      </c>
      <c r="P16" s="12">
        <v>351</v>
      </c>
      <c r="Q16" s="12">
        <v>150</v>
      </c>
      <c r="R16" s="12">
        <v>104</v>
      </c>
      <c r="S16" s="12">
        <v>331</v>
      </c>
      <c r="T16" s="12">
        <v>328</v>
      </c>
      <c r="U16" s="12">
        <v>184</v>
      </c>
      <c r="V16" s="12">
        <v>263</v>
      </c>
      <c r="W16" s="12">
        <v>150</v>
      </c>
      <c r="X16" s="12">
        <v>220</v>
      </c>
      <c r="Y16" s="12">
        <v>262</v>
      </c>
      <c r="Z16" s="12">
        <v>359</v>
      </c>
      <c r="AA16" s="12">
        <v>193</v>
      </c>
      <c r="AB16" s="12">
        <v>261</v>
      </c>
      <c r="AC16" s="12">
        <v>306</v>
      </c>
      <c r="AD16" s="12">
        <v>298</v>
      </c>
      <c r="AE16" s="12">
        <v>359</v>
      </c>
      <c r="AF16" s="12">
        <v>190</v>
      </c>
    </row>
    <row r="17" spans="1:32">
      <c r="A17" s="19"/>
      <c r="B17" s="13" t="s">
        <v>1156</v>
      </c>
      <c r="C17" s="14">
        <v>0.21</v>
      </c>
      <c r="D17" s="14">
        <v>0.3</v>
      </c>
      <c r="E17" s="14">
        <v>0.16</v>
      </c>
      <c r="F17" s="14">
        <v>0.26</v>
      </c>
      <c r="G17" s="14">
        <v>0.26</v>
      </c>
      <c r="H17" s="14">
        <v>0.19</v>
      </c>
      <c r="I17" s="14">
        <v>0.2</v>
      </c>
      <c r="J17" s="14">
        <v>0.21</v>
      </c>
      <c r="K17" s="14">
        <v>0.42</v>
      </c>
      <c r="L17" s="14">
        <v>0.32</v>
      </c>
      <c r="M17" s="14">
        <v>0.28999999999999998</v>
      </c>
      <c r="N17" s="14">
        <v>0.23</v>
      </c>
      <c r="O17" s="14">
        <v>0.06</v>
      </c>
      <c r="P17" s="14">
        <v>0.35</v>
      </c>
      <c r="Q17" s="14">
        <v>0.14000000000000001</v>
      </c>
      <c r="R17" s="14">
        <v>0.21</v>
      </c>
      <c r="S17" s="14">
        <v>0.33</v>
      </c>
      <c r="T17" s="14">
        <v>0.32</v>
      </c>
      <c r="U17" s="14">
        <v>0.36</v>
      </c>
      <c r="V17" s="14">
        <v>0.26</v>
      </c>
      <c r="W17" s="14">
        <v>0.3</v>
      </c>
      <c r="X17" s="14">
        <v>0.22</v>
      </c>
      <c r="Y17" s="14">
        <v>0.26</v>
      </c>
      <c r="Z17" s="14">
        <v>0.35</v>
      </c>
      <c r="AA17" s="14">
        <v>0.19</v>
      </c>
      <c r="AB17" s="14">
        <v>0.25</v>
      </c>
      <c r="AC17" s="14">
        <v>0.3</v>
      </c>
      <c r="AD17" s="14">
        <v>0.3</v>
      </c>
      <c r="AE17" s="14">
        <v>0.36</v>
      </c>
      <c r="AF17" s="14">
        <v>0.18</v>
      </c>
    </row>
    <row r="18" spans="1:32">
      <c r="A18" s="19"/>
      <c r="B18" s="11" t="s">
        <v>1157</v>
      </c>
      <c r="C18" s="12">
        <v>3539</v>
      </c>
      <c r="D18" s="12">
        <v>51</v>
      </c>
      <c r="E18" s="12">
        <v>352</v>
      </c>
      <c r="F18" s="12">
        <v>343</v>
      </c>
      <c r="G18" s="12">
        <v>91</v>
      </c>
      <c r="H18" s="12">
        <v>8</v>
      </c>
      <c r="I18" s="12">
        <v>19</v>
      </c>
      <c r="J18" s="12">
        <v>11</v>
      </c>
      <c r="K18" s="12">
        <v>411</v>
      </c>
      <c r="L18" s="12">
        <v>287</v>
      </c>
      <c r="M18" s="12">
        <v>398</v>
      </c>
      <c r="N18" s="12">
        <v>327</v>
      </c>
      <c r="O18" s="12">
        <v>3</v>
      </c>
      <c r="P18" s="12">
        <v>252</v>
      </c>
      <c r="Q18" s="12">
        <v>32</v>
      </c>
      <c r="R18" s="12">
        <v>169</v>
      </c>
      <c r="S18" s="12">
        <v>391</v>
      </c>
      <c r="T18" s="12">
        <v>262</v>
      </c>
      <c r="U18" s="12">
        <v>79</v>
      </c>
      <c r="V18" s="12">
        <v>243</v>
      </c>
      <c r="W18" s="12">
        <v>243</v>
      </c>
      <c r="X18" s="12">
        <v>28</v>
      </c>
      <c r="Y18" s="12">
        <v>107</v>
      </c>
      <c r="Z18" s="12">
        <v>160</v>
      </c>
      <c r="AA18" s="12">
        <v>358</v>
      </c>
      <c r="AB18" s="12">
        <v>348</v>
      </c>
      <c r="AC18" s="12">
        <v>378</v>
      </c>
      <c r="AD18" s="12">
        <v>390</v>
      </c>
      <c r="AE18" s="12">
        <v>348</v>
      </c>
      <c r="AF18" s="12">
        <v>52</v>
      </c>
    </row>
    <row r="19" spans="1:32">
      <c r="A19" s="19"/>
      <c r="B19" s="13" t="s">
        <v>1158</v>
      </c>
      <c r="C19" s="14">
        <v>0.13</v>
      </c>
      <c r="D19" s="14">
        <v>0.05</v>
      </c>
      <c r="E19" s="14">
        <v>0.34</v>
      </c>
      <c r="F19" s="14">
        <v>0.32</v>
      </c>
      <c r="G19" s="14">
        <v>0.09</v>
      </c>
      <c r="H19" s="14">
        <v>0.01</v>
      </c>
      <c r="I19" s="14">
        <v>0.01</v>
      </c>
      <c r="J19" s="14">
        <v>0.04</v>
      </c>
      <c r="K19" s="14">
        <v>0.41</v>
      </c>
      <c r="L19" s="14">
        <v>0.28000000000000003</v>
      </c>
      <c r="M19" s="14">
        <v>0.39</v>
      </c>
      <c r="N19" s="14">
        <v>0.32</v>
      </c>
      <c r="O19" s="15" t="s">
        <v>375</v>
      </c>
      <c r="P19" s="14">
        <v>0.25</v>
      </c>
      <c r="Q19" s="14">
        <v>0.03</v>
      </c>
      <c r="R19" s="14">
        <v>0.34</v>
      </c>
      <c r="S19" s="14">
        <v>0.39</v>
      </c>
      <c r="T19" s="14">
        <v>0.26</v>
      </c>
      <c r="U19" s="14">
        <v>0.16</v>
      </c>
      <c r="V19" s="14">
        <v>0.24</v>
      </c>
      <c r="W19" s="14">
        <v>0.48</v>
      </c>
      <c r="X19" s="14">
        <v>0.03</v>
      </c>
      <c r="Y19" s="14">
        <v>0.11</v>
      </c>
      <c r="Z19" s="14">
        <v>0.16</v>
      </c>
      <c r="AA19" s="14">
        <v>0.34</v>
      </c>
      <c r="AB19" s="14">
        <v>0.33</v>
      </c>
      <c r="AC19" s="14">
        <v>0.38</v>
      </c>
      <c r="AD19" s="14">
        <v>0.39</v>
      </c>
      <c r="AE19" s="14">
        <v>0.35</v>
      </c>
      <c r="AF19" s="14">
        <v>0.05</v>
      </c>
    </row>
    <row r="20" spans="1:32">
      <c r="A20" s="19"/>
      <c r="B20" s="11" t="s">
        <v>386</v>
      </c>
      <c r="C20" s="12">
        <v>1472</v>
      </c>
      <c r="D20" s="12">
        <v>32</v>
      </c>
      <c r="E20" s="12">
        <v>126</v>
      </c>
      <c r="F20" s="12">
        <v>62</v>
      </c>
      <c r="G20" s="12">
        <v>71</v>
      </c>
      <c r="H20" s="12">
        <v>59</v>
      </c>
      <c r="I20" s="12">
        <v>77</v>
      </c>
      <c r="J20" s="12">
        <v>18</v>
      </c>
      <c r="K20" s="12">
        <v>102</v>
      </c>
      <c r="L20" s="12">
        <v>97</v>
      </c>
      <c r="M20" s="12">
        <v>57</v>
      </c>
      <c r="N20" s="12">
        <v>96</v>
      </c>
      <c r="O20" s="12">
        <v>42</v>
      </c>
      <c r="P20" s="12">
        <v>50</v>
      </c>
      <c r="Q20" s="12">
        <v>20</v>
      </c>
      <c r="R20" s="12">
        <v>58</v>
      </c>
      <c r="S20" s="12">
        <v>136</v>
      </c>
      <c r="T20" s="12">
        <v>78</v>
      </c>
      <c r="U20" s="12">
        <v>80</v>
      </c>
      <c r="V20" s="12">
        <v>22</v>
      </c>
      <c r="W20" s="12">
        <v>27</v>
      </c>
      <c r="X20" s="12">
        <v>38</v>
      </c>
      <c r="Y20" s="12">
        <v>108</v>
      </c>
      <c r="Z20" s="12">
        <v>58</v>
      </c>
      <c r="AA20" s="12">
        <v>99</v>
      </c>
      <c r="AB20" s="12">
        <v>65</v>
      </c>
      <c r="AC20" s="12">
        <v>90</v>
      </c>
      <c r="AD20" s="12">
        <v>47</v>
      </c>
      <c r="AE20" s="12">
        <v>95</v>
      </c>
      <c r="AF20" s="12">
        <v>67</v>
      </c>
    </row>
    <row r="21" spans="1:32">
      <c r="A21" s="19"/>
      <c r="B21" s="13" t="s">
        <v>399</v>
      </c>
      <c r="C21" s="14">
        <v>0.06</v>
      </c>
      <c r="D21" s="14">
        <v>0.03</v>
      </c>
      <c r="E21" s="14">
        <v>0.12</v>
      </c>
      <c r="F21" s="14">
        <v>0.06</v>
      </c>
      <c r="G21" s="14">
        <v>7.0000000000000007E-2</v>
      </c>
      <c r="H21" s="14">
        <v>0.05</v>
      </c>
      <c r="I21" s="14">
        <v>0.05</v>
      </c>
      <c r="J21" s="14">
        <v>0.06</v>
      </c>
      <c r="K21" s="14">
        <v>0.1</v>
      </c>
      <c r="L21" s="14">
        <v>0.1</v>
      </c>
      <c r="M21" s="14">
        <v>0.06</v>
      </c>
      <c r="N21" s="14">
        <v>0.1</v>
      </c>
      <c r="O21" s="14">
        <v>0.04</v>
      </c>
      <c r="P21" s="14">
        <v>0.05</v>
      </c>
      <c r="Q21" s="14">
        <v>0.02</v>
      </c>
      <c r="R21" s="14">
        <v>0.11</v>
      </c>
      <c r="S21" s="14">
        <v>0.13</v>
      </c>
      <c r="T21" s="14">
        <v>0.08</v>
      </c>
      <c r="U21" s="14">
        <v>0.16</v>
      </c>
      <c r="V21" s="14">
        <v>0.02</v>
      </c>
      <c r="W21" s="14">
        <v>0.05</v>
      </c>
      <c r="X21" s="14">
        <v>0.04</v>
      </c>
      <c r="Y21" s="14">
        <v>0.11</v>
      </c>
      <c r="Z21" s="14">
        <v>0.06</v>
      </c>
      <c r="AA21" s="14">
        <v>0.09</v>
      </c>
      <c r="AB21" s="14">
        <v>0.06</v>
      </c>
      <c r="AC21" s="14">
        <v>0.09</v>
      </c>
      <c r="AD21" s="14">
        <v>0.04</v>
      </c>
      <c r="AE21" s="14">
        <v>0.09</v>
      </c>
      <c r="AF21" s="14">
        <v>7.0000000000000007E-2</v>
      </c>
    </row>
    <row r="22" spans="1:32">
      <c r="A22" s="19"/>
      <c r="B22" s="11" t="s">
        <v>1159</v>
      </c>
      <c r="C22" s="12">
        <v>15974</v>
      </c>
      <c r="D22" s="12">
        <v>636</v>
      </c>
      <c r="E22" s="12">
        <v>399</v>
      </c>
      <c r="F22" s="12">
        <v>383</v>
      </c>
      <c r="G22" s="12">
        <v>591</v>
      </c>
      <c r="H22" s="12">
        <v>925</v>
      </c>
      <c r="I22" s="12">
        <v>1129</v>
      </c>
      <c r="J22" s="12">
        <v>204</v>
      </c>
      <c r="K22" s="12">
        <v>75</v>
      </c>
      <c r="L22" s="12">
        <v>300</v>
      </c>
      <c r="M22" s="12">
        <v>263</v>
      </c>
      <c r="N22" s="12">
        <v>351</v>
      </c>
      <c r="O22" s="12">
        <v>899</v>
      </c>
      <c r="P22" s="12">
        <v>350</v>
      </c>
      <c r="Q22" s="12">
        <v>830</v>
      </c>
      <c r="R22" s="12">
        <v>170</v>
      </c>
      <c r="S22" s="12">
        <v>146</v>
      </c>
      <c r="T22" s="12">
        <v>355</v>
      </c>
      <c r="U22" s="12">
        <v>165</v>
      </c>
      <c r="V22" s="12">
        <v>498</v>
      </c>
      <c r="W22" s="12">
        <v>83</v>
      </c>
      <c r="X22" s="12">
        <v>724</v>
      </c>
      <c r="Y22" s="12">
        <v>525</v>
      </c>
      <c r="Z22" s="12">
        <v>439</v>
      </c>
      <c r="AA22" s="12">
        <v>386</v>
      </c>
      <c r="AB22" s="12">
        <v>368</v>
      </c>
      <c r="AC22" s="12">
        <v>231</v>
      </c>
      <c r="AD22" s="12">
        <v>268</v>
      </c>
      <c r="AE22" s="12">
        <v>199</v>
      </c>
      <c r="AF22" s="12">
        <v>721</v>
      </c>
    </row>
    <row r="23" spans="1:32">
      <c r="A23" s="19"/>
      <c r="B23" s="13" t="s">
        <v>1160</v>
      </c>
      <c r="C23" s="14">
        <v>0.6</v>
      </c>
      <c r="D23" s="14">
        <v>0.62</v>
      </c>
      <c r="E23" s="14">
        <v>0.38</v>
      </c>
      <c r="F23" s="14">
        <v>0.36</v>
      </c>
      <c r="G23" s="14">
        <v>0.57999999999999996</v>
      </c>
      <c r="H23" s="14">
        <v>0.75</v>
      </c>
      <c r="I23" s="14">
        <v>0.74</v>
      </c>
      <c r="J23" s="14">
        <v>0.69000000000000006</v>
      </c>
      <c r="K23" s="14">
        <v>7.0000000000000007E-2</v>
      </c>
      <c r="L23" s="14">
        <v>0.3</v>
      </c>
      <c r="M23" s="14">
        <v>0.26</v>
      </c>
      <c r="N23" s="14">
        <v>0.35</v>
      </c>
      <c r="O23" s="14">
        <v>0.9</v>
      </c>
      <c r="P23" s="14">
        <v>0.35</v>
      </c>
      <c r="Q23" s="14">
        <v>0.81</v>
      </c>
      <c r="R23" s="14">
        <v>0.34</v>
      </c>
      <c r="S23" s="14">
        <v>0.15</v>
      </c>
      <c r="T23" s="14">
        <v>0.34</v>
      </c>
      <c r="U23" s="14">
        <v>0.32</v>
      </c>
      <c r="V23" s="14">
        <v>0.48</v>
      </c>
      <c r="W23" s="14">
        <v>0.17</v>
      </c>
      <c r="X23" s="14">
        <v>0.71</v>
      </c>
      <c r="Y23" s="14">
        <v>0.52</v>
      </c>
      <c r="Z23" s="14">
        <v>0.43</v>
      </c>
      <c r="AA23" s="14">
        <v>0.38</v>
      </c>
      <c r="AB23" s="14">
        <v>0.36</v>
      </c>
      <c r="AC23" s="14">
        <v>0.23</v>
      </c>
      <c r="AD23" s="14">
        <v>0.27</v>
      </c>
      <c r="AE23" s="14">
        <v>0.2</v>
      </c>
      <c r="AF23" s="14">
        <v>0.70000000000000007</v>
      </c>
    </row>
    <row r="24" spans="1:32">
      <c r="A24" s="19"/>
      <c r="B24" s="11" t="s">
        <v>1161</v>
      </c>
      <c r="C24" s="12">
        <v>9007</v>
      </c>
      <c r="D24" s="12">
        <v>352</v>
      </c>
      <c r="E24" s="12">
        <v>521</v>
      </c>
      <c r="F24" s="12">
        <v>619</v>
      </c>
      <c r="G24" s="12">
        <v>354</v>
      </c>
      <c r="H24" s="12">
        <v>246</v>
      </c>
      <c r="I24" s="12">
        <v>321</v>
      </c>
      <c r="J24" s="12">
        <v>75</v>
      </c>
      <c r="K24" s="12">
        <v>830</v>
      </c>
      <c r="L24" s="12">
        <v>609</v>
      </c>
      <c r="M24" s="12">
        <v>687</v>
      </c>
      <c r="N24" s="12">
        <v>563</v>
      </c>
      <c r="O24" s="12">
        <v>62</v>
      </c>
      <c r="P24" s="12">
        <v>603</v>
      </c>
      <c r="Q24" s="12">
        <v>182</v>
      </c>
      <c r="R24" s="12">
        <v>273</v>
      </c>
      <c r="S24" s="12">
        <v>722</v>
      </c>
      <c r="T24" s="12">
        <v>590</v>
      </c>
      <c r="U24" s="12">
        <v>263</v>
      </c>
      <c r="V24" s="12">
        <v>506</v>
      </c>
      <c r="W24" s="12">
        <v>393</v>
      </c>
      <c r="X24" s="12">
        <v>248</v>
      </c>
      <c r="Y24" s="12">
        <v>369</v>
      </c>
      <c r="Z24" s="12">
        <v>519</v>
      </c>
      <c r="AA24" s="12">
        <v>551</v>
      </c>
      <c r="AB24" s="12">
        <v>609</v>
      </c>
      <c r="AC24" s="12">
        <v>684</v>
      </c>
      <c r="AD24" s="12">
        <v>688</v>
      </c>
      <c r="AE24" s="12">
        <v>707</v>
      </c>
      <c r="AF24" s="12">
        <v>242</v>
      </c>
    </row>
    <row r="25" spans="1:32">
      <c r="A25" s="19"/>
      <c r="B25" s="13" t="s">
        <v>1162</v>
      </c>
      <c r="C25" s="14">
        <v>0.34</v>
      </c>
      <c r="D25" s="14">
        <v>0.35</v>
      </c>
      <c r="E25" s="14">
        <v>0.5</v>
      </c>
      <c r="F25" s="14">
        <v>0.57999999999999996</v>
      </c>
      <c r="G25" s="14">
        <v>0.35</v>
      </c>
      <c r="H25" s="14">
        <v>0.2</v>
      </c>
      <c r="I25" s="14">
        <v>0.21</v>
      </c>
      <c r="J25" s="14">
        <v>0.25</v>
      </c>
      <c r="K25" s="14">
        <v>0.83000000000000007</v>
      </c>
      <c r="L25" s="14">
        <v>0.6</v>
      </c>
      <c r="M25" s="14">
        <v>0.68</v>
      </c>
      <c r="N25" s="14">
        <v>0.55000000000000004</v>
      </c>
      <c r="O25" s="14">
        <v>0.06</v>
      </c>
      <c r="P25" s="14">
        <v>0.6</v>
      </c>
      <c r="Q25" s="14">
        <v>0.17</v>
      </c>
      <c r="R25" s="14">
        <v>0.55000000000000004</v>
      </c>
      <c r="S25" s="14">
        <v>0.72</v>
      </c>
      <c r="T25" s="14">
        <v>0.57999999999999996</v>
      </c>
      <c r="U25" s="14">
        <v>0.52</v>
      </c>
      <c r="V25" s="14">
        <v>0.5</v>
      </c>
      <c r="W25" s="14">
        <v>0.78</v>
      </c>
      <c r="X25" s="14">
        <v>0.25</v>
      </c>
      <c r="Y25" s="14">
        <v>0.37</v>
      </c>
      <c r="Z25" s="14">
        <v>0.51</v>
      </c>
      <c r="AA25" s="14">
        <v>0.53</v>
      </c>
      <c r="AB25" s="14">
        <v>0.57999999999999996</v>
      </c>
      <c r="AC25" s="14">
        <v>0.68</v>
      </c>
      <c r="AD25" s="14">
        <v>0.69000000000000006</v>
      </c>
      <c r="AE25" s="14">
        <v>0.71</v>
      </c>
      <c r="AF25" s="14">
        <v>0.23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1177</v>
      </c>
      <c r="C3" s="17"/>
      <c r="D3" s="17"/>
      <c r="E3" s="17"/>
      <c r="F3" s="17"/>
      <c r="H3" s="17" t="s">
        <v>1178</v>
      </c>
      <c r="I3" s="17"/>
      <c r="J3" s="17"/>
      <c r="K3" s="17"/>
      <c r="L3" s="17"/>
    </row>
    <row r="4" spans="1:32" ht="27" customHeight="1">
      <c r="B4" s="17" t="s">
        <v>1179</v>
      </c>
      <c r="C4" s="17"/>
      <c r="D4" s="17"/>
      <c r="E4" s="17"/>
      <c r="F4" s="17"/>
      <c r="H4" s="17" t="s">
        <v>1180</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HYPERLINK("#Content!A119","&lt;&lt;Back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1151</v>
      </c>
      <c r="C12" s="12">
        <v>7936</v>
      </c>
      <c r="D12" s="12">
        <v>237</v>
      </c>
      <c r="E12" s="12">
        <v>166</v>
      </c>
      <c r="F12" s="12">
        <v>157</v>
      </c>
      <c r="G12" s="12">
        <v>327</v>
      </c>
      <c r="H12" s="12">
        <v>441</v>
      </c>
      <c r="I12" s="12">
        <v>528</v>
      </c>
      <c r="J12" s="12">
        <v>87</v>
      </c>
      <c r="K12" s="12">
        <v>27</v>
      </c>
      <c r="L12" s="12">
        <v>119</v>
      </c>
      <c r="M12" s="12">
        <v>92</v>
      </c>
      <c r="N12" s="12">
        <v>143</v>
      </c>
      <c r="O12" s="12">
        <v>559</v>
      </c>
      <c r="P12" s="12">
        <v>173</v>
      </c>
      <c r="Q12" s="12">
        <v>443</v>
      </c>
      <c r="R12" s="12">
        <v>84</v>
      </c>
      <c r="S12" s="12">
        <v>60</v>
      </c>
      <c r="T12" s="12">
        <v>98</v>
      </c>
      <c r="U12" s="12">
        <v>93</v>
      </c>
      <c r="V12" s="12">
        <v>204</v>
      </c>
      <c r="W12" s="12">
        <v>45</v>
      </c>
      <c r="X12" s="12">
        <v>343</v>
      </c>
      <c r="Y12" s="12">
        <v>286</v>
      </c>
      <c r="Z12" s="12">
        <v>152</v>
      </c>
      <c r="AA12" s="12">
        <v>153</v>
      </c>
      <c r="AB12" s="12">
        <v>123</v>
      </c>
      <c r="AC12" s="12">
        <v>94</v>
      </c>
      <c r="AD12" s="12">
        <v>94</v>
      </c>
      <c r="AE12" s="12">
        <v>82</v>
      </c>
      <c r="AF12" s="12">
        <v>440</v>
      </c>
    </row>
    <row r="13" spans="1:32">
      <c r="A13" s="19"/>
      <c r="B13" s="13" t="s">
        <v>1152</v>
      </c>
      <c r="C13" s="14">
        <v>0.3</v>
      </c>
      <c r="D13" s="14">
        <v>0.23</v>
      </c>
      <c r="E13" s="14">
        <v>0.16</v>
      </c>
      <c r="F13" s="14">
        <v>0.15</v>
      </c>
      <c r="G13" s="14">
        <v>0.32</v>
      </c>
      <c r="H13" s="14">
        <v>0.36</v>
      </c>
      <c r="I13" s="14">
        <v>0.35</v>
      </c>
      <c r="J13" s="14">
        <v>0.28999999999999998</v>
      </c>
      <c r="K13" s="14">
        <v>0.03</v>
      </c>
      <c r="L13" s="14">
        <v>0.12</v>
      </c>
      <c r="M13" s="14">
        <v>0.09</v>
      </c>
      <c r="N13" s="14">
        <v>0.14000000000000001</v>
      </c>
      <c r="O13" s="14">
        <v>0.56000000000000005</v>
      </c>
      <c r="P13" s="14">
        <v>0.17</v>
      </c>
      <c r="Q13" s="14">
        <v>0.43</v>
      </c>
      <c r="R13" s="14">
        <v>0.17</v>
      </c>
      <c r="S13" s="14">
        <v>0.06</v>
      </c>
      <c r="T13" s="14">
        <v>0.1</v>
      </c>
      <c r="U13" s="14">
        <v>0.18</v>
      </c>
      <c r="V13" s="14">
        <v>0.2</v>
      </c>
      <c r="W13" s="14">
        <v>0.09</v>
      </c>
      <c r="X13" s="14">
        <v>0.34</v>
      </c>
      <c r="Y13" s="14">
        <v>0.28999999999999998</v>
      </c>
      <c r="Z13" s="14">
        <v>0.15</v>
      </c>
      <c r="AA13" s="14">
        <v>0.15</v>
      </c>
      <c r="AB13" s="14">
        <v>0.12</v>
      </c>
      <c r="AC13" s="14">
        <v>0.09</v>
      </c>
      <c r="AD13" s="14">
        <v>0.09</v>
      </c>
      <c r="AE13" s="14">
        <v>0.08</v>
      </c>
      <c r="AF13" s="14">
        <v>0.43</v>
      </c>
    </row>
    <row r="14" spans="1:32">
      <c r="A14" s="19"/>
      <c r="B14" s="11" t="s">
        <v>1153</v>
      </c>
      <c r="C14" s="12">
        <v>8524</v>
      </c>
      <c r="D14" s="12">
        <v>401</v>
      </c>
      <c r="E14" s="12">
        <v>228</v>
      </c>
      <c r="F14" s="12">
        <v>230</v>
      </c>
      <c r="G14" s="12">
        <v>343</v>
      </c>
      <c r="H14" s="12">
        <v>468</v>
      </c>
      <c r="I14" s="12">
        <v>590</v>
      </c>
      <c r="J14" s="12">
        <v>122</v>
      </c>
      <c r="K14" s="12">
        <v>71</v>
      </c>
      <c r="L14" s="12">
        <v>231</v>
      </c>
      <c r="M14" s="12">
        <v>191</v>
      </c>
      <c r="N14" s="12">
        <v>237</v>
      </c>
      <c r="O14" s="12">
        <v>322</v>
      </c>
      <c r="P14" s="12">
        <v>222</v>
      </c>
      <c r="Q14" s="12">
        <v>397</v>
      </c>
      <c r="R14" s="12">
        <v>82</v>
      </c>
      <c r="S14" s="12">
        <v>110</v>
      </c>
      <c r="T14" s="12">
        <v>269</v>
      </c>
      <c r="U14" s="12">
        <v>107</v>
      </c>
      <c r="V14" s="12">
        <v>327</v>
      </c>
      <c r="W14" s="12">
        <v>54</v>
      </c>
      <c r="X14" s="12">
        <v>448</v>
      </c>
      <c r="Y14" s="12">
        <v>293</v>
      </c>
      <c r="Z14" s="12">
        <v>373</v>
      </c>
      <c r="AA14" s="12">
        <v>247</v>
      </c>
      <c r="AB14" s="12">
        <v>281</v>
      </c>
      <c r="AC14" s="12">
        <v>177</v>
      </c>
      <c r="AD14" s="12">
        <v>204</v>
      </c>
      <c r="AE14" s="12">
        <v>134</v>
      </c>
      <c r="AF14" s="12">
        <v>341</v>
      </c>
    </row>
    <row r="15" spans="1:32">
      <c r="A15" s="19"/>
      <c r="B15" s="13" t="s">
        <v>1154</v>
      </c>
      <c r="C15" s="14">
        <v>0.32</v>
      </c>
      <c r="D15" s="14">
        <v>0.39</v>
      </c>
      <c r="E15" s="14">
        <v>0.22</v>
      </c>
      <c r="F15" s="14">
        <v>0.21</v>
      </c>
      <c r="G15" s="14">
        <v>0.34</v>
      </c>
      <c r="H15" s="14">
        <v>0.38</v>
      </c>
      <c r="I15" s="14">
        <v>0.39</v>
      </c>
      <c r="J15" s="14">
        <v>0.41</v>
      </c>
      <c r="K15" s="14">
        <v>7.0000000000000007E-2</v>
      </c>
      <c r="L15" s="14">
        <v>0.23</v>
      </c>
      <c r="M15" s="14">
        <v>0.19</v>
      </c>
      <c r="N15" s="14">
        <v>0.23</v>
      </c>
      <c r="O15" s="14">
        <v>0.32</v>
      </c>
      <c r="P15" s="14">
        <v>0.22</v>
      </c>
      <c r="Q15" s="14">
        <v>0.38</v>
      </c>
      <c r="R15" s="14">
        <v>0.16</v>
      </c>
      <c r="S15" s="14">
        <v>0.11</v>
      </c>
      <c r="T15" s="14">
        <v>0.26</v>
      </c>
      <c r="U15" s="14">
        <v>0.21</v>
      </c>
      <c r="V15" s="14">
        <v>0.32</v>
      </c>
      <c r="W15" s="14">
        <v>0.11</v>
      </c>
      <c r="X15" s="14">
        <v>0.44</v>
      </c>
      <c r="Y15" s="14">
        <v>0.28999999999999998</v>
      </c>
      <c r="Z15" s="14">
        <v>0.37</v>
      </c>
      <c r="AA15" s="14">
        <v>0.24</v>
      </c>
      <c r="AB15" s="14">
        <v>0.27</v>
      </c>
      <c r="AC15" s="14">
        <v>0.18</v>
      </c>
      <c r="AD15" s="14">
        <v>0.2</v>
      </c>
      <c r="AE15" s="14">
        <v>0.13</v>
      </c>
      <c r="AF15" s="14">
        <v>0.33</v>
      </c>
    </row>
    <row r="16" spans="1:32">
      <c r="A16" s="19"/>
      <c r="B16" s="11" t="s">
        <v>1155</v>
      </c>
      <c r="C16" s="12">
        <v>5400</v>
      </c>
      <c r="D16" s="12">
        <v>314</v>
      </c>
      <c r="E16" s="12">
        <v>196</v>
      </c>
      <c r="F16" s="12">
        <v>305</v>
      </c>
      <c r="G16" s="12">
        <v>231</v>
      </c>
      <c r="H16" s="12">
        <v>244</v>
      </c>
      <c r="I16" s="12">
        <v>308</v>
      </c>
      <c r="J16" s="12">
        <v>64</v>
      </c>
      <c r="K16" s="12">
        <v>429</v>
      </c>
      <c r="L16" s="12">
        <v>316</v>
      </c>
      <c r="M16" s="12">
        <v>324</v>
      </c>
      <c r="N16" s="12">
        <v>240</v>
      </c>
      <c r="O16" s="12">
        <v>73</v>
      </c>
      <c r="P16" s="12">
        <v>339</v>
      </c>
      <c r="Q16" s="12">
        <v>142</v>
      </c>
      <c r="R16" s="12">
        <v>116</v>
      </c>
      <c r="S16" s="12">
        <v>327</v>
      </c>
      <c r="T16" s="12">
        <v>329</v>
      </c>
      <c r="U16" s="12">
        <v>172</v>
      </c>
      <c r="V16" s="12">
        <v>293</v>
      </c>
      <c r="W16" s="12">
        <v>151</v>
      </c>
      <c r="X16" s="12">
        <v>160</v>
      </c>
      <c r="Y16" s="12">
        <v>231</v>
      </c>
      <c r="Z16" s="12">
        <v>315</v>
      </c>
      <c r="AA16" s="12">
        <v>200</v>
      </c>
      <c r="AB16" s="12">
        <v>258</v>
      </c>
      <c r="AC16" s="12">
        <v>316</v>
      </c>
      <c r="AD16" s="12">
        <v>286</v>
      </c>
      <c r="AE16" s="12">
        <v>387</v>
      </c>
      <c r="AF16" s="12">
        <v>159</v>
      </c>
    </row>
    <row r="17" spans="1:32">
      <c r="A17" s="19"/>
      <c r="B17" s="13" t="s">
        <v>1156</v>
      </c>
      <c r="C17" s="14">
        <v>0.21</v>
      </c>
      <c r="D17" s="14">
        <v>0.31</v>
      </c>
      <c r="E17" s="14">
        <v>0.19</v>
      </c>
      <c r="F17" s="14">
        <v>0.28999999999999998</v>
      </c>
      <c r="G17" s="14">
        <v>0.23</v>
      </c>
      <c r="H17" s="14">
        <v>0.2</v>
      </c>
      <c r="I17" s="14">
        <v>0.2</v>
      </c>
      <c r="J17" s="14">
        <v>0.22</v>
      </c>
      <c r="K17" s="14">
        <v>0.43</v>
      </c>
      <c r="L17" s="14">
        <v>0.31</v>
      </c>
      <c r="M17" s="14">
        <v>0.32</v>
      </c>
      <c r="N17" s="14">
        <v>0.24</v>
      </c>
      <c r="O17" s="14">
        <v>7.0000000000000007E-2</v>
      </c>
      <c r="P17" s="14">
        <v>0.34</v>
      </c>
      <c r="Q17" s="14">
        <v>0.14000000000000001</v>
      </c>
      <c r="R17" s="14">
        <v>0.23</v>
      </c>
      <c r="S17" s="14">
        <v>0.33</v>
      </c>
      <c r="T17" s="14">
        <v>0.32</v>
      </c>
      <c r="U17" s="14">
        <v>0.34</v>
      </c>
      <c r="V17" s="14">
        <v>0.28000000000000003</v>
      </c>
      <c r="W17" s="14">
        <v>0.3</v>
      </c>
      <c r="X17" s="14">
        <v>0.16</v>
      </c>
      <c r="Y17" s="14">
        <v>0.23</v>
      </c>
      <c r="Z17" s="14">
        <v>0.31</v>
      </c>
      <c r="AA17" s="14">
        <v>0.19</v>
      </c>
      <c r="AB17" s="14">
        <v>0.25</v>
      </c>
      <c r="AC17" s="14">
        <v>0.32</v>
      </c>
      <c r="AD17" s="14">
        <v>0.28999999999999998</v>
      </c>
      <c r="AE17" s="14">
        <v>0.39</v>
      </c>
      <c r="AF17" s="14">
        <v>0.15</v>
      </c>
    </row>
    <row r="18" spans="1:32">
      <c r="A18" s="19"/>
      <c r="B18" s="11" t="s">
        <v>1157</v>
      </c>
      <c r="C18" s="12">
        <v>3207</v>
      </c>
      <c r="D18" s="12">
        <v>37</v>
      </c>
      <c r="E18" s="12">
        <v>336</v>
      </c>
      <c r="F18" s="12">
        <v>318</v>
      </c>
      <c r="G18" s="12">
        <v>64</v>
      </c>
      <c r="H18" s="12">
        <v>11</v>
      </c>
      <c r="I18" s="12">
        <v>23</v>
      </c>
      <c r="J18" s="12">
        <v>12</v>
      </c>
      <c r="K18" s="12">
        <v>393</v>
      </c>
      <c r="L18" s="12">
        <v>250</v>
      </c>
      <c r="M18" s="12">
        <v>346</v>
      </c>
      <c r="N18" s="12">
        <v>302</v>
      </c>
      <c r="O18" s="12">
        <v>8</v>
      </c>
      <c r="P18" s="12">
        <v>220</v>
      </c>
      <c r="Q18" s="12">
        <v>30</v>
      </c>
      <c r="R18" s="12">
        <v>161</v>
      </c>
      <c r="S18" s="12">
        <v>371</v>
      </c>
      <c r="T18" s="12">
        <v>250</v>
      </c>
      <c r="U18" s="12">
        <v>73</v>
      </c>
      <c r="V18" s="12">
        <v>181</v>
      </c>
      <c r="W18" s="12">
        <v>229</v>
      </c>
      <c r="X18" s="12">
        <v>23</v>
      </c>
      <c r="Y18" s="12">
        <v>94</v>
      </c>
      <c r="Z18" s="12">
        <v>129</v>
      </c>
      <c r="AA18" s="12">
        <v>345</v>
      </c>
      <c r="AB18" s="12">
        <v>313</v>
      </c>
      <c r="AC18" s="12">
        <v>344</v>
      </c>
      <c r="AD18" s="12">
        <v>377</v>
      </c>
      <c r="AE18" s="12">
        <v>303</v>
      </c>
      <c r="AF18" s="12">
        <v>44</v>
      </c>
    </row>
    <row r="19" spans="1:32">
      <c r="A19" s="19"/>
      <c r="B19" s="13" t="s">
        <v>1158</v>
      </c>
      <c r="C19" s="14">
        <v>0.12</v>
      </c>
      <c r="D19" s="14">
        <v>0.04</v>
      </c>
      <c r="E19" s="14">
        <v>0.32</v>
      </c>
      <c r="F19" s="14">
        <v>0.3</v>
      </c>
      <c r="G19" s="14">
        <v>0.06</v>
      </c>
      <c r="H19" s="14">
        <v>0.01</v>
      </c>
      <c r="I19" s="14">
        <v>0.01</v>
      </c>
      <c r="J19" s="14">
        <v>0.04</v>
      </c>
      <c r="K19" s="14">
        <v>0.39</v>
      </c>
      <c r="L19" s="14">
        <v>0.25</v>
      </c>
      <c r="M19" s="14">
        <v>0.34</v>
      </c>
      <c r="N19" s="14">
        <v>0.3</v>
      </c>
      <c r="O19" s="14">
        <v>0.01</v>
      </c>
      <c r="P19" s="14">
        <v>0.22</v>
      </c>
      <c r="Q19" s="14">
        <v>0.03</v>
      </c>
      <c r="R19" s="14">
        <v>0.32</v>
      </c>
      <c r="S19" s="14">
        <v>0.37</v>
      </c>
      <c r="T19" s="14">
        <v>0.24</v>
      </c>
      <c r="U19" s="14">
        <v>0.14000000000000001</v>
      </c>
      <c r="V19" s="14">
        <v>0.18</v>
      </c>
      <c r="W19" s="14">
        <v>0.45</v>
      </c>
      <c r="X19" s="14">
        <v>0.02</v>
      </c>
      <c r="Y19" s="14">
        <v>0.09</v>
      </c>
      <c r="Z19" s="14">
        <v>0.13</v>
      </c>
      <c r="AA19" s="14">
        <v>0.33</v>
      </c>
      <c r="AB19" s="14">
        <v>0.3</v>
      </c>
      <c r="AC19" s="14">
        <v>0.34</v>
      </c>
      <c r="AD19" s="14">
        <v>0.38</v>
      </c>
      <c r="AE19" s="14">
        <v>0.3</v>
      </c>
      <c r="AF19" s="14">
        <v>0.04</v>
      </c>
    </row>
    <row r="20" spans="1:32">
      <c r="A20" s="19"/>
      <c r="B20" s="11" t="s">
        <v>386</v>
      </c>
      <c r="C20" s="12">
        <v>1387</v>
      </c>
      <c r="D20" s="12">
        <v>33</v>
      </c>
      <c r="E20" s="12">
        <v>120</v>
      </c>
      <c r="F20" s="12">
        <v>53</v>
      </c>
      <c r="G20" s="12">
        <v>52</v>
      </c>
      <c r="H20" s="12">
        <v>67</v>
      </c>
      <c r="I20" s="12">
        <v>78</v>
      </c>
      <c r="J20" s="12">
        <v>11</v>
      </c>
      <c r="K20" s="12">
        <v>86</v>
      </c>
      <c r="L20" s="12">
        <v>90</v>
      </c>
      <c r="M20" s="12">
        <v>54</v>
      </c>
      <c r="N20" s="12">
        <v>89</v>
      </c>
      <c r="O20" s="12">
        <v>43</v>
      </c>
      <c r="P20" s="12">
        <v>49</v>
      </c>
      <c r="Q20" s="12">
        <v>19</v>
      </c>
      <c r="R20" s="12">
        <v>57</v>
      </c>
      <c r="S20" s="12">
        <v>136</v>
      </c>
      <c r="T20" s="12">
        <v>77</v>
      </c>
      <c r="U20" s="12">
        <v>63</v>
      </c>
      <c r="V20" s="12">
        <v>21</v>
      </c>
      <c r="W20" s="12">
        <v>23</v>
      </c>
      <c r="X20" s="12">
        <v>36</v>
      </c>
      <c r="Y20" s="12">
        <v>100</v>
      </c>
      <c r="Z20" s="12">
        <v>47</v>
      </c>
      <c r="AA20" s="12">
        <v>92</v>
      </c>
      <c r="AB20" s="12">
        <v>66</v>
      </c>
      <c r="AC20" s="12">
        <v>74</v>
      </c>
      <c r="AD20" s="12">
        <v>41</v>
      </c>
      <c r="AE20" s="12">
        <v>95</v>
      </c>
      <c r="AF20" s="12">
        <v>46</v>
      </c>
    </row>
    <row r="21" spans="1:32">
      <c r="A21" s="19"/>
      <c r="B21" s="13" t="s">
        <v>399</v>
      </c>
      <c r="C21" s="14">
        <v>0.05</v>
      </c>
      <c r="D21" s="14">
        <v>0.03</v>
      </c>
      <c r="E21" s="14">
        <v>0.11</v>
      </c>
      <c r="F21" s="14">
        <v>0.05</v>
      </c>
      <c r="G21" s="14">
        <v>0.05</v>
      </c>
      <c r="H21" s="14">
        <v>0.05</v>
      </c>
      <c r="I21" s="14">
        <v>0.05</v>
      </c>
      <c r="J21" s="14">
        <v>0.04</v>
      </c>
      <c r="K21" s="14">
        <v>0.08</v>
      </c>
      <c r="L21" s="14">
        <v>0.09</v>
      </c>
      <c r="M21" s="14">
        <v>0.06</v>
      </c>
      <c r="N21" s="14">
        <v>0.09</v>
      </c>
      <c r="O21" s="14">
        <v>0.04</v>
      </c>
      <c r="P21" s="14">
        <v>0.05</v>
      </c>
      <c r="Q21" s="14">
        <v>0.02</v>
      </c>
      <c r="R21" s="14">
        <v>0.12</v>
      </c>
      <c r="S21" s="14">
        <v>0.13</v>
      </c>
      <c r="T21" s="14">
        <v>0.08</v>
      </c>
      <c r="U21" s="14">
        <v>0.13</v>
      </c>
      <c r="V21" s="14">
        <v>0.02</v>
      </c>
      <c r="W21" s="14">
        <v>0.05</v>
      </c>
      <c r="X21" s="14">
        <v>0.04</v>
      </c>
      <c r="Y21" s="14">
        <v>0.1</v>
      </c>
      <c r="Z21" s="14">
        <v>0.04</v>
      </c>
      <c r="AA21" s="14">
        <v>0.09</v>
      </c>
      <c r="AB21" s="14">
        <v>0.06</v>
      </c>
      <c r="AC21" s="14">
        <v>7.0000000000000007E-2</v>
      </c>
      <c r="AD21" s="14">
        <v>0.04</v>
      </c>
      <c r="AE21" s="14">
        <v>0.1</v>
      </c>
      <c r="AF21" s="14">
        <v>0.05</v>
      </c>
    </row>
    <row r="22" spans="1:32">
      <c r="A22" s="19"/>
      <c r="B22" s="11" t="s">
        <v>1159</v>
      </c>
      <c r="C22" s="12">
        <v>16460</v>
      </c>
      <c r="D22" s="12">
        <v>638</v>
      </c>
      <c r="E22" s="12">
        <v>394</v>
      </c>
      <c r="F22" s="12">
        <v>387</v>
      </c>
      <c r="G22" s="12">
        <v>670</v>
      </c>
      <c r="H22" s="12">
        <v>909</v>
      </c>
      <c r="I22" s="12">
        <v>1118</v>
      </c>
      <c r="J22" s="12">
        <v>209</v>
      </c>
      <c r="K22" s="12">
        <v>98</v>
      </c>
      <c r="L22" s="12">
        <v>350</v>
      </c>
      <c r="M22" s="12">
        <v>283</v>
      </c>
      <c r="N22" s="12">
        <v>380</v>
      </c>
      <c r="O22" s="12">
        <v>881</v>
      </c>
      <c r="P22" s="12">
        <v>395</v>
      </c>
      <c r="Q22" s="12">
        <v>840</v>
      </c>
      <c r="R22" s="12">
        <v>166</v>
      </c>
      <c r="S22" s="12">
        <v>170</v>
      </c>
      <c r="T22" s="12">
        <v>367</v>
      </c>
      <c r="U22" s="12">
        <v>200</v>
      </c>
      <c r="V22" s="12">
        <v>531</v>
      </c>
      <c r="W22" s="12">
        <v>99</v>
      </c>
      <c r="X22" s="12">
        <v>791</v>
      </c>
      <c r="Y22" s="12">
        <v>579</v>
      </c>
      <c r="Z22" s="12">
        <v>525</v>
      </c>
      <c r="AA22" s="12">
        <v>400</v>
      </c>
      <c r="AB22" s="12">
        <v>404</v>
      </c>
      <c r="AC22" s="12">
        <v>271</v>
      </c>
      <c r="AD22" s="12">
        <v>298</v>
      </c>
      <c r="AE22" s="12">
        <v>216</v>
      </c>
      <c r="AF22" s="12">
        <v>781</v>
      </c>
    </row>
    <row r="23" spans="1:32">
      <c r="A23" s="19"/>
      <c r="B23" s="13" t="s">
        <v>1160</v>
      </c>
      <c r="C23" s="14">
        <v>0.62</v>
      </c>
      <c r="D23" s="14">
        <v>0.62</v>
      </c>
      <c r="E23" s="14">
        <v>0.38</v>
      </c>
      <c r="F23" s="14">
        <v>0.36</v>
      </c>
      <c r="G23" s="14">
        <v>0.66</v>
      </c>
      <c r="H23" s="14">
        <v>0.74</v>
      </c>
      <c r="I23" s="14">
        <v>0.74</v>
      </c>
      <c r="J23" s="14">
        <v>0.70000000000000007</v>
      </c>
      <c r="K23" s="14">
        <v>0.1</v>
      </c>
      <c r="L23" s="14">
        <v>0.35</v>
      </c>
      <c r="M23" s="14">
        <v>0.28000000000000003</v>
      </c>
      <c r="N23" s="14">
        <v>0.37</v>
      </c>
      <c r="O23" s="14">
        <v>0.88</v>
      </c>
      <c r="P23" s="14">
        <v>0.39</v>
      </c>
      <c r="Q23" s="14">
        <v>0.81</v>
      </c>
      <c r="R23" s="14">
        <v>0.33</v>
      </c>
      <c r="S23" s="14">
        <v>0.17</v>
      </c>
      <c r="T23" s="14">
        <v>0.36</v>
      </c>
      <c r="U23" s="14">
        <v>0.39</v>
      </c>
      <c r="V23" s="14">
        <v>0.52</v>
      </c>
      <c r="W23" s="14">
        <v>0.2</v>
      </c>
      <c r="X23" s="14">
        <v>0.78</v>
      </c>
      <c r="Y23" s="14">
        <v>0.57999999999999996</v>
      </c>
      <c r="Z23" s="14">
        <v>0.52</v>
      </c>
      <c r="AA23" s="14">
        <v>0.39</v>
      </c>
      <c r="AB23" s="14">
        <v>0.39</v>
      </c>
      <c r="AC23" s="14">
        <v>0.27</v>
      </c>
      <c r="AD23" s="14">
        <v>0.28999999999999998</v>
      </c>
      <c r="AE23" s="14">
        <v>0.21</v>
      </c>
      <c r="AF23" s="14">
        <v>0.76</v>
      </c>
    </row>
    <row r="24" spans="1:32">
      <c r="A24" s="19"/>
      <c r="B24" s="11" t="s">
        <v>1161</v>
      </c>
      <c r="C24" s="12">
        <v>8607</v>
      </c>
      <c r="D24" s="12">
        <v>351</v>
      </c>
      <c r="E24" s="12">
        <v>532</v>
      </c>
      <c r="F24" s="12">
        <v>623</v>
      </c>
      <c r="G24" s="12">
        <v>295</v>
      </c>
      <c r="H24" s="12">
        <v>255</v>
      </c>
      <c r="I24" s="12">
        <v>331</v>
      </c>
      <c r="J24" s="12">
        <v>76</v>
      </c>
      <c r="K24" s="12">
        <v>822</v>
      </c>
      <c r="L24" s="12">
        <v>566</v>
      </c>
      <c r="M24" s="12">
        <v>670</v>
      </c>
      <c r="N24" s="12">
        <v>542</v>
      </c>
      <c r="O24" s="12">
        <v>81</v>
      </c>
      <c r="P24" s="12">
        <v>559</v>
      </c>
      <c r="Q24" s="12">
        <v>172</v>
      </c>
      <c r="R24" s="12">
        <v>277</v>
      </c>
      <c r="S24" s="12">
        <v>698</v>
      </c>
      <c r="T24" s="12">
        <v>579</v>
      </c>
      <c r="U24" s="12">
        <v>245</v>
      </c>
      <c r="V24" s="12">
        <v>474</v>
      </c>
      <c r="W24" s="12">
        <v>380</v>
      </c>
      <c r="X24" s="12">
        <v>183</v>
      </c>
      <c r="Y24" s="12">
        <v>325</v>
      </c>
      <c r="Z24" s="12">
        <v>444</v>
      </c>
      <c r="AA24" s="12">
        <v>545</v>
      </c>
      <c r="AB24" s="12">
        <v>571</v>
      </c>
      <c r="AC24" s="12">
        <v>660</v>
      </c>
      <c r="AD24" s="12">
        <v>663</v>
      </c>
      <c r="AE24" s="12">
        <v>690</v>
      </c>
      <c r="AF24" s="12">
        <v>203</v>
      </c>
    </row>
    <row r="25" spans="1:32">
      <c r="A25" s="19"/>
      <c r="B25" s="13" t="s">
        <v>1162</v>
      </c>
      <c r="C25" s="14">
        <v>0.33</v>
      </c>
      <c r="D25" s="14">
        <v>0.35</v>
      </c>
      <c r="E25" s="14">
        <v>0.51</v>
      </c>
      <c r="F25" s="14">
        <v>0.59</v>
      </c>
      <c r="G25" s="14">
        <v>0.28999999999999998</v>
      </c>
      <c r="H25" s="14">
        <v>0.21</v>
      </c>
      <c r="I25" s="14">
        <v>0.21</v>
      </c>
      <c r="J25" s="14">
        <v>0.26</v>
      </c>
      <c r="K25" s="14">
        <v>0.82000000000000006</v>
      </c>
      <c r="L25" s="14">
        <v>0.56000000000000005</v>
      </c>
      <c r="M25" s="14">
        <v>0.66</v>
      </c>
      <c r="N25" s="14">
        <v>0.54</v>
      </c>
      <c r="O25" s="14">
        <v>0.08</v>
      </c>
      <c r="P25" s="14">
        <v>0.56000000000000005</v>
      </c>
      <c r="Q25" s="14">
        <v>0.17</v>
      </c>
      <c r="R25" s="14">
        <v>0.55000000000000004</v>
      </c>
      <c r="S25" s="14">
        <v>0.70000000000000007</v>
      </c>
      <c r="T25" s="14">
        <v>0.56000000000000005</v>
      </c>
      <c r="U25" s="14">
        <v>0.48</v>
      </c>
      <c r="V25" s="14">
        <v>0.46</v>
      </c>
      <c r="W25" s="14">
        <v>0.75</v>
      </c>
      <c r="X25" s="14">
        <v>0.18</v>
      </c>
      <c r="Y25" s="14">
        <v>0.32</v>
      </c>
      <c r="Z25" s="14">
        <v>0.44</v>
      </c>
      <c r="AA25" s="14">
        <v>0.52</v>
      </c>
      <c r="AB25" s="14">
        <v>0.55000000000000004</v>
      </c>
      <c r="AC25" s="14">
        <v>0.66</v>
      </c>
      <c r="AD25" s="14">
        <v>0.67</v>
      </c>
      <c r="AE25" s="14">
        <v>0.69000000000000006</v>
      </c>
      <c r="AF25" s="14">
        <v>0.19</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1181</v>
      </c>
      <c r="C3" s="17"/>
      <c r="D3" s="17"/>
      <c r="E3" s="17"/>
      <c r="F3" s="17"/>
      <c r="H3" s="17" t="s">
        <v>1182</v>
      </c>
      <c r="I3" s="17"/>
      <c r="J3" s="17"/>
      <c r="K3" s="17"/>
      <c r="L3" s="17"/>
    </row>
    <row r="4" spans="1:32" ht="27" customHeight="1">
      <c r="B4" s="17" t="s">
        <v>1183</v>
      </c>
      <c r="C4" s="17"/>
      <c r="D4" s="17"/>
      <c r="E4" s="17"/>
      <c r="F4" s="17"/>
      <c r="H4" s="17" t="s">
        <v>1184</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1151</v>
      </c>
      <c r="C12" s="12">
        <v>5346</v>
      </c>
      <c r="D12" s="12">
        <v>196</v>
      </c>
      <c r="E12" s="12">
        <v>111</v>
      </c>
      <c r="F12" s="12">
        <v>88</v>
      </c>
      <c r="G12" s="12">
        <v>172</v>
      </c>
      <c r="H12" s="12">
        <v>273</v>
      </c>
      <c r="I12" s="12">
        <v>332</v>
      </c>
      <c r="J12" s="12">
        <v>59</v>
      </c>
      <c r="K12" s="12">
        <v>32</v>
      </c>
      <c r="L12" s="12">
        <v>96</v>
      </c>
      <c r="M12" s="12">
        <v>56</v>
      </c>
      <c r="N12" s="12">
        <v>111</v>
      </c>
      <c r="O12" s="12">
        <v>376</v>
      </c>
      <c r="P12" s="12">
        <v>130</v>
      </c>
      <c r="Q12" s="12">
        <v>315</v>
      </c>
      <c r="R12" s="12">
        <v>46</v>
      </c>
      <c r="S12" s="12">
        <v>53</v>
      </c>
      <c r="T12" s="12">
        <v>76</v>
      </c>
      <c r="U12" s="12">
        <v>63</v>
      </c>
      <c r="V12" s="12">
        <v>134</v>
      </c>
      <c r="W12" s="12">
        <v>39</v>
      </c>
      <c r="X12" s="12">
        <v>191</v>
      </c>
      <c r="Y12" s="12">
        <v>216</v>
      </c>
      <c r="Z12" s="12">
        <v>125</v>
      </c>
      <c r="AA12" s="12">
        <v>121</v>
      </c>
      <c r="AB12" s="12">
        <v>81</v>
      </c>
      <c r="AC12" s="12">
        <v>77</v>
      </c>
      <c r="AD12" s="12">
        <v>55</v>
      </c>
      <c r="AE12" s="12">
        <v>47</v>
      </c>
      <c r="AF12" s="12">
        <v>216</v>
      </c>
    </row>
    <row r="13" spans="1:32">
      <c r="A13" s="19"/>
      <c r="B13" s="13" t="s">
        <v>1152</v>
      </c>
      <c r="C13" s="14">
        <v>0.2</v>
      </c>
      <c r="D13" s="14">
        <v>0.19</v>
      </c>
      <c r="E13" s="14">
        <v>0.11</v>
      </c>
      <c r="F13" s="14">
        <v>0.08</v>
      </c>
      <c r="G13" s="14">
        <v>0.17</v>
      </c>
      <c r="H13" s="14">
        <v>0.22</v>
      </c>
      <c r="I13" s="14">
        <v>0.22</v>
      </c>
      <c r="J13" s="14">
        <v>0.2</v>
      </c>
      <c r="K13" s="14">
        <v>0.03</v>
      </c>
      <c r="L13" s="14">
        <v>0.09</v>
      </c>
      <c r="M13" s="14">
        <v>0.06</v>
      </c>
      <c r="N13" s="14">
        <v>0.11</v>
      </c>
      <c r="O13" s="14">
        <v>0.37</v>
      </c>
      <c r="P13" s="14">
        <v>0.13</v>
      </c>
      <c r="Q13" s="14">
        <v>0.31</v>
      </c>
      <c r="R13" s="14">
        <v>0.09</v>
      </c>
      <c r="S13" s="14">
        <v>0.05</v>
      </c>
      <c r="T13" s="14">
        <v>0.08</v>
      </c>
      <c r="U13" s="14">
        <v>0.12</v>
      </c>
      <c r="V13" s="14">
        <v>0.13</v>
      </c>
      <c r="W13" s="14">
        <v>0.08</v>
      </c>
      <c r="X13" s="14">
        <v>0.19</v>
      </c>
      <c r="Y13" s="14">
        <v>0.21</v>
      </c>
      <c r="Z13" s="14">
        <v>0.12</v>
      </c>
      <c r="AA13" s="14">
        <v>0.12</v>
      </c>
      <c r="AB13" s="14">
        <v>0.08</v>
      </c>
      <c r="AC13" s="14">
        <v>0.08</v>
      </c>
      <c r="AD13" s="14">
        <v>0.06</v>
      </c>
      <c r="AE13" s="14">
        <v>0.05</v>
      </c>
      <c r="AF13" s="14">
        <v>0.21</v>
      </c>
    </row>
    <row r="14" spans="1:32">
      <c r="A14" s="19"/>
      <c r="B14" s="11" t="s">
        <v>1153</v>
      </c>
      <c r="C14" s="12">
        <v>8719</v>
      </c>
      <c r="D14" s="12">
        <v>342</v>
      </c>
      <c r="E14" s="12">
        <v>230</v>
      </c>
      <c r="F14" s="12">
        <v>227</v>
      </c>
      <c r="G14" s="12">
        <v>278</v>
      </c>
      <c r="H14" s="12">
        <v>442</v>
      </c>
      <c r="I14" s="12">
        <v>553</v>
      </c>
      <c r="J14" s="12">
        <v>111</v>
      </c>
      <c r="K14" s="12">
        <v>101</v>
      </c>
      <c r="L14" s="12">
        <v>237</v>
      </c>
      <c r="M14" s="12">
        <v>185</v>
      </c>
      <c r="N14" s="12">
        <v>285</v>
      </c>
      <c r="O14" s="12">
        <v>337</v>
      </c>
      <c r="P14" s="12">
        <v>251</v>
      </c>
      <c r="Q14" s="12">
        <v>474</v>
      </c>
      <c r="R14" s="12">
        <v>124</v>
      </c>
      <c r="S14" s="12">
        <v>133</v>
      </c>
      <c r="T14" s="12">
        <v>255</v>
      </c>
      <c r="U14" s="12">
        <v>104</v>
      </c>
      <c r="V14" s="12">
        <v>343</v>
      </c>
      <c r="W14" s="12">
        <v>92</v>
      </c>
      <c r="X14" s="12">
        <v>408</v>
      </c>
      <c r="Y14" s="12">
        <v>266</v>
      </c>
      <c r="Z14" s="12">
        <v>362</v>
      </c>
      <c r="AA14" s="12">
        <v>259</v>
      </c>
      <c r="AB14" s="12">
        <v>255</v>
      </c>
      <c r="AC14" s="12">
        <v>198</v>
      </c>
      <c r="AD14" s="12">
        <v>208</v>
      </c>
      <c r="AE14" s="12">
        <v>154</v>
      </c>
      <c r="AF14" s="12">
        <v>303</v>
      </c>
    </row>
    <row r="15" spans="1:32">
      <c r="A15" s="19"/>
      <c r="B15" s="13" t="s">
        <v>1154</v>
      </c>
      <c r="C15" s="14">
        <v>0.33</v>
      </c>
      <c r="D15" s="14">
        <v>0.34</v>
      </c>
      <c r="E15" s="14">
        <v>0.22</v>
      </c>
      <c r="F15" s="14">
        <v>0.21</v>
      </c>
      <c r="G15" s="14">
        <v>0.27</v>
      </c>
      <c r="H15" s="14">
        <v>0.36</v>
      </c>
      <c r="I15" s="14">
        <v>0.36</v>
      </c>
      <c r="J15" s="14">
        <v>0.37</v>
      </c>
      <c r="K15" s="14">
        <v>0.1</v>
      </c>
      <c r="L15" s="14">
        <v>0.24</v>
      </c>
      <c r="M15" s="14">
        <v>0.18</v>
      </c>
      <c r="N15" s="14">
        <v>0.28000000000000003</v>
      </c>
      <c r="O15" s="14">
        <v>0.34</v>
      </c>
      <c r="P15" s="14">
        <v>0.25</v>
      </c>
      <c r="Q15" s="14">
        <v>0.46</v>
      </c>
      <c r="R15" s="14">
        <v>0.25</v>
      </c>
      <c r="S15" s="14">
        <v>0.13</v>
      </c>
      <c r="T15" s="14">
        <v>0.25</v>
      </c>
      <c r="U15" s="14">
        <v>0.21</v>
      </c>
      <c r="V15" s="14">
        <v>0.33</v>
      </c>
      <c r="W15" s="14">
        <v>0.18</v>
      </c>
      <c r="X15" s="14">
        <v>0.4</v>
      </c>
      <c r="Y15" s="14">
        <v>0.27</v>
      </c>
      <c r="Z15" s="14">
        <v>0.36</v>
      </c>
      <c r="AA15" s="14">
        <v>0.25</v>
      </c>
      <c r="AB15" s="14">
        <v>0.25</v>
      </c>
      <c r="AC15" s="14">
        <v>0.2</v>
      </c>
      <c r="AD15" s="14">
        <v>0.21</v>
      </c>
      <c r="AE15" s="14">
        <v>0.16</v>
      </c>
      <c r="AF15" s="14">
        <v>0.28999999999999998</v>
      </c>
    </row>
    <row r="16" spans="1:32">
      <c r="A16" s="19"/>
      <c r="B16" s="11" t="s">
        <v>1155</v>
      </c>
      <c r="C16" s="12">
        <v>7170</v>
      </c>
      <c r="D16" s="12">
        <v>388</v>
      </c>
      <c r="E16" s="12">
        <v>186</v>
      </c>
      <c r="F16" s="12">
        <v>329</v>
      </c>
      <c r="G16" s="12">
        <v>362</v>
      </c>
      <c r="H16" s="12">
        <v>407</v>
      </c>
      <c r="I16" s="12">
        <v>502</v>
      </c>
      <c r="J16" s="12">
        <v>96</v>
      </c>
      <c r="K16" s="12">
        <v>430</v>
      </c>
      <c r="L16" s="12">
        <v>344</v>
      </c>
      <c r="M16" s="12">
        <v>342</v>
      </c>
      <c r="N16" s="12">
        <v>258</v>
      </c>
      <c r="O16" s="12">
        <v>156</v>
      </c>
      <c r="P16" s="12">
        <v>355</v>
      </c>
      <c r="Q16" s="12">
        <v>165</v>
      </c>
      <c r="R16" s="12">
        <v>133</v>
      </c>
      <c r="S16" s="12">
        <v>349</v>
      </c>
      <c r="T16" s="12">
        <v>371</v>
      </c>
      <c r="U16" s="12">
        <v>188</v>
      </c>
      <c r="V16" s="12">
        <v>334</v>
      </c>
      <c r="W16" s="12">
        <v>150</v>
      </c>
      <c r="X16" s="12">
        <v>327</v>
      </c>
      <c r="Y16" s="12">
        <v>321</v>
      </c>
      <c r="Z16" s="12">
        <v>353</v>
      </c>
      <c r="AA16" s="12">
        <v>217</v>
      </c>
      <c r="AB16" s="12">
        <v>315</v>
      </c>
      <c r="AC16" s="12">
        <v>323</v>
      </c>
      <c r="AD16" s="12">
        <v>380</v>
      </c>
      <c r="AE16" s="12">
        <v>444</v>
      </c>
      <c r="AF16" s="12">
        <v>318</v>
      </c>
    </row>
    <row r="17" spans="1:32">
      <c r="A17" s="19"/>
      <c r="B17" s="13" t="s">
        <v>1156</v>
      </c>
      <c r="C17" s="14">
        <v>0.27</v>
      </c>
      <c r="D17" s="14">
        <v>0.38</v>
      </c>
      <c r="E17" s="14">
        <v>0.18</v>
      </c>
      <c r="F17" s="14">
        <v>0.31</v>
      </c>
      <c r="G17" s="14">
        <v>0.36</v>
      </c>
      <c r="H17" s="14">
        <v>0.33</v>
      </c>
      <c r="I17" s="14">
        <v>0.33</v>
      </c>
      <c r="J17" s="14">
        <v>0.32</v>
      </c>
      <c r="K17" s="14">
        <v>0.43</v>
      </c>
      <c r="L17" s="14">
        <v>0.34</v>
      </c>
      <c r="M17" s="14">
        <v>0.34</v>
      </c>
      <c r="N17" s="14">
        <v>0.25</v>
      </c>
      <c r="O17" s="14">
        <v>0.16</v>
      </c>
      <c r="P17" s="14">
        <v>0.35</v>
      </c>
      <c r="Q17" s="14">
        <v>0.16</v>
      </c>
      <c r="R17" s="14">
        <v>0.27</v>
      </c>
      <c r="S17" s="14">
        <v>0.35</v>
      </c>
      <c r="T17" s="14">
        <v>0.36</v>
      </c>
      <c r="U17" s="14">
        <v>0.37</v>
      </c>
      <c r="V17" s="14">
        <v>0.33</v>
      </c>
      <c r="W17" s="14">
        <v>0.3</v>
      </c>
      <c r="X17" s="14">
        <v>0.32</v>
      </c>
      <c r="Y17" s="14">
        <v>0.32</v>
      </c>
      <c r="Z17" s="14">
        <v>0.35</v>
      </c>
      <c r="AA17" s="14">
        <v>0.21</v>
      </c>
      <c r="AB17" s="14">
        <v>0.3</v>
      </c>
      <c r="AC17" s="14">
        <v>0.32</v>
      </c>
      <c r="AD17" s="14">
        <v>0.38</v>
      </c>
      <c r="AE17" s="14">
        <v>0.44</v>
      </c>
      <c r="AF17" s="14">
        <v>0.31</v>
      </c>
    </row>
    <row r="18" spans="1:32">
      <c r="A18" s="19"/>
      <c r="B18" s="11" t="s">
        <v>1157</v>
      </c>
      <c r="C18" s="12">
        <v>3643</v>
      </c>
      <c r="D18" s="12">
        <v>65</v>
      </c>
      <c r="E18" s="12">
        <v>346</v>
      </c>
      <c r="F18" s="12">
        <v>358</v>
      </c>
      <c r="G18" s="12">
        <v>149</v>
      </c>
      <c r="H18" s="12">
        <v>45</v>
      </c>
      <c r="I18" s="12">
        <v>64</v>
      </c>
      <c r="J18" s="12">
        <v>19</v>
      </c>
      <c r="K18" s="12">
        <v>354</v>
      </c>
      <c r="L18" s="12">
        <v>229</v>
      </c>
      <c r="M18" s="12">
        <v>374</v>
      </c>
      <c r="N18" s="12">
        <v>260</v>
      </c>
      <c r="O18" s="12">
        <v>50</v>
      </c>
      <c r="P18" s="12">
        <v>217</v>
      </c>
      <c r="Q18" s="12">
        <v>57</v>
      </c>
      <c r="R18" s="12">
        <v>127</v>
      </c>
      <c r="S18" s="12">
        <v>342</v>
      </c>
      <c r="T18" s="12">
        <v>249</v>
      </c>
      <c r="U18" s="12">
        <v>87</v>
      </c>
      <c r="V18" s="12">
        <v>197</v>
      </c>
      <c r="W18" s="12">
        <v>197</v>
      </c>
      <c r="X18" s="12">
        <v>56</v>
      </c>
      <c r="Y18" s="12">
        <v>123</v>
      </c>
      <c r="Z18" s="12">
        <v>131</v>
      </c>
      <c r="AA18" s="12">
        <v>332</v>
      </c>
      <c r="AB18" s="12">
        <v>325</v>
      </c>
      <c r="AC18" s="12">
        <v>338</v>
      </c>
      <c r="AD18" s="12">
        <v>315</v>
      </c>
      <c r="AE18" s="12">
        <v>274</v>
      </c>
      <c r="AF18" s="12">
        <v>141</v>
      </c>
    </row>
    <row r="19" spans="1:32">
      <c r="A19" s="19"/>
      <c r="B19" s="13" t="s">
        <v>1158</v>
      </c>
      <c r="C19" s="14">
        <v>0.14000000000000001</v>
      </c>
      <c r="D19" s="14">
        <v>0.06</v>
      </c>
      <c r="E19" s="14">
        <v>0.33</v>
      </c>
      <c r="F19" s="14">
        <v>0.34</v>
      </c>
      <c r="G19" s="14">
        <v>0.15</v>
      </c>
      <c r="H19" s="14">
        <v>0.04</v>
      </c>
      <c r="I19" s="14">
        <v>0.04</v>
      </c>
      <c r="J19" s="14">
        <v>7.0000000000000007E-2</v>
      </c>
      <c r="K19" s="14">
        <v>0.35</v>
      </c>
      <c r="L19" s="14">
        <v>0.23</v>
      </c>
      <c r="M19" s="14">
        <v>0.37</v>
      </c>
      <c r="N19" s="14">
        <v>0.26</v>
      </c>
      <c r="O19" s="14">
        <v>0.05</v>
      </c>
      <c r="P19" s="14">
        <v>0.22</v>
      </c>
      <c r="Q19" s="14">
        <v>0.05</v>
      </c>
      <c r="R19" s="14">
        <v>0.25</v>
      </c>
      <c r="S19" s="14">
        <v>0.34</v>
      </c>
      <c r="T19" s="14">
        <v>0.24</v>
      </c>
      <c r="U19" s="14">
        <v>0.17</v>
      </c>
      <c r="V19" s="14">
        <v>0.19</v>
      </c>
      <c r="W19" s="14">
        <v>0.39</v>
      </c>
      <c r="X19" s="14">
        <v>0.06</v>
      </c>
      <c r="Y19" s="14">
        <v>0.12</v>
      </c>
      <c r="Z19" s="14">
        <v>0.13</v>
      </c>
      <c r="AA19" s="14">
        <v>0.32</v>
      </c>
      <c r="AB19" s="14">
        <v>0.31</v>
      </c>
      <c r="AC19" s="14">
        <v>0.33</v>
      </c>
      <c r="AD19" s="14">
        <v>0.31</v>
      </c>
      <c r="AE19" s="14">
        <v>0.27</v>
      </c>
      <c r="AF19" s="14">
        <v>0.14000000000000001</v>
      </c>
    </row>
    <row r="20" spans="1:32">
      <c r="A20" s="19"/>
      <c r="B20" s="11" t="s">
        <v>386</v>
      </c>
      <c r="C20" s="12">
        <v>1575</v>
      </c>
      <c r="D20" s="12">
        <v>30</v>
      </c>
      <c r="E20" s="12">
        <v>173</v>
      </c>
      <c r="F20" s="12">
        <v>62</v>
      </c>
      <c r="G20" s="12">
        <v>55</v>
      </c>
      <c r="H20" s="12">
        <v>63</v>
      </c>
      <c r="I20" s="12">
        <v>75</v>
      </c>
      <c r="J20" s="12">
        <v>12</v>
      </c>
      <c r="K20" s="12">
        <v>89</v>
      </c>
      <c r="L20" s="12">
        <v>100</v>
      </c>
      <c r="M20" s="12">
        <v>50</v>
      </c>
      <c r="N20" s="12">
        <v>97</v>
      </c>
      <c r="O20" s="12">
        <v>85</v>
      </c>
      <c r="P20" s="12">
        <v>51</v>
      </c>
      <c r="Q20" s="12">
        <v>20</v>
      </c>
      <c r="R20" s="12">
        <v>70</v>
      </c>
      <c r="S20" s="12">
        <v>128</v>
      </c>
      <c r="T20" s="12">
        <v>71</v>
      </c>
      <c r="U20" s="12">
        <v>66</v>
      </c>
      <c r="V20" s="12">
        <v>18</v>
      </c>
      <c r="W20" s="12">
        <v>24</v>
      </c>
      <c r="X20" s="12">
        <v>27</v>
      </c>
      <c r="Y20" s="12">
        <v>77</v>
      </c>
      <c r="Z20" s="12">
        <v>45</v>
      </c>
      <c r="AA20" s="12">
        <v>107</v>
      </c>
      <c r="AB20" s="12">
        <v>66</v>
      </c>
      <c r="AC20" s="12">
        <v>68</v>
      </c>
      <c r="AD20" s="12">
        <v>45</v>
      </c>
      <c r="AE20" s="12">
        <v>83</v>
      </c>
      <c r="AF20" s="12">
        <v>52</v>
      </c>
    </row>
    <row r="21" spans="1:32">
      <c r="A21" s="19"/>
      <c r="B21" s="13" t="s">
        <v>399</v>
      </c>
      <c r="C21" s="14">
        <v>0.06</v>
      </c>
      <c r="D21" s="14">
        <v>0.03</v>
      </c>
      <c r="E21" s="14">
        <v>0.16</v>
      </c>
      <c r="F21" s="14">
        <v>0.06</v>
      </c>
      <c r="G21" s="14">
        <v>0.05</v>
      </c>
      <c r="H21" s="14">
        <v>0.05</v>
      </c>
      <c r="I21" s="14">
        <v>0.05</v>
      </c>
      <c r="J21" s="14">
        <v>0.04</v>
      </c>
      <c r="K21" s="14">
        <v>0.09</v>
      </c>
      <c r="L21" s="14">
        <v>0.1</v>
      </c>
      <c r="M21" s="14">
        <v>0.05</v>
      </c>
      <c r="N21" s="14">
        <v>0.1</v>
      </c>
      <c r="O21" s="14">
        <v>0.08</v>
      </c>
      <c r="P21" s="14">
        <v>0.05</v>
      </c>
      <c r="Q21" s="14">
        <v>0.02</v>
      </c>
      <c r="R21" s="14">
        <v>0.14000000000000001</v>
      </c>
      <c r="S21" s="14">
        <v>0.13</v>
      </c>
      <c r="T21" s="14">
        <v>7.0000000000000007E-2</v>
      </c>
      <c r="U21" s="14">
        <v>0.13</v>
      </c>
      <c r="V21" s="14">
        <v>0.02</v>
      </c>
      <c r="W21" s="14">
        <v>0.05</v>
      </c>
      <c r="X21" s="14">
        <v>0.03</v>
      </c>
      <c r="Y21" s="14">
        <v>0.08</v>
      </c>
      <c r="Z21" s="14">
        <v>0.04</v>
      </c>
      <c r="AA21" s="14">
        <v>0.1</v>
      </c>
      <c r="AB21" s="14">
        <v>0.06</v>
      </c>
      <c r="AC21" s="14">
        <v>7.0000000000000007E-2</v>
      </c>
      <c r="AD21" s="14">
        <v>0.04</v>
      </c>
      <c r="AE21" s="14">
        <v>0.08</v>
      </c>
      <c r="AF21" s="14">
        <v>0.05</v>
      </c>
    </row>
    <row r="22" spans="1:32">
      <c r="A22" s="19"/>
      <c r="B22" s="11" t="s">
        <v>1159</v>
      </c>
      <c r="C22" s="12">
        <v>14065</v>
      </c>
      <c r="D22" s="12">
        <v>538</v>
      </c>
      <c r="E22" s="12">
        <v>341</v>
      </c>
      <c r="F22" s="12">
        <v>315</v>
      </c>
      <c r="G22" s="12">
        <v>450</v>
      </c>
      <c r="H22" s="12">
        <v>715</v>
      </c>
      <c r="I22" s="12">
        <v>885</v>
      </c>
      <c r="J22" s="12">
        <v>170</v>
      </c>
      <c r="K22" s="12">
        <v>133</v>
      </c>
      <c r="L22" s="12">
        <v>333</v>
      </c>
      <c r="M22" s="12">
        <v>241</v>
      </c>
      <c r="N22" s="12">
        <v>396</v>
      </c>
      <c r="O22" s="12">
        <v>713</v>
      </c>
      <c r="P22" s="12">
        <v>381</v>
      </c>
      <c r="Q22" s="12">
        <v>789</v>
      </c>
      <c r="R22" s="12">
        <v>170</v>
      </c>
      <c r="S22" s="12">
        <v>186</v>
      </c>
      <c r="T22" s="12">
        <v>331</v>
      </c>
      <c r="U22" s="12">
        <v>167</v>
      </c>
      <c r="V22" s="12">
        <v>477</v>
      </c>
      <c r="W22" s="12">
        <v>131</v>
      </c>
      <c r="X22" s="12">
        <v>599</v>
      </c>
      <c r="Y22" s="12">
        <v>482</v>
      </c>
      <c r="Z22" s="12">
        <v>487</v>
      </c>
      <c r="AA22" s="12">
        <v>380</v>
      </c>
      <c r="AB22" s="12">
        <v>336</v>
      </c>
      <c r="AC22" s="12">
        <v>275</v>
      </c>
      <c r="AD22" s="12">
        <v>263</v>
      </c>
      <c r="AE22" s="12">
        <v>201</v>
      </c>
      <c r="AF22" s="12">
        <v>519</v>
      </c>
    </row>
    <row r="23" spans="1:32">
      <c r="A23" s="19"/>
      <c r="B23" s="13" t="s">
        <v>1160</v>
      </c>
      <c r="C23" s="14">
        <v>0.53</v>
      </c>
      <c r="D23" s="14">
        <v>0.53</v>
      </c>
      <c r="E23" s="14">
        <v>0.33</v>
      </c>
      <c r="F23" s="14">
        <v>0.28999999999999998</v>
      </c>
      <c r="G23" s="14">
        <v>0.44</v>
      </c>
      <c r="H23" s="14">
        <v>0.57999999999999996</v>
      </c>
      <c r="I23" s="14">
        <v>0.57999999999999996</v>
      </c>
      <c r="J23" s="14">
        <v>0.57000000000000006</v>
      </c>
      <c r="K23" s="14">
        <v>0.13</v>
      </c>
      <c r="L23" s="14">
        <v>0.33</v>
      </c>
      <c r="M23" s="14">
        <v>0.24</v>
      </c>
      <c r="N23" s="14">
        <v>0.39</v>
      </c>
      <c r="O23" s="14">
        <v>0.71</v>
      </c>
      <c r="P23" s="14">
        <v>0.38</v>
      </c>
      <c r="Q23" s="14">
        <v>0.77</v>
      </c>
      <c r="R23" s="14">
        <v>0.34</v>
      </c>
      <c r="S23" s="14">
        <v>0.18</v>
      </c>
      <c r="T23" s="14">
        <v>0.33</v>
      </c>
      <c r="U23" s="14">
        <v>0.33</v>
      </c>
      <c r="V23" s="14">
        <v>0.46</v>
      </c>
      <c r="W23" s="14">
        <v>0.26</v>
      </c>
      <c r="X23" s="14">
        <v>0.59</v>
      </c>
      <c r="Y23" s="14">
        <v>0.48</v>
      </c>
      <c r="Z23" s="14">
        <v>0.48</v>
      </c>
      <c r="AA23" s="14">
        <v>0.37</v>
      </c>
      <c r="AB23" s="14">
        <v>0.33</v>
      </c>
      <c r="AC23" s="14">
        <v>0.28000000000000003</v>
      </c>
      <c r="AD23" s="14">
        <v>0.27</v>
      </c>
      <c r="AE23" s="14">
        <v>0.21</v>
      </c>
      <c r="AF23" s="14">
        <v>0.5</v>
      </c>
    </row>
    <row r="24" spans="1:32">
      <c r="A24" s="19"/>
      <c r="B24" s="11" t="s">
        <v>1161</v>
      </c>
      <c r="C24" s="12">
        <v>10813</v>
      </c>
      <c r="D24" s="12">
        <v>453</v>
      </c>
      <c r="E24" s="12">
        <v>532</v>
      </c>
      <c r="F24" s="12">
        <v>687</v>
      </c>
      <c r="G24" s="12">
        <v>511</v>
      </c>
      <c r="H24" s="12">
        <v>452</v>
      </c>
      <c r="I24" s="12">
        <v>566</v>
      </c>
      <c r="J24" s="12">
        <v>115</v>
      </c>
      <c r="K24" s="12">
        <v>784</v>
      </c>
      <c r="L24" s="12">
        <v>573</v>
      </c>
      <c r="M24" s="12">
        <v>716</v>
      </c>
      <c r="N24" s="12">
        <v>518</v>
      </c>
      <c r="O24" s="12">
        <v>206</v>
      </c>
      <c r="P24" s="12">
        <v>572</v>
      </c>
      <c r="Q24" s="12">
        <v>222</v>
      </c>
      <c r="R24" s="12">
        <v>260</v>
      </c>
      <c r="S24" s="12">
        <v>691</v>
      </c>
      <c r="T24" s="12">
        <v>620</v>
      </c>
      <c r="U24" s="12">
        <v>275</v>
      </c>
      <c r="V24" s="12">
        <v>531</v>
      </c>
      <c r="W24" s="12">
        <v>347</v>
      </c>
      <c r="X24" s="12">
        <v>383</v>
      </c>
      <c r="Y24" s="12">
        <v>444</v>
      </c>
      <c r="Z24" s="12">
        <v>484</v>
      </c>
      <c r="AA24" s="12">
        <v>549</v>
      </c>
      <c r="AB24" s="12">
        <v>640</v>
      </c>
      <c r="AC24" s="12">
        <v>661</v>
      </c>
      <c r="AD24" s="12">
        <v>695</v>
      </c>
      <c r="AE24" s="12">
        <v>718</v>
      </c>
      <c r="AF24" s="12">
        <v>459</v>
      </c>
    </row>
    <row r="25" spans="1:32">
      <c r="A25" s="19"/>
      <c r="B25" s="13" t="s">
        <v>1162</v>
      </c>
      <c r="C25" s="14">
        <v>0.41</v>
      </c>
      <c r="D25" s="14">
        <v>0.44</v>
      </c>
      <c r="E25" s="14">
        <v>0.51</v>
      </c>
      <c r="F25" s="14">
        <v>0.65</v>
      </c>
      <c r="G25" s="14">
        <v>0.51</v>
      </c>
      <c r="H25" s="14">
        <v>0.37</v>
      </c>
      <c r="I25" s="14">
        <v>0.37</v>
      </c>
      <c r="J25" s="14">
        <v>0.39</v>
      </c>
      <c r="K25" s="14">
        <v>0.78</v>
      </c>
      <c r="L25" s="14">
        <v>0.57000000000000006</v>
      </c>
      <c r="M25" s="14">
        <v>0.71</v>
      </c>
      <c r="N25" s="14">
        <v>0.51</v>
      </c>
      <c r="O25" s="14">
        <v>0.21</v>
      </c>
      <c r="P25" s="14">
        <v>0.57000000000000006</v>
      </c>
      <c r="Q25" s="14">
        <v>0.21</v>
      </c>
      <c r="R25" s="14">
        <v>0.52</v>
      </c>
      <c r="S25" s="14">
        <v>0.69000000000000006</v>
      </c>
      <c r="T25" s="14">
        <v>0.6</v>
      </c>
      <c r="U25" s="14">
        <v>0.54</v>
      </c>
      <c r="V25" s="14">
        <v>0.52</v>
      </c>
      <c r="W25" s="14">
        <v>0.69000000000000006</v>
      </c>
      <c r="X25" s="14">
        <v>0.38</v>
      </c>
      <c r="Y25" s="14">
        <v>0.44</v>
      </c>
      <c r="Z25" s="14">
        <v>0.48</v>
      </c>
      <c r="AA25" s="14">
        <v>0.53</v>
      </c>
      <c r="AB25" s="14">
        <v>0.61</v>
      </c>
      <c r="AC25" s="14">
        <v>0.65</v>
      </c>
      <c r="AD25" s="14">
        <v>0.69000000000000006</v>
      </c>
      <c r="AE25" s="14">
        <v>0.71</v>
      </c>
      <c r="AF25" s="14">
        <v>0.45</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1185</v>
      </c>
      <c r="C3" s="17"/>
      <c r="D3" s="17"/>
      <c r="E3" s="17"/>
      <c r="F3" s="17"/>
      <c r="H3" s="17" t="s">
        <v>1186</v>
      </c>
      <c r="I3" s="17"/>
      <c r="J3" s="17"/>
      <c r="K3" s="17"/>
      <c r="L3" s="17"/>
    </row>
    <row r="4" spans="1:32" ht="27" customHeight="1">
      <c r="B4" s="17" t="s">
        <v>1187</v>
      </c>
      <c r="C4" s="17"/>
      <c r="D4" s="17"/>
      <c r="E4" s="17"/>
      <c r="F4" s="17"/>
      <c r="H4" s="17" t="s">
        <v>1188</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1151</v>
      </c>
      <c r="C12" s="12">
        <v>5537</v>
      </c>
      <c r="D12" s="12">
        <v>169</v>
      </c>
      <c r="E12" s="12">
        <v>123</v>
      </c>
      <c r="F12" s="12">
        <v>98</v>
      </c>
      <c r="G12" s="12">
        <v>162</v>
      </c>
      <c r="H12" s="12">
        <v>255</v>
      </c>
      <c r="I12" s="12">
        <v>304</v>
      </c>
      <c r="J12" s="12">
        <v>49</v>
      </c>
      <c r="K12" s="12">
        <v>28</v>
      </c>
      <c r="L12" s="12">
        <v>78</v>
      </c>
      <c r="M12" s="12">
        <v>68</v>
      </c>
      <c r="N12" s="12">
        <v>138</v>
      </c>
      <c r="O12" s="12">
        <v>355</v>
      </c>
      <c r="P12" s="12">
        <v>157</v>
      </c>
      <c r="Q12" s="12">
        <v>357</v>
      </c>
      <c r="R12" s="12">
        <v>49</v>
      </c>
      <c r="S12" s="12">
        <v>47</v>
      </c>
      <c r="T12" s="12">
        <v>89</v>
      </c>
      <c r="U12" s="12">
        <v>60</v>
      </c>
      <c r="V12" s="12">
        <v>164</v>
      </c>
      <c r="W12" s="12">
        <v>28</v>
      </c>
      <c r="X12" s="12">
        <v>200</v>
      </c>
      <c r="Y12" s="12">
        <v>276</v>
      </c>
      <c r="Z12" s="12">
        <v>154</v>
      </c>
      <c r="AA12" s="12">
        <v>124</v>
      </c>
      <c r="AB12" s="12">
        <v>88</v>
      </c>
      <c r="AC12" s="12">
        <v>73</v>
      </c>
      <c r="AD12" s="12">
        <v>87</v>
      </c>
      <c r="AE12" s="12">
        <v>49</v>
      </c>
      <c r="AF12" s="12">
        <v>221</v>
      </c>
    </row>
    <row r="13" spans="1:32">
      <c r="A13" s="19"/>
      <c r="B13" s="13" t="s">
        <v>1152</v>
      </c>
      <c r="C13" s="14">
        <v>0.21</v>
      </c>
      <c r="D13" s="14">
        <v>0.17</v>
      </c>
      <c r="E13" s="14">
        <v>0.12</v>
      </c>
      <c r="F13" s="14">
        <v>0.09</v>
      </c>
      <c r="G13" s="14">
        <v>0.16</v>
      </c>
      <c r="H13" s="14">
        <v>0.21</v>
      </c>
      <c r="I13" s="14">
        <v>0.2</v>
      </c>
      <c r="J13" s="14">
        <v>0.17</v>
      </c>
      <c r="K13" s="14">
        <v>0.03</v>
      </c>
      <c r="L13" s="14">
        <v>0.08</v>
      </c>
      <c r="M13" s="14">
        <v>7.0000000000000007E-2</v>
      </c>
      <c r="N13" s="14">
        <v>0.14000000000000001</v>
      </c>
      <c r="O13" s="14">
        <v>0.35</v>
      </c>
      <c r="P13" s="14">
        <v>0.16</v>
      </c>
      <c r="Q13" s="14">
        <v>0.35</v>
      </c>
      <c r="R13" s="14">
        <v>0.1</v>
      </c>
      <c r="S13" s="14">
        <v>0.05</v>
      </c>
      <c r="T13" s="14">
        <v>0.09</v>
      </c>
      <c r="U13" s="14">
        <v>0.12</v>
      </c>
      <c r="V13" s="14">
        <v>0.16</v>
      </c>
      <c r="W13" s="14">
        <v>0.05</v>
      </c>
      <c r="X13" s="14">
        <v>0.2</v>
      </c>
      <c r="Y13" s="14">
        <v>0.27</v>
      </c>
      <c r="Z13" s="14">
        <v>0.15</v>
      </c>
      <c r="AA13" s="14">
        <v>0.12</v>
      </c>
      <c r="AB13" s="14">
        <v>0.09</v>
      </c>
      <c r="AC13" s="14">
        <v>7.0000000000000007E-2</v>
      </c>
      <c r="AD13" s="14">
        <v>0.09</v>
      </c>
      <c r="AE13" s="14">
        <v>0.05</v>
      </c>
      <c r="AF13" s="14">
        <v>0.21</v>
      </c>
    </row>
    <row r="14" spans="1:32">
      <c r="A14" s="19"/>
      <c r="B14" s="11" t="s">
        <v>1153</v>
      </c>
      <c r="C14" s="12">
        <v>8686</v>
      </c>
      <c r="D14" s="12">
        <v>338</v>
      </c>
      <c r="E14" s="12">
        <v>229</v>
      </c>
      <c r="F14" s="12">
        <v>217</v>
      </c>
      <c r="G14" s="12">
        <v>260</v>
      </c>
      <c r="H14" s="12">
        <v>480</v>
      </c>
      <c r="I14" s="12">
        <v>609</v>
      </c>
      <c r="J14" s="12">
        <v>129</v>
      </c>
      <c r="K14" s="12">
        <v>87</v>
      </c>
      <c r="L14" s="12">
        <v>207</v>
      </c>
      <c r="M14" s="12">
        <v>171</v>
      </c>
      <c r="N14" s="12">
        <v>267</v>
      </c>
      <c r="O14" s="12">
        <v>351</v>
      </c>
      <c r="P14" s="12">
        <v>246</v>
      </c>
      <c r="Q14" s="12">
        <v>429</v>
      </c>
      <c r="R14" s="12">
        <v>96</v>
      </c>
      <c r="S14" s="12">
        <v>144</v>
      </c>
      <c r="T14" s="12">
        <v>303</v>
      </c>
      <c r="U14" s="12">
        <v>96</v>
      </c>
      <c r="V14" s="12">
        <v>343</v>
      </c>
      <c r="W14" s="12">
        <v>69</v>
      </c>
      <c r="X14" s="12">
        <v>335</v>
      </c>
      <c r="Y14" s="12">
        <v>287</v>
      </c>
      <c r="Z14" s="12">
        <v>378</v>
      </c>
      <c r="AA14" s="12">
        <v>245</v>
      </c>
      <c r="AB14" s="12">
        <v>254</v>
      </c>
      <c r="AC14" s="12">
        <v>196</v>
      </c>
      <c r="AD14" s="12">
        <v>251</v>
      </c>
      <c r="AE14" s="12">
        <v>125</v>
      </c>
      <c r="AF14" s="12">
        <v>317</v>
      </c>
    </row>
    <row r="15" spans="1:32">
      <c r="A15" s="19"/>
      <c r="B15" s="13" t="s">
        <v>1154</v>
      </c>
      <c r="C15" s="14">
        <v>0.33</v>
      </c>
      <c r="D15" s="14">
        <v>0.33</v>
      </c>
      <c r="E15" s="14">
        <v>0.22</v>
      </c>
      <c r="F15" s="14">
        <v>0.2</v>
      </c>
      <c r="G15" s="14">
        <v>0.25</v>
      </c>
      <c r="H15" s="14">
        <v>0.39</v>
      </c>
      <c r="I15" s="14">
        <v>0.4</v>
      </c>
      <c r="J15" s="14">
        <v>0.43</v>
      </c>
      <c r="K15" s="14">
        <v>0.09</v>
      </c>
      <c r="L15" s="14">
        <v>0.21</v>
      </c>
      <c r="M15" s="14">
        <v>0.17</v>
      </c>
      <c r="N15" s="14">
        <v>0.26</v>
      </c>
      <c r="O15" s="14">
        <v>0.35</v>
      </c>
      <c r="P15" s="14">
        <v>0.24</v>
      </c>
      <c r="Q15" s="14">
        <v>0.42</v>
      </c>
      <c r="R15" s="14">
        <v>0.19</v>
      </c>
      <c r="S15" s="14">
        <v>0.14000000000000001</v>
      </c>
      <c r="T15" s="14">
        <v>0.28999999999999998</v>
      </c>
      <c r="U15" s="14">
        <v>0.19</v>
      </c>
      <c r="V15" s="14">
        <v>0.33</v>
      </c>
      <c r="W15" s="14">
        <v>0.14000000000000001</v>
      </c>
      <c r="X15" s="14">
        <v>0.33</v>
      </c>
      <c r="Y15" s="14">
        <v>0.28999999999999998</v>
      </c>
      <c r="Z15" s="14">
        <v>0.37</v>
      </c>
      <c r="AA15" s="14">
        <v>0.24</v>
      </c>
      <c r="AB15" s="14">
        <v>0.24</v>
      </c>
      <c r="AC15" s="14">
        <v>0.2</v>
      </c>
      <c r="AD15" s="14">
        <v>0.25</v>
      </c>
      <c r="AE15" s="14">
        <v>0.13</v>
      </c>
      <c r="AF15" s="14">
        <v>0.31</v>
      </c>
    </row>
    <row r="16" spans="1:32">
      <c r="A16" s="19"/>
      <c r="B16" s="11" t="s">
        <v>1155</v>
      </c>
      <c r="C16" s="12">
        <v>7096</v>
      </c>
      <c r="D16" s="12">
        <v>409</v>
      </c>
      <c r="E16" s="12">
        <v>204</v>
      </c>
      <c r="F16" s="12">
        <v>320</v>
      </c>
      <c r="G16" s="12">
        <v>364</v>
      </c>
      <c r="H16" s="12">
        <v>402</v>
      </c>
      <c r="I16" s="12">
        <v>485</v>
      </c>
      <c r="J16" s="12">
        <v>83</v>
      </c>
      <c r="K16" s="12">
        <v>452</v>
      </c>
      <c r="L16" s="12">
        <v>376</v>
      </c>
      <c r="M16" s="12">
        <v>342</v>
      </c>
      <c r="N16" s="12">
        <v>254</v>
      </c>
      <c r="O16" s="12">
        <v>161</v>
      </c>
      <c r="P16" s="12">
        <v>357</v>
      </c>
      <c r="Q16" s="12">
        <v>167</v>
      </c>
      <c r="R16" s="12">
        <v>144</v>
      </c>
      <c r="S16" s="12">
        <v>342</v>
      </c>
      <c r="T16" s="12">
        <v>336</v>
      </c>
      <c r="U16" s="12">
        <v>176</v>
      </c>
      <c r="V16" s="12">
        <v>325</v>
      </c>
      <c r="W16" s="12">
        <v>164</v>
      </c>
      <c r="X16" s="12">
        <v>375</v>
      </c>
      <c r="Y16" s="12">
        <v>249</v>
      </c>
      <c r="Z16" s="12">
        <v>325</v>
      </c>
      <c r="AA16" s="12">
        <v>220</v>
      </c>
      <c r="AB16" s="12">
        <v>325</v>
      </c>
      <c r="AC16" s="12">
        <v>340</v>
      </c>
      <c r="AD16" s="12">
        <v>345</v>
      </c>
      <c r="AE16" s="12">
        <v>449</v>
      </c>
      <c r="AF16" s="12">
        <v>315</v>
      </c>
    </row>
    <row r="17" spans="1:32">
      <c r="A17" s="19"/>
      <c r="B17" s="13" t="s">
        <v>1156</v>
      </c>
      <c r="C17" s="14">
        <v>0.27</v>
      </c>
      <c r="D17" s="14">
        <v>0.4</v>
      </c>
      <c r="E17" s="14">
        <v>0.19</v>
      </c>
      <c r="F17" s="14">
        <v>0.3</v>
      </c>
      <c r="G17" s="14">
        <v>0.36</v>
      </c>
      <c r="H17" s="14">
        <v>0.33</v>
      </c>
      <c r="I17" s="14">
        <v>0.32</v>
      </c>
      <c r="J17" s="14">
        <v>0.28000000000000003</v>
      </c>
      <c r="K17" s="14">
        <v>0.45</v>
      </c>
      <c r="L17" s="14">
        <v>0.37</v>
      </c>
      <c r="M17" s="14">
        <v>0.34</v>
      </c>
      <c r="N17" s="14">
        <v>0.25</v>
      </c>
      <c r="O17" s="14">
        <v>0.16</v>
      </c>
      <c r="P17" s="14">
        <v>0.36</v>
      </c>
      <c r="Q17" s="14">
        <v>0.16</v>
      </c>
      <c r="R17" s="14">
        <v>0.28999999999999998</v>
      </c>
      <c r="S17" s="14">
        <v>0.34</v>
      </c>
      <c r="T17" s="14">
        <v>0.33</v>
      </c>
      <c r="U17" s="14">
        <v>0.34</v>
      </c>
      <c r="V17" s="14">
        <v>0.32</v>
      </c>
      <c r="W17" s="14">
        <v>0.33</v>
      </c>
      <c r="X17" s="14">
        <v>0.37</v>
      </c>
      <c r="Y17" s="14">
        <v>0.25</v>
      </c>
      <c r="Z17" s="14">
        <v>0.32</v>
      </c>
      <c r="AA17" s="14">
        <v>0.21</v>
      </c>
      <c r="AB17" s="14">
        <v>0.31</v>
      </c>
      <c r="AC17" s="14">
        <v>0.34</v>
      </c>
      <c r="AD17" s="14">
        <v>0.34</v>
      </c>
      <c r="AE17" s="14">
        <v>0.45</v>
      </c>
      <c r="AF17" s="14">
        <v>0.31</v>
      </c>
    </row>
    <row r="18" spans="1:32">
      <c r="A18" s="19"/>
      <c r="B18" s="11" t="s">
        <v>1157</v>
      </c>
      <c r="C18" s="12">
        <v>3454</v>
      </c>
      <c r="D18" s="12">
        <v>70</v>
      </c>
      <c r="E18" s="12">
        <v>320</v>
      </c>
      <c r="F18" s="12">
        <v>361</v>
      </c>
      <c r="G18" s="12">
        <v>162</v>
      </c>
      <c r="H18" s="12">
        <v>31</v>
      </c>
      <c r="I18" s="12">
        <v>53</v>
      </c>
      <c r="J18" s="12">
        <v>23</v>
      </c>
      <c r="K18" s="12">
        <v>312</v>
      </c>
      <c r="L18" s="12">
        <v>220</v>
      </c>
      <c r="M18" s="12">
        <v>355</v>
      </c>
      <c r="N18" s="12">
        <v>259</v>
      </c>
      <c r="O18" s="12">
        <v>40</v>
      </c>
      <c r="P18" s="12">
        <v>194</v>
      </c>
      <c r="Q18" s="12">
        <v>55</v>
      </c>
      <c r="R18" s="12">
        <v>138</v>
      </c>
      <c r="S18" s="12">
        <v>316</v>
      </c>
      <c r="T18" s="12">
        <v>204</v>
      </c>
      <c r="U18" s="12">
        <v>85</v>
      </c>
      <c r="V18" s="12">
        <v>181</v>
      </c>
      <c r="W18" s="12">
        <v>216</v>
      </c>
      <c r="X18" s="12">
        <v>74</v>
      </c>
      <c r="Y18" s="12">
        <v>109</v>
      </c>
      <c r="Z18" s="12">
        <v>113</v>
      </c>
      <c r="AA18" s="12">
        <v>338</v>
      </c>
      <c r="AB18" s="12">
        <v>304</v>
      </c>
      <c r="AC18" s="12">
        <v>331</v>
      </c>
      <c r="AD18" s="12">
        <v>265</v>
      </c>
      <c r="AE18" s="12">
        <v>294</v>
      </c>
      <c r="AF18" s="12">
        <v>114</v>
      </c>
    </row>
    <row r="19" spans="1:32">
      <c r="A19" s="19"/>
      <c r="B19" s="13" t="s">
        <v>1158</v>
      </c>
      <c r="C19" s="14">
        <v>0.13</v>
      </c>
      <c r="D19" s="14">
        <v>7.0000000000000007E-2</v>
      </c>
      <c r="E19" s="14">
        <v>0.31</v>
      </c>
      <c r="F19" s="14">
        <v>0.34</v>
      </c>
      <c r="G19" s="14">
        <v>0.16</v>
      </c>
      <c r="H19" s="14">
        <v>0.02</v>
      </c>
      <c r="I19" s="14">
        <v>0.03</v>
      </c>
      <c r="J19" s="14">
        <v>0.08</v>
      </c>
      <c r="K19" s="14">
        <v>0.31</v>
      </c>
      <c r="L19" s="14">
        <v>0.22</v>
      </c>
      <c r="M19" s="14">
        <v>0.35</v>
      </c>
      <c r="N19" s="14">
        <v>0.26</v>
      </c>
      <c r="O19" s="14">
        <v>0.04</v>
      </c>
      <c r="P19" s="14">
        <v>0.19</v>
      </c>
      <c r="Q19" s="14">
        <v>0.05</v>
      </c>
      <c r="R19" s="14">
        <v>0.27</v>
      </c>
      <c r="S19" s="14">
        <v>0.32</v>
      </c>
      <c r="T19" s="14">
        <v>0.2</v>
      </c>
      <c r="U19" s="14">
        <v>0.17</v>
      </c>
      <c r="V19" s="14">
        <v>0.18</v>
      </c>
      <c r="W19" s="14">
        <v>0.43</v>
      </c>
      <c r="X19" s="14">
        <v>7.0000000000000007E-2</v>
      </c>
      <c r="Y19" s="14">
        <v>0.11</v>
      </c>
      <c r="Z19" s="14">
        <v>0.11</v>
      </c>
      <c r="AA19" s="14">
        <v>0.33</v>
      </c>
      <c r="AB19" s="14">
        <v>0.28999999999999998</v>
      </c>
      <c r="AC19" s="14">
        <v>0.33</v>
      </c>
      <c r="AD19" s="14">
        <v>0.27</v>
      </c>
      <c r="AE19" s="14">
        <v>0.28999999999999998</v>
      </c>
      <c r="AF19" s="14">
        <v>0.11</v>
      </c>
    </row>
    <row r="20" spans="1:32">
      <c r="A20" s="19"/>
      <c r="B20" s="11" t="s">
        <v>386</v>
      </c>
      <c r="C20" s="12">
        <v>1680</v>
      </c>
      <c r="D20" s="12">
        <v>35</v>
      </c>
      <c r="E20" s="12">
        <v>170</v>
      </c>
      <c r="F20" s="12">
        <v>68</v>
      </c>
      <c r="G20" s="12">
        <v>68</v>
      </c>
      <c r="H20" s="12">
        <v>62</v>
      </c>
      <c r="I20" s="12">
        <v>75</v>
      </c>
      <c r="J20" s="12">
        <v>13</v>
      </c>
      <c r="K20" s="12">
        <v>127</v>
      </c>
      <c r="L20" s="12">
        <v>124</v>
      </c>
      <c r="M20" s="12">
        <v>71</v>
      </c>
      <c r="N20" s="12">
        <v>93</v>
      </c>
      <c r="O20" s="12">
        <v>97</v>
      </c>
      <c r="P20" s="12">
        <v>49</v>
      </c>
      <c r="Q20" s="12">
        <v>23</v>
      </c>
      <c r="R20" s="12">
        <v>74</v>
      </c>
      <c r="S20" s="12">
        <v>155</v>
      </c>
      <c r="T20" s="12">
        <v>91</v>
      </c>
      <c r="U20" s="12">
        <v>92</v>
      </c>
      <c r="V20" s="12">
        <v>13</v>
      </c>
      <c r="W20" s="12">
        <v>25</v>
      </c>
      <c r="X20" s="12">
        <v>26</v>
      </c>
      <c r="Y20" s="12">
        <v>82</v>
      </c>
      <c r="Z20" s="12">
        <v>47</v>
      </c>
      <c r="AA20" s="12">
        <v>109</v>
      </c>
      <c r="AB20" s="12">
        <v>69</v>
      </c>
      <c r="AC20" s="12">
        <v>65</v>
      </c>
      <c r="AD20" s="12">
        <v>54</v>
      </c>
      <c r="AE20" s="12">
        <v>84</v>
      </c>
      <c r="AF20" s="12">
        <v>64</v>
      </c>
    </row>
    <row r="21" spans="1:32">
      <c r="A21" s="19"/>
      <c r="B21" s="13" t="s">
        <v>399</v>
      </c>
      <c r="C21" s="14">
        <v>0.06</v>
      </c>
      <c r="D21" s="14">
        <v>0.03</v>
      </c>
      <c r="E21" s="14">
        <v>0.16</v>
      </c>
      <c r="F21" s="14">
        <v>7.0000000000000007E-2</v>
      </c>
      <c r="G21" s="14">
        <v>7.0000000000000007E-2</v>
      </c>
      <c r="H21" s="14">
        <v>0.05</v>
      </c>
      <c r="I21" s="14">
        <v>0.05</v>
      </c>
      <c r="J21" s="14">
        <v>0.04</v>
      </c>
      <c r="K21" s="14">
        <v>0.12</v>
      </c>
      <c r="L21" s="14">
        <v>0.12</v>
      </c>
      <c r="M21" s="14">
        <v>7.0000000000000007E-2</v>
      </c>
      <c r="N21" s="14">
        <v>0.09</v>
      </c>
      <c r="O21" s="14">
        <v>0.1</v>
      </c>
      <c r="P21" s="14">
        <v>0.05</v>
      </c>
      <c r="Q21" s="14">
        <v>0.02</v>
      </c>
      <c r="R21" s="14">
        <v>0.15</v>
      </c>
      <c r="S21" s="14">
        <v>0.15</v>
      </c>
      <c r="T21" s="14">
        <v>0.09</v>
      </c>
      <c r="U21" s="14">
        <v>0.18</v>
      </c>
      <c r="V21" s="14">
        <v>0.01</v>
      </c>
      <c r="W21" s="14">
        <v>0.05</v>
      </c>
      <c r="X21" s="14">
        <v>0.03</v>
      </c>
      <c r="Y21" s="14">
        <v>0.08</v>
      </c>
      <c r="Z21" s="14">
        <v>0.05</v>
      </c>
      <c r="AA21" s="14">
        <v>0.1</v>
      </c>
      <c r="AB21" s="14">
        <v>7.0000000000000007E-2</v>
      </c>
      <c r="AC21" s="14">
        <v>0.06</v>
      </c>
      <c r="AD21" s="14">
        <v>0.05</v>
      </c>
      <c r="AE21" s="14">
        <v>0.08</v>
      </c>
      <c r="AF21" s="14">
        <v>0.06</v>
      </c>
    </row>
    <row r="22" spans="1:32">
      <c r="A22" s="19"/>
      <c r="B22" s="11" t="s">
        <v>1159</v>
      </c>
      <c r="C22" s="12">
        <v>14223</v>
      </c>
      <c r="D22" s="12">
        <v>507</v>
      </c>
      <c r="E22" s="12">
        <v>352</v>
      </c>
      <c r="F22" s="12">
        <v>315</v>
      </c>
      <c r="G22" s="12">
        <v>422</v>
      </c>
      <c r="H22" s="12">
        <v>735</v>
      </c>
      <c r="I22" s="12">
        <v>913</v>
      </c>
      <c r="J22" s="12">
        <v>178</v>
      </c>
      <c r="K22" s="12">
        <v>115</v>
      </c>
      <c r="L22" s="12">
        <v>285</v>
      </c>
      <c r="M22" s="12">
        <v>239</v>
      </c>
      <c r="N22" s="12">
        <v>405</v>
      </c>
      <c r="O22" s="12">
        <v>706</v>
      </c>
      <c r="P22" s="12">
        <v>403</v>
      </c>
      <c r="Q22" s="12">
        <v>786</v>
      </c>
      <c r="R22" s="12">
        <v>145</v>
      </c>
      <c r="S22" s="12">
        <v>191</v>
      </c>
      <c r="T22" s="12">
        <v>392</v>
      </c>
      <c r="U22" s="12">
        <v>156</v>
      </c>
      <c r="V22" s="12">
        <v>507</v>
      </c>
      <c r="W22" s="12">
        <v>97</v>
      </c>
      <c r="X22" s="12">
        <v>535</v>
      </c>
      <c r="Y22" s="12">
        <v>563</v>
      </c>
      <c r="Z22" s="12">
        <v>532</v>
      </c>
      <c r="AA22" s="12">
        <v>369</v>
      </c>
      <c r="AB22" s="12">
        <v>342</v>
      </c>
      <c r="AC22" s="12">
        <v>269</v>
      </c>
      <c r="AD22" s="12">
        <v>338</v>
      </c>
      <c r="AE22" s="12">
        <v>174</v>
      </c>
      <c r="AF22" s="12">
        <v>538</v>
      </c>
    </row>
    <row r="23" spans="1:32">
      <c r="A23" s="19"/>
      <c r="B23" s="13" t="s">
        <v>1160</v>
      </c>
      <c r="C23" s="14">
        <v>0.54</v>
      </c>
      <c r="D23" s="14">
        <v>0.5</v>
      </c>
      <c r="E23" s="14">
        <v>0.34</v>
      </c>
      <c r="F23" s="14">
        <v>0.28999999999999998</v>
      </c>
      <c r="G23" s="14">
        <v>0.41</v>
      </c>
      <c r="H23" s="14">
        <v>0.6</v>
      </c>
      <c r="I23" s="14">
        <v>0.6</v>
      </c>
      <c r="J23" s="14">
        <v>0.6</v>
      </c>
      <c r="K23" s="14">
        <v>0.12</v>
      </c>
      <c r="L23" s="14">
        <v>0.28999999999999998</v>
      </c>
      <c r="M23" s="14">
        <v>0.24</v>
      </c>
      <c r="N23" s="14">
        <v>0.4</v>
      </c>
      <c r="O23" s="14">
        <v>0.70000000000000007</v>
      </c>
      <c r="P23" s="14">
        <v>0.4</v>
      </c>
      <c r="Q23" s="14">
        <v>0.77</v>
      </c>
      <c r="R23" s="14">
        <v>0.28999999999999998</v>
      </c>
      <c r="S23" s="14">
        <v>0.19</v>
      </c>
      <c r="T23" s="14">
        <v>0.38</v>
      </c>
      <c r="U23" s="14">
        <v>0.31</v>
      </c>
      <c r="V23" s="14">
        <v>0.49</v>
      </c>
      <c r="W23" s="14">
        <v>0.19</v>
      </c>
      <c r="X23" s="14">
        <v>0.53</v>
      </c>
      <c r="Y23" s="14">
        <v>0.56000000000000005</v>
      </c>
      <c r="Z23" s="14">
        <v>0.52</v>
      </c>
      <c r="AA23" s="14">
        <v>0.36</v>
      </c>
      <c r="AB23" s="14">
        <v>0.33</v>
      </c>
      <c r="AC23" s="14">
        <v>0.27</v>
      </c>
      <c r="AD23" s="14">
        <v>0.34</v>
      </c>
      <c r="AE23" s="14">
        <v>0.18</v>
      </c>
      <c r="AF23" s="14">
        <v>0.52</v>
      </c>
    </row>
    <row r="24" spans="1:32">
      <c r="A24" s="19"/>
      <c r="B24" s="11" t="s">
        <v>1161</v>
      </c>
      <c r="C24" s="12">
        <v>10550</v>
      </c>
      <c r="D24" s="12">
        <v>479</v>
      </c>
      <c r="E24" s="12">
        <v>524</v>
      </c>
      <c r="F24" s="12">
        <v>681</v>
      </c>
      <c r="G24" s="12">
        <v>526</v>
      </c>
      <c r="H24" s="12">
        <v>433</v>
      </c>
      <c r="I24" s="12">
        <v>538</v>
      </c>
      <c r="J24" s="12">
        <v>106</v>
      </c>
      <c r="K24" s="12">
        <v>764</v>
      </c>
      <c r="L24" s="12">
        <v>596</v>
      </c>
      <c r="M24" s="12">
        <v>697</v>
      </c>
      <c r="N24" s="12">
        <v>513</v>
      </c>
      <c r="O24" s="12">
        <v>201</v>
      </c>
      <c r="P24" s="12">
        <v>551</v>
      </c>
      <c r="Q24" s="12">
        <v>222</v>
      </c>
      <c r="R24" s="12">
        <v>282</v>
      </c>
      <c r="S24" s="12">
        <v>658</v>
      </c>
      <c r="T24" s="12">
        <v>540</v>
      </c>
      <c r="U24" s="12">
        <v>261</v>
      </c>
      <c r="V24" s="12">
        <v>506</v>
      </c>
      <c r="W24" s="12">
        <v>380</v>
      </c>
      <c r="X24" s="12">
        <v>449</v>
      </c>
      <c r="Y24" s="12">
        <v>358</v>
      </c>
      <c r="Z24" s="12">
        <v>438</v>
      </c>
      <c r="AA24" s="12">
        <v>558</v>
      </c>
      <c r="AB24" s="12">
        <v>629</v>
      </c>
      <c r="AC24" s="12">
        <v>671</v>
      </c>
      <c r="AD24" s="12">
        <v>610</v>
      </c>
      <c r="AE24" s="12">
        <v>743</v>
      </c>
      <c r="AF24" s="12">
        <v>429</v>
      </c>
    </row>
    <row r="25" spans="1:32">
      <c r="A25" s="19"/>
      <c r="B25" s="13" t="s">
        <v>1162</v>
      </c>
      <c r="C25" s="14">
        <v>0.4</v>
      </c>
      <c r="D25" s="14">
        <v>0.47</v>
      </c>
      <c r="E25" s="14">
        <v>0.5</v>
      </c>
      <c r="F25" s="14">
        <v>0.64</v>
      </c>
      <c r="G25" s="14">
        <v>0.52</v>
      </c>
      <c r="H25" s="14">
        <v>0.35</v>
      </c>
      <c r="I25" s="14">
        <v>0.35</v>
      </c>
      <c r="J25" s="14">
        <v>0.36</v>
      </c>
      <c r="K25" s="14">
        <v>0.76</v>
      </c>
      <c r="L25" s="14">
        <v>0.59</v>
      </c>
      <c r="M25" s="14">
        <v>0.69000000000000006</v>
      </c>
      <c r="N25" s="14">
        <v>0.51</v>
      </c>
      <c r="O25" s="14">
        <v>0.2</v>
      </c>
      <c r="P25" s="14">
        <v>0.55000000000000004</v>
      </c>
      <c r="Q25" s="14">
        <v>0.21</v>
      </c>
      <c r="R25" s="14">
        <v>0.56000000000000005</v>
      </c>
      <c r="S25" s="14">
        <v>0.66</v>
      </c>
      <c r="T25" s="14">
        <v>0.53</v>
      </c>
      <c r="U25" s="14">
        <v>0.51</v>
      </c>
      <c r="V25" s="14">
        <v>0.5</v>
      </c>
      <c r="W25" s="14">
        <v>0.76</v>
      </c>
      <c r="X25" s="14">
        <v>0.44</v>
      </c>
      <c r="Y25" s="14">
        <v>0.36</v>
      </c>
      <c r="Z25" s="14">
        <v>0.43</v>
      </c>
      <c r="AA25" s="14">
        <v>0.54</v>
      </c>
      <c r="AB25" s="14">
        <v>0.6</v>
      </c>
      <c r="AC25" s="14">
        <v>0.67</v>
      </c>
      <c r="AD25" s="14">
        <v>0.61</v>
      </c>
      <c r="AE25" s="14">
        <v>0.74</v>
      </c>
      <c r="AF25" s="14">
        <v>0.42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1189</v>
      </c>
      <c r="C3" s="17"/>
      <c r="D3" s="17"/>
      <c r="E3" s="17"/>
      <c r="F3" s="17"/>
      <c r="H3" s="17" t="s">
        <v>1190</v>
      </c>
      <c r="I3" s="17"/>
      <c r="J3" s="17"/>
      <c r="K3" s="17"/>
      <c r="L3" s="17"/>
    </row>
    <row r="4" spans="1:32" ht="27" customHeight="1">
      <c r="B4" s="17" t="s">
        <v>1191</v>
      </c>
      <c r="C4" s="17"/>
      <c r="D4" s="17"/>
      <c r="E4" s="17"/>
      <c r="F4" s="17"/>
      <c r="H4" s="17" t="s">
        <v>1192</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1151</v>
      </c>
      <c r="C12" s="12">
        <v>6900</v>
      </c>
      <c r="D12" s="12">
        <v>236</v>
      </c>
      <c r="E12" s="12">
        <v>126</v>
      </c>
      <c r="F12" s="12">
        <v>115</v>
      </c>
      <c r="G12" s="12">
        <v>270</v>
      </c>
      <c r="H12" s="12">
        <v>366</v>
      </c>
      <c r="I12" s="12">
        <v>446</v>
      </c>
      <c r="J12" s="12">
        <v>80</v>
      </c>
      <c r="K12" s="12">
        <v>41</v>
      </c>
      <c r="L12" s="12">
        <v>179</v>
      </c>
      <c r="M12" s="12">
        <v>90</v>
      </c>
      <c r="N12" s="12">
        <v>137</v>
      </c>
      <c r="O12" s="12">
        <v>435</v>
      </c>
      <c r="P12" s="12">
        <v>150</v>
      </c>
      <c r="Q12" s="12">
        <v>399</v>
      </c>
      <c r="R12" s="12">
        <v>55</v>
      </c>
      <c r="S12" s="12">
        <v>60</v>
      </c>
      <c r="T12" s="12">
        <v>85</v>
      </c>
      <c r="U12" s="12">
        <v>98</v>
      </c>
      <c r="V12" s="12">
        <v>178</v>
      </c>
      <c r="W12" s="12">
        <v>47</v>
      </c>
      <c r="X12" s="12">
        <v>319</v>
      </c>
      <c r="Y12" s="12">
        <v>274</v>
      </c>
      <c r="Z12" s="12">
        <v>175</v>
      </c>
      <c r="AA12" s="12">
        <v>142</v>
      </c>
      <c r="AB12" s="12">
        <v>113</v>
      </c>
      <c r="AC12" s="12">
        <v>85</v>
      </c>
      <c r="AD12" s="12">
        <v>97</v>
      </c>
      <c r="AE12" s="12">
        <v>79</v>
      </c>
      <c r="AF12" s="12">
        <v>360</v>
      </c>
    </row>
    <row r="13" spans="1:32">
      <c r="A13" s="19"/>
      <c r="B13" s="13" t="s">
        <v>1152</v>
      </c>
      <c r="C13" s="14">
        <v>0.26</v>
      </c>
      <c r="D13" s="14">
        <v>0.23</v>
      </c>
      <c r="E13" s="14">
        <v>0.12</v>
      </c>
      <c r="F13" s="14">
        <v>0.11</v>
      </c>
      <c r="G13" s="14">
        <v>0.27</v>
      </c>
      <c r="H13" s="14">
        <v>0.3</v>
      </c>
      <c r="I13" s="14">
        <v>0.28999999999999998</v>
      </c>
      <c r="J13" s="14">
        <v>0.27</v>
      </c>
      <c r="K13" s="14">
        <v>0.04</v>
      </c>
      <c r="L13" s="14">
        <v>0.18</v>
      </c>
      <c r="M13" s="14">
        <v>0.09</v>
      </c>
      <c r="N13" s="14">
        <v>0.14000000000000001</v>
      </c>
      <c r="O13" s="14">
        <v>0.43</v>
      </c>
      <c r="P13" s="14">
        <v>0.15</v>
      </c>
      <c r="Q13" s="14">
        <v>0.39</v>
      </c>
      <c r="R13" s="14">
        <v>0.11</v>
      </c>
      <c r="S13" s="14">
        <v>0.06</v>
      </c>
      <c r="T13" s="14">
        <v>0.08</v>
      </c>
      <c r="U13" s="14">
        <v>0.19</v>
      </c>
      <c r="V13" s="14">
        <v>0.17</v>
      </c>
      <c r="W13" s="14">
        <v>0.1</v>
      </c>
      <c r="X13" s="14">
        <v>0.32</v>
      </c>
      <c r="Y13" s="14">
        <v>0.27</v>
      </c>
      <c r="Z13" s="14">
        <v>0.17</v>
      </c>
      <c r="AA13" s="14">
        <v>0.14000000000000001</v>
      </c>
      <c r="AB13" s="14">
        <v>0.11</v>
      </c>
      <c r="AC13" s="14">
        <v>0.08</v>
      </c>
      <c r="AD13" s="14">
        <v>0.1</v>
      </c>
      <c r="AE13" s="14">
        <v>0.08</v>
      </c>
      <c r="AF13" s="14">
        <v>0.35</v>
      </c>
    </row>
    <row r="14" spans="1:32">
      <c r="A14" s="19"/>
      <c r="B14" s="11" t="s">
        <v>1153</v>
      </c>
      <c r="C14" s="12">
        <v>9165</v>
      </c>
      <c r="D14" s="12">
        <v>424</v>
      </c>
      <c r="E14" s="12">
        <v>247</v>
      </c>
      <c r="F14" s="12">
        <v>255</v>
      </c>
      <c r="G14" s="12">
        <v>380</v>
      </c>
      <c r="H14" s="12">
        <v>496</v>
      </c>
      <c r="I14" s="12">
        <v>623</v>
      </c>
      <c r="J14" s="12">
        <v>127</v>
      </c>
      <c r="K14" s="12">
        <v>107</v>
      </c>
      <c r="L14" s="12">
        <v>314</v>
      </c>
      <c r="M14" s="12">
        <v>188</v>
      </c>
      <c r="N14" s="12">
        <v>307</v>
      </c>
      <c r="O14" s="12">
        <v>336</v>
      </c>
      <c r="P14" s="12">
        <v>268</v>
      </c>
      <c r="Q14" s="12">
        <v>416</v>
      </c>
      <c r="R14" s="12">
        <v>168</v>
      </c>
      <c r="S14" s="12">
        <v>184</v>
      </c>
      <c r="T14" s="12">
        <v>292</v>
      </c>
      <c r="U14" s="12">
        <v>183</v>
      </c>
      <c r="V14" s="12">
        <v>347</v>
      </c>
      <c r="W14" s="12">
        <v>115</v>
      </c>
      <c r="X14" s="12">
        <v>466</v>
      </c>
      <c r="Y14" s="12">
        <v>364</v>
      </c>
      <c r="Z14" s="12">
        <v>348</v>
      </c>
      <c r="AA14" s="12">
        <v>270</v>
      </c>
      <c r="AB14" s="12">
        <v>238</v>
      </c>
      <c r="AC14" s="12">
        <v>220</v>
      </c>
      <c r="AD14" s="12">
        <v>258</v>
      </c>
      <c r="AE14" s="12">
        <v>261</v>
      </c>
      <c r="AF14" s="12">
        <v>417</v>
      </c>
    </row>
    <row r="15" spans="1:32">
      <c r="A15" s="19"/>
      <c r="B15" s="13" t="s">
        <v>1154</v>
      </c>
      <c r="C15" s="14">
        <v>0.35</v>
      </c>
      <c r="D15" s="14">
        <v>0.42</v>
      </c>
      <c r="E15" s="14">
        <v>0.24</v>
      </c>
      <c r="F15" s="14">
        <v>0.24</v>
      </c>
      <c r="G15" s="14">
        <v>0.37</v>
      </c>
      <c r="H15" s="14">
        <v>0.4</v>
      </c>
      <c r="I15" s="14">
        <v>0.41</v>
      </c>
      <c r="J15" s="14">
        <v>0.43</v>
      </c>
      <c r="K15" s="14">
        <v>0.11</v>
      </c>
      <c r="L15" s="14">
        <v>0.31</v>
      </c>
      <c r="M15" s="14">
        <v>0.19</v>
      </c>
      <c r="N15" s="14">
        <v>0.3</v>
      </c>
      <c r="O15" s="14">
        <v>0.34</v>
      </c>
      <c r="P15" s="14">
        <v>0.26</v>
      </c>
      <c r="Q15" s="14">
        <v>0.4</v>
      </c>
      <c r="R15" s="14">
        <v>0.33</v>
      </c>
      <c r="S15" s="14">
        <v>0.18</v>
      </c>
      <c r="T15" s="14">
        <v>0.28999999999999998</v>
      </c>
      <c r="U15" s="14">
        <v>0.36</v>
      </c>
      <c r="V15" s="14">
        <v>0.34</v>
      </c>
      <c r="W15" s="14">
        <v>0.23</v>
      </c>
      <c r="X15" s="14">
        <v>0.46</v>
      </c>
      <c r="Y15" s="14">
        <v>0.36</v>
      </c>
      <c r="Z15" s="14">
        <v>0.34</v>
      </c>
      <c r="AA15" s="14">
        <v>0.26</v>
      </c>
      <c r="AB15" s="14">
        <v>0.23</v>
      </c>
      <c r="AC15" s="14">
        <v>0.22</v>
      </c>
      <c r="AD15" s="14">
        <v>0.26</v>
      </c>
      <c r="AE15" s="14">
        <v>0.26</v>
      </c>
      <c r="AF15" s="14">
        <v>0.4</v>
      </c>
    </row>
    <row r="16" spans="1:32">
      <c r="A16" s="19"/>
      <c r="B16" s="11" t="s">
        <v>1155</v>
      </c>
      <c r="C16" s="12">
        <v>5547</v>
      </c>
      <c r="D16" s="12">
        <v>289</v>
      </c>
      <c r="E16" s="12">
        <v>211</v>
      </c>
      <c r="F16" s="12">
        <v>320</v>
      </c>
      <c r="G16" s="12">
        <v>217</v>
      </c>
      <c r="H16" s="12">
        <v>245</v>
      </c>
      <c r="I16" s="12">
        <v>310</v>
      </c>
      <c r="J16" s="12">
        <v>65</v>
      </c>
      <c r="K16" s="12">
        <v>425</v>
      </c>
      <c r="L16" s="12">
        <v>251</v>
      </c>
      <c r="M16" s="12">
        <v>347</v>
      </c>
      <c r="N16" s="12">
        <v>233</v>
      </c>
      <c r="O16" s="12">
        <v>95</v>
      </c>
      <c r="P16" s="12">
        <v>338</v>
      </c>
      <c r="Q16" s="12">
        <v>147</v>
      </c>
      <c r="R16" s="12">
        <v>111</v>
      </c>
      <c r="S16" s="12">
        <v>338</v>
      </c>
      <c r="T16" s="12">
        <v>306</v>
      </c>
      <c r="U16" s="12">
        <v>115</v>
      </c>
      <c r="V16" s="12">
        <v>309</v>
      </c>
      <c r="W16" s="12">
        <v>152</v>
      </c>
      <c r="X16" s="12">
        <v>157</v>
      </c>
      <c r="Y16" s="12">
        <v>187</v>
      </c>
      <c r="Z16" s="12">
        <v>322</v>
      </c>
      <c r="AA16" s="12">
        <v>176</v>
      </c>
      <c r="AB16" s="12">
        <v>332</v>
      </c>
      <c r="AC16" s="12">
        <v>329</v>
      </c>
      <c r="AD16" s="12">
        <v>353</v>
      </c>
      <c r="AE16" s="12">
        <v>392</v>
      </c>
      <c r="AF16" s="12">
        <v>135</v>
      </c>
    </row>
    <row r="17" spans="1:32">
      <c r="A17" s="19"/>
      <c r="B17" s="13" t="s">
        <v>1156</v>
      </c>
      <c r="C17" s="14">
        <v>0.21</v>
      </c>
      <c r="D17" s="14">
        <v>0.28000000000000003</v>
      </c>
      <c r="E17" s="14">
        <v>0.2</v>
      </c>
      <c r="F17" s="14">
        <v>0.3</v>
      </c>
      <c r="G17" s="14">
        <v>0.21</v>
      </c>
      <c r="H17" s="14">
        <v>0.2</v>
      </c>
      <c r="I17" s="14">
        <v>0.2</v>
      </c>
      <c r="J17" s="14">
        <v>0.22</v>
      </c>
      <c r="K17" s="14">
        <v>0.42</v>
      </c>
      <c r="L17" s="14">
        <v>0.25</v>
      </c>
      <c r="M17" s="14">
        <v>0.34</v>
      </c>
      <c r="N17" s="14">
        <v>0.23</v>
      </c>
      <c r="O17" s="14">
        <v>0.09</v>
      </c>
      <c r="P17" s="14">
        <v>0.34</v>
      </c>
      <c r="Q17" s="14">
        <v>0.14000000000000001</v>
      </c>
      <c r="R17" s="14">
        <v>0.22</v>
      </c>
      <c r="S17" s="14">
        <v>0.34</v>
      </c>
      <c r="T17" s="14">
        <v>0.3</v>
      </c>
      <c r="U17" s="14">
        <v>0.23</v>
      </c>
      <c r="V17" s="14">
        <v>0.3</v>
      </c>
      <c r="W17" s="14">
        <v>0.3</v>
      </c>
      <c r="X17" s="14">
        <v>0.15</v>
      </c>
      <c r="Y17" s="14">
        <v>0.19</v>
      </c>
      <c r="Z17" s="14">
        <v>0.32</v>
      </c>
      <c r="AA17" s="14">
        <v>0.17</v>
      </c>
      <c r="AB17" s="14">
        <v>0.32</v>
      </c>
      <c r="AC17" s="14">
        <v>0.33</v>
      </c>
      <c r="AD17" s="14">
        <v>0.35</v>
      </c>
      <c r="AE17" s="14">
        <v>0.39</v>
      </c>
      <c r="AF17" s="14">
        <v>0.13</v>
      </c>
    </row>
    <row r="18" spans="1:32">
      <c r="A18" s="19"/>
      <c r="B18" s="11" t="s">
        <v>1157</v>
      </c>
      <c r="C18" s="12">
        <v>2632</v>
      </c>
      <c r="D18" s="12">
        <v>41</v>
      </c>
      <c r="E18" s="12">
        <v>279</v>
      </c>
      <c r="F18" s="12">
        <v>286</v>
      </c>
      <c r="G18" s="12">
        <v>50</v>
      </c>
      <c r="H18" s="12">
        <v>18</v>
      </c>
      <c r="I18" s="12">
        <v>22</v>
      </c>
      <c r="J18" s="12">
        <v>5</v>
      </c>
      <c r="K18" s="12">
        <v>262</v>
      </c>
      <c r="L18" s="12">
        <v>147</v>
      </c>
      <c r="M18" s="12">
        <v>275</v>
      </c>
      <c r="N18" s="12">
        <v>217</v>
      </c>
      <c r="O18" s="12">
        <v>22</v>
      </c>
      <c r="P18" s="12">
        <v>188</v>
      </c>
      <c r="Q18" s="12">
        <v>44</v>
      </c>
      <c r="R18" s="12">
        <v>79</v>
      </c>
      <c r="S18" s="12">
        <v>253</v>
      </c>
      <c r="T18" s="12">
        <v>213</v>
      </c>
      <c r="U18" s="12">
        <v>30</v>
      </c>
      <c r="V18" s="12">
        <v>163</v>
      </c>
      <c r="W18" s="12">
        <v>137</v>
      </c>
      <c r="X18" s="12">
        <v>20</v>
      </c>
      <c r="Y18" s="12">
        <v>67</v>
      </c>
      <c r="Z18" s="12">
        <v>103</v>
      </c>
      <c r="AA18" s="12">
        <v>304</v>
      </c>
      <c r="AB18" s="12">
        <v>280</v>
      </c>
      <c r="AC18" s="12">
        <v>272</v>
      </c>
      <c r="AD18" s="12">
        <v>220</v>
      </c>
      <c r="AE18" s="12">
        <v>145</v>
      </c>
      <c r="AF18" s="12">
        <v>39</v>
      </c>
    </row>
    <row r="19" spans="1:32">
      <c r="A19" s="19"/>
      <c r="B19" s="13" t="s">
        <v>1158</v>
      </c>
      <c r="C19" s="14">
        <v>0.1</v>
      </c>
      <c r="D19" s="14">
        <v>0.04</v>
      </c>
      <c r="E19" s="14">
        <v>0.27</v>
      </c>
      <c r="F19" s="14">
        <v>0.27</v>
      </c>
      <c r="G19" s="14">
        <v>0.05</v>
      </c>
      <c r="H19" s="14">
        <v>0.01</v>
      </c>
      <c r="I19" s="14">
        <v>0.02</v>
      </c>
      <c r="J19" s="14">
        <v>0.01</v>
      </c>
      <c r="K19" s="14">
        <v>0.26</v>
      </c>
      <c r="L19" s="14">
        <v>0.15</v>
      </c>
      <c r="M19" s="14">
        <v>0.27</v>
      </c>
      <c r="N19" s="14">
        <v>0.21</v>
      </c>
      <c r="O19" s="14">
        <v>0.02</v>
      </c>
      <c r="P19" s="14">
        <v>0.19</v>
      </c>
      <c r="Q19" s="14">
        <v>0.04</v>
      </c>
      <c r="R19" s="14">
        <v>0.16</v>
      </c>
      <c r="S19" s="14">
        <v>0.25</v>
      </c>
      <c r="T19" s="14">
        <v>0.21</v>
      </c>
      <c r="U19" s="14">
        <v>0.06</v>
      </c>
      <c r="V19" s="14">
        <v>0.16</v>
      </c>
      <c r="W19" s="14">
        <v>0.27</v>
      </c>
      <c r="X19" s="14">
        <v>0.02</v>
      </c>
      <c r="Y19" s="14">
        <v>7.0000000000000007E-2</v>
      </c>
      <c r="Z19" s="14">
        <v>0.1</v>
      </c>
      <c r="AA19" s="14">
        <v>0.28999999999999998</v>
      </c>
      <c r="AB19" s="14">
        <v>0.27</v>
      </c>
      <c r="AC19" s="14">
        <v>0.27</v>
      </c>
      <c r="AD19" s="14">
        <v>0.22</v>
      </c>
      <c r="AE19" s="14">
        <v>0.15</v>
      </c>
      <c r="AF19" s="14">
        <v>0.04</v>
      </c>
    </row>
    <row r="20" spans="1:32">
      <c r="A20" s="19"/>
      <c r="B20" s="11" t="s">
        <v>386</v>
      </c>
      <c r="C20" s="12">
        <v>2209</v>
      </c>
      <c r="D20" s="12">
        <v>31</v>
      </c>
      <c r="E20" s="12">
        <v>184</v>
      </c>
      <c r="F20" s="12">
        <v>87</v>
      </c>
      <c r="G20" s="12">
        <v>99</v>
      </c>
      <c r="H20" s="12">
        <v>105</v>
      </c>
      <c r="I20" s="12">
        <v>125</v>
      </c>
      <c r="J20" s="12">
        <v>20</v>
      </c>
      <c r="K20" s="12">
        <v>171</v>
      </c>
      <c r="L20" s="12">
        <v>116</v>
      </c>
      <c r="M20" s="12">
        <v>107</v>
      </c>
      <c r="N20" s="12">
        <v>116</v>
      </c>
      <c r="O20" s="12">
        <v>117</v>
      </c>
      <c r="P20" s="12">
        <v>60</v>
      </c>
      <c r="Q20" s="12">
        <v>26</v>
      </c>
      <c r="R20" s="12">
        <v>88</v>
      </c>
      <c r="S20" s="12">
        <v>169</v>
      </c>
      <c r="T20" s="12">
        <v>127</v>
      </c>
      <c r="U20" s="12">
        <v>81</v>
      </c>
      <c r="V20" s="12">
        <v>29</v>
      </c>
      <c r="W20" s="12">
        <v>51</v>
      </c>
      <c r="X20" s="12">
        <v>48</v>
      </c>
      <c r="Y20" s="12">
        <v>111</v>
      </c>
      <c r="Z20" s="12">
        <v>68</v>
      </c>
      <c r="AA20" s="12">
        <v>145</v>
      </c>
      <c r="AB20" s="12">
        <v>78</v>
      </c>
      <c r="AC20" s="12">
        <v>98</v>
      </c>
      <c r="AD20" s="12">
        <v>75</v>
      </c>
      <c r="AE20" s="12">
        <v>124</v>
      </c>
      <c r="AF20" s="12">
        <v>79</v>
      </c>
    </row>
    <row r="21" spans="1:32">
      <c r="A21" s="19"/>
      <c r="B21" s="13" t="s">
        <v>399</v>
      </c>
      <c r="C21" s="14">
        <v>0.08</v>
      </c>
      <c r="D21" s="14">
        <v>0.03</v>
      </c>
      <c r="E21" s="14">
        <v>0.17</v>
      </c>
      <c r="F21" s="14">
        <v>0.08</v>
      </c>
      <c r="G21" s="14">
        <v>0.1</v>
      </c>
      <c r="H21" s="14">
        <v>0.09</v>
      </c>
      <c r="I21" s="14">
        <v>0.08</v>
      </c>
      <c r="J21" s="14">
        <v>7.0000000000000007E-2</v>
      </c>
      <c r="K21" s="14">
        <v>0.17</v>
      </c>
      <c r="L21" s="14">
        <v>0.11</v>
      </c>
      <c r="M21" s="14">
        <v>0.11</v>
      </c>
      <c r="N21" s="14">
        <v>0.12</v>
      </c>
      <c r="O21" s="14">
        <v>0.12</v>
      </c>
      <c r="P21" s="14">
        <v>0.06</v>
      </c>
      <c r="Q21" s="14">
        <v>0.03</v>
      </c>
      <c r="R21" s="14">
        <v>0.18</v>
      </c>
      <c r="S21" s="14">
        <v>0.17</v>
      </c>
      <c r="T21" s="14">
        <v>0.12</v>
      </c>
      <c r="U21" s="14">
        <v>0.16</v>
      </c>
      <c r="V21" s="14">
        <v>0.03</v>
      </c>
      <c r="W21" s="14">
        <v>0.1</v>
      </c>
      <c r="X21" s="14">
        <v>0.05</v>
      </c>
      <c r="Y21" s="14">
        <v>0.11</v>
      </c>
      <c r="Z21" s="14">
        <v>7.0000000000000007E-2</v>
      </c>
      <c r="AA21" s="14">
        <v>0.14000000000000001</v>
      </c>
      <c r="AB21" s="14">
        <v>7.0000000000000007E-2</v>
      </c>
      <c r="AC21" s="14">
        <v>0.1</v>
      </c>
      <c r="AD21" s="14">
        <v>7.0000000000000007E-2</v>
      </c>
      <c r="AE21" s="14">
        <v>0.12</v>
      </c>
      <c r="AF21" s="14">
        <v>0.08</v>
      </c>
    </row>
    <row r="22" spans="1:32">
      <c r="A22" s="19"/>
      <c r="B22" s="11" t="s">
        <v>1159</v>
      </c>
      <c r="C22" s="12">
        <v>16065</v>
      </c>
      <c r="D22" s="12">
        <v>660</v>
      </c>
      <c r="E22" s="12">
        <v>373</v>
      </c>
      <c r="F22" s="12">
        <v>370</v>
      </c>
      <c r="G22" s="12">
        <v>650</v>
      </c>
      <c r="H22" s="12">
        <v>862</v>
      </c>
      <c r="I22" s="12">
        <v>1069</v>
      </c>
      <c r="J22" s="12">
        <v>207</v>
      </c>
      <c r="K22" s="12">
        <v>148</v>
      </c>
      <c r="L22" s="12">
        <v>493</v>
      </c>
      <c r="M22" s="12">
        <v>278</v>
      </c>
      <c r="N22" s="12">
        <v>444</v>
      </c>
      <c r="O22" s="12">
        <v>771</v>
      </c>
      <c r="P22" s="12">
        <v>418</v>
      </c>
      <c r="Q22" s="12">
        <v>815</v>
      </c>
      <c r="R22" s="12">
        <v>223</v>
      </c>
      <c r="S22" s="12">
        <v>244</v>
      </c>
      <c r="T22" s="12">
        <v>377</v>
      </c>
      <c r="U22" s="12">
        <v>281</v>
      </c>
      <c r="V22" s="12">
        <v>525</v>
      </c>
      <c r="W22" s="12">
        <v>162</v>
      </c>
      <c r="X22" s="12">
        <v>785</v>
      </c>
      <c r="Y22" s="12">
        <v>638</v>
      </c>
      <c r="Z22" s="12">
        <v>523</v>
      </c>
      <c r="AA22" s="12">
        <v>412</v>
      </c>
      <c r="AB22" s="12">
        <v>351</v>
      </c>
      <c r="AC22" s="12">
        <v>305</v>
      </c>
      <c r="AD22" s="12">
        <v>355</v>
      </c>
      <c r="AE22" s="12">
        <v>340</v>
      </c>
      <c r="AF22" s="12">
        <v>777</v>
      </c>
    </row>
    <row r="23" spans="1:32">
      <c r="A23" s="19"/>
      <c r="B23" s="13" t="s">
        <v>1160</v>
      </c>
      <c r="C23" s="14">
        <v>0.61</v>
      </c>
      <c r="D23" s="14">
        <v>0.65</v>
      </c>
      <c r="E23" s="14">
        <v>0.36</v>
      </c>
      <c r="F23" s="14">
        <v>0.35</v>
      </c>
      <c r="G23" s="14">
        <v>0.64</v>
      </c>
      <c r="H23" s="14">
        <v>0.70000000000000007</v>
      </c>
      <c r="I23" s="14">
        <v>0.70000000000000007</v>
      </c>
      <c r="J23" s="14">
        <v>0.70000000000000007</v>
      </c>
      <c r="K23" s="14">
        <v>0.15</v>
      </c>
      <c r="L23" s="14">
        <v>0.49</v>
      </c>
      <c r="M23" s="14">
        <v>0.28000000000000003</v>
      </c>
      <c r="N23" s="14">
        <v>0.44</v>
      </c>
      <c r="O23" s="14">
        <v>0.77</v>
      </c>
      <c r="P23" s="14">
        <v>0.41</v>
      </c>
      <c r="Q23" s="14">
        <v>0.79</v>
      </c>
      <c r="R23" s="14">
        <v>0.44</v>
      </c>
      <c r="S23" s="14">
        <v>0.24</v>
      </c>
      <c r="T23" s="14">
        <v>0.37</v>
      </c>
      <c r="U23" s="14">
        <v>0.55000000000000004</v>
      </c>
      <c r="V23" s="14">
        <v>0.51</v>
      </c>
      <c r="W23" s="14">
        <v>0.33</v>
      </c>
      <c r="X23" s="14">
        <v>0.78</v>
      </c>
      <c r="Y23" s="14">
        <v>0.63</v>
      </c>
      <c r="Z23" s="14">
        <v>0.51</v>
      </c>
      <c r="AA23" s="14">
        <v>0.4</v>
      </c>
      <c r="AB23" s="14">
        <v>0.34</v>
      </c>
      <c r="AC23" s="14">
        <v>0.3</v>
      </c>
      <c r="AD23" s="14">
        <v>0.36</v>
      </c>
      <c r="AE23" s="14">
        <v>0.34</v>
      </c>
      <c r="AF23" s="14">
        <v>0.75</v>
      </c>
    </row>
    <row r="24" spans="1:32">
      <c r="A24" s="19"/>
      <c r="B24" s="11" t="s">
        <v>1161</v>
      </c>
      <c r="C24" s="12">
        <v>8179</v>
      </c>
      <c r="D24" s="12">
        <v>330</v>
      </c>
      <c r="E24" s="12">
        <v>490</v>
      </c>
      <c r="F24" s="12">
        <v>606</v>
      </c>
      <c r="G24" s="12">
        <v>267</v>
      </c>
      <c r="H24" s="12">
        <v>263</v>
      </c>
      <c r="I24" s="12">
        <v>332</v>
      </c>
      <c r="J24" s="12">
        <v>70</v>
      </c>
      <c r="K24" s="12">
        <v>687</v>
      </c>
      <c r="L24" s="12">
        <v>398</v>
      </c>
      <c r="M24" s="12">
        <v>622</v>
      </c>
      <c r="N24" s="12">
        <v>450</v>
      </c>
      <c r="O24" s="12">
        <v>117</v>
      </c>
      <c r="P24" s="12">
        <v>526</v>
      </c>
      <c r="Q24" s="12">
        <v>191</v>
      </c>
      <c r="R24" s="12">
        <v>190</v>
      </c>
      <c r="S24" s="12">
        <v>591</v>
      </c>
      <c r="T24" s="12">
        <v>519</v>
      </c>
      <c r="U24" s="12">
        <v>145</v>
      </c>
      <c r="V24" s="12">
        <v>472</v>
      </c>
      <c r="W24" s="12">
        <v>289</v>
      </c>
      <c r="X24" s="12">
        <v>177</v>
      </c>
      <c r="Y24" s="12">
        <v>254</v>
      </c>
      <c r="Z24" s="12">
        <v>425</v>
      </c>
      <c r="AA24" s="12">
        <v>480</v>
      </c>
      <c r="AB24" s="12">
        <v>612</v>
      </c>
      <c r="AC24" s="12">
        <v>601</v>
      </c>
      <c r="AD24" s="12">
        <v>573</v>
      </c>
      <c r="AE24" s="12">
        <v>537</v>
      </c>
      <c r="AF24" s="12">
        <v>174</v>
      </c>
    </row>
    <row r="25" spans="1:32">
      <c r="A25" s="19"/>
      <c r="B25" s="13" t="s">
        <v>1162</v>
      </c>
      <c r="C25" s="14">
        <v>0.31</v>
      </c>
      <c r="D25" s="14">
        <v>0.32</v>
      </c>
      <c r="E25" s="14">
        <v>0.47</v>
      </c>
      <c r="F25" s="14">
        <v>0.57000000000000006</v>
      </c>
      <c r="G25" s="14">
        <v>0.26</v>
      </c>
      <c r="H25" s="14">
        <v>0.21</v>
      </c>
      <c r="I25" s="14">
        <v>0.22</v>
      </c>
      <c r="J25" s="14">
        <v>0.23</v>
      </c>
      <c r="K25" s="14">
        <v>0.68</v>
      </c>
      <c r="L25" s="14">
        <v>0.4</v>
      </c>
      <c r="M25" s="14">
        <v>0.61</v>
      </c>
      <c r="N25" s="14">
        <v>0.44</v>
      </c>
      <c r="O25" s="14">
        <v>0.11</v>
      </c>
      <c r="P25" s="14">
        <v>0.53</v>
      </c>
      <c r="Q25" s="14">
        <v>0.18</v>
      </c>
      <c r="R25" s="14">
        <v>0.38</v>
      </c>
      <c r="S25" s="14">
        <v>0.59</v>
      </c>
      <c r="T25" s="14">
        <v>0.51</v>
      </c>
      <c r="U25" s="14">
        <v>0.28999999999999998</v>
      </c>
      <c r="V25" s="14">
        <v>0.46</v>
      </c>
      <c r="W25" s="14">
        <v>0.57000000000000006</v>
      </c>
      <c r="X25" s="14">
        <v>0.17</v>
      </c>
      <c r="Y25" s="14">
        <v>0.26</v>
      </c>
      <c r="Z25" s="14">
        <v>0.42</v>
      </c>
      <c r="AA25" s="14">
        <v>0.46</v>
      </c>
      <c r="AB25" s="14">
        <v>0.59</v>
      </c>
      <c r="AC25" s="14">
        <v>0.6</v>
      </c>
      <c r="AD25" s="14">
        <v>0.57000000000000006</v>
      </c>
      <c r="AE25" s="14">
        <v>0.54</v>
      </c>
      <c r="AF25" s="14">
        <v>0.17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1193</v>
      </c>
      <c r="C3" s="17"/>
      <c r="D3" s="17"/>
      <c r="E3" s="17"/>
      <c r="F3" s="17"/>
      <c r="H3" s="17" t="s">
        <v>1194</v>
      </c>
      <c r="I3" s="17"/>
      <c r="J3" s="17"/>
      <c r="K3" s="17"/>
      <c r="L3" s="17"/>
    </row>
    <row r="4" spans="1:32" ht="27" customHeight="1">
      <c r="B4" s="17" t="s">
        <v>1195</v>
      </c>
      <c r="C4" s="17"/>
      <c r="D4" s="17"/>
      <c r="E4" s="17"/>
      <c r="F4" s="17"/>
      <c r="H4" s="17" t="s">
        <v>1196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1151</v>
      </c>
      <c r="C12" s="12">
        <v>5764</v>
      </c>
      <c r="D12" s="12">
        <v>188</v>
      </c>
      <c r="E12" s="12">
        <v>128</v>
      </c>
      <c r="F12" s="12">
        <v>116</v>
      </c>
      <c r="G12" s="12">
        <v>155</v>
      </c>
      <c r="H12" s="12">
        <v>272</v>
      </c>
      <c r="I12" s="12">
        <v>332</v>
      </c>
      <c r="J12" s="12">
        <v>59</v>
      </c>
      <c r="K12" s="12">
        <v>21</v>
      </c>
      <c r="L12" s="12">
        <v>79</v>
      </c>
      <c r="M12" s="12">
        <v>72</v>
      </c>
      <c r="N12" s="12">
        <v>122</v>
      </c>
      <c r="O12" s="12">
        <v>406</v>
      </c>
      <c r="P12" s="12">
        <v>138</v>
      </c>
      <c r="Q12" s="12">
        <v>381</v>
      </c>
      <c r="R12" s="12">
        <v>56</v>
      </c>
      <c r="S12" s="12">
        <v>37</v>
      </c>
      <c r="T12" s="12">
        <v>64</v>
      </c>
      <c r="U12" s="12">
        <v>70</v>
      </c>
      <c r="V12" s="12">
        <v>151</v>
      </c>
      <c r="W12" s="12">
        <v>37</v>
      </c>
      <c r="X12" s="12">
        <v>207</v>
      </c>
      <c r="Y12" s="12">
        <v>213</v>
      </c>
      <c r="Z12" s="12">
        <v>114</v>
      </c>
      <c r="AA12" s="12">
        <v>151</v>
      </c>
      <c r="AB12" s="12">
        <v>86</v>
      </c>
      <c r="AC12" s="12">
        <v>75</v>
      </c>
      <c r="AD12" s="12">
        <v>50</v>
      </c>
      <c r="AE12" s="12">
        <v>42</v>
      </c>
      <c r="AF12" s="12">
        <v>223</v>
      </c>
    </row>
    <row r="13" spans="1:32">
      <c r="A13" s="19"/>
      <c r="B13" s="13" t="s">
        <v>1152</v>
      </c>
      <c r="C13" s="14">
        <v>0.22</v>
      </c>
      <c r="D13" s="14">
        <v>0.18</v>
      </c>
      <c r="E13" s="14">
        <v>0.12</v>
      </c>
      <c r="F13" s="14">
        <v>0.11</v>
      </c>
      <c r="G13" s="14">
        <v>0.15</v>
      </c>
      <c r="H13" s="14">
        <v>0.22</v>
      </c>
      <c r="I13" s="14">
        <v>0.22</v>
      </c>
      <c r="J13" s="14">
        <v>0.2</v>
      </c>
      <c r="K13" s="14">
        <v>0.02</v>
      </c>
      <c r="L13" s="14">
        <v>0.08</v>
      </c>
      <c r="M13" s="14">
        <v>7.0000000000000007E-2</v>
      </c>
      <c r="N13" s="14">
        <v>0.12</v>
      </c>
      <c r="O13" s="14">
        <v>0.41</v>
      </c>
      <c r="P13" s="14">
        <v>0.14000000000000001</v>
      </c>
      <c r="Q13" s="14">
        <v>0.37</v>
      </c>
      <c r="R13" s="14">
        <v>0.11</v>
      </c>
      <c r="S13" s="14">
        <v>0.04</v>
      </c>
      <c r="T13" s="14">
        <v>0.06</v>
      </c>
      <c r="U13" s="14">
        <v>0.14000000000000001</v>
      </c>
      <c r="V13" s="14">
        <v>0.15</v>
      </c>
      <c r="W13" s="14">
        <v>7.0000000000000007E-2</v>
      </c>
      <c r="X13" s="14">
        <v>0.2</v>
      </c>
      <c r="Y13" s="14">
        <v>0.21</v>
      </c>
      <c r="Z13" s="14">
        <v>0.11</v>
      </c>
      <c r="AA13" s="14">
        <v>0.14000000000000001</v>
      </c>
      <c r="AB13" s="14">
        <v>0.08</v>
      </c>
      <c r="AC13" s="14">
        <v>7.0000000000000007E-2</v>
      </c>
      <c r="AD13" s="14">
        <v>0.05</v>
      </c>
      <c r="AE13" s="14">
        <v>0.04</v>
      </c>
      <c r="AF13" s="14">
        <v>0.21</v>
      </c>
    </row>
    <row r="14" spans="1:32">
      <c r="A14" s="19"/>
      <c r="B14" s="11" t="s">
        <v>1153</v>
      </c>
      <c r="C14" s="12">
        <v>8112</v>
      </c>
      <c r="D14" s="12">
        <v>334</v>
      </c>
      <c r="E14" s="12">
        <v>208</v>
      </c>
      <c r="F14" s="12">
        <v>207</v>
      </c>
      <c r="G14" s="12">
        <v>253</v>
      </c>
      <c r="H14" s="12">
        <v>443</v>
      </c>
      <c r="I14" s="12">
        <v>570</v>
      </c>
      <c r="J14" s="12">
        <v>127</v>
      </c>
      <c r="K14" s="12">
        <v>78</v>
      </c>
      <c r="L14" s="12">
        <v>203</v>
      </c>
      <c r="M14" s="12">
        <v>163</v>
      </c>
      <c r="N14" s="12">
        <v>234</v>
      </c>
      <c r="O14" s="12">
        <v>323</v>
      </c>
      <c r="P14" s="12">
        <v>229</v>
      </c>
      <c r="Q14" s="12">
        <v>409</v>
      </c>
      <c r="R14" s="12">
        <v>99</v>
      </c>
      <c r="S14" s="12">
        <v>102</v>
      </c>
      <c r="T14" s="12">
        <v>231</v>
      </c>
      <c r="U14" s="12">
        <v>99</v>
      </c>
      <c r="V14" s="12">
        <v>308</v>
      </c>
      <c r="W14" s="12">
        <v>60</v>
      </c>
      <c r="X14" s="12">
        <v>400</v>
      </c>
      <c r="Y14" s="12">
        <v>282</v>
      </c>
      <c r="Z14" s="12">
        <v>324</v>
      </c>
      <c r="AA14" s="12">
        <v>236</v>
      </c>
      <c r="AB14" s="12">
        <v>261</v>
      </c>
      <c r="AC14" s="12">
        <v>153</v>
      </c>
      <c r="AD14" s="12">
        <v>185</v>
      </c>
      <c r="AE14" s="12">
        <v>80</v>
      </c>
      <c r="AF14" s="12">
        <v>277</v>
      </c>
    </row>
    <row r="15" spans="1:32">
      <c r="A15" s="19"/>
      <c r="B15" s="13" t="s">
        <v>1154</v>
      </c>
      <c r="C15" s="14">
        <v>0.31</v>
      </c>
      <c r="D15" s="14">
        <v>0.33</v>
      </c>
      <c r="E15" s="14">
        <v>0.2</v>
      </c>
      <c r="F15" s="14">
        <v>0.19</v>
      </c>
      <c r="G15" s="14">
        <v>0.25</v>
      </c>
      <c r="H15" s="14">
        <v>0.36</v>
      </c>
      <c r="I15" s="14">
        <v>0.37</v>
      </c>
      <c r="J15" s="14">
        <v>0.43</v>
      </c>
      <c r="K15" s="14">
        <v>0.08</v>
      </c>
      <c r="L15" s="14">
        <v>0.2</v>
      </c>
      <c r="M15" s="14">
        <v>0.16</v>
      </c>
      <c r="N15" s="14">
        <v>0.23</v>
      </c>
      <c r="O15" s="14">
        <v>0.32</v>
      </c>
      <c r="P15" s="14">
        <v>0.23</v>
      </c>
      <c r="Q15" s="14">
        <v>0.4</v>
      </c>
      <c r="R15" s="14">
        <v>0.2</v>
      </c>
      <c r="S15" s="14">
        <v>0.1</v>
      </c>
      <c r="T15" s="14">
        <v>0.22</v>
      </c>
      <c r="U15" s="14">
        <v>0.2</v>
      </c>
      <c r="V15" s="14">
        <v>0.3</v>
      </c>
      <c r="W15" s="14">
        <v>0.12</v>
      </c>
      <c r="X15" s="14">
        <v>0.4</v>
      </c>
      <c r="Y15" s="14">
        <v>0.28000000000000003</v>
      </c>
      <c r="Z15" s="14">
        <v>0.32</v>
      </c>
      <c r="AA15" s="14">
        <v>0.23</v>
      </c>
      <c r="AB15" s="14">
        <v>0.25</v>
      </c>
      <c r="AC15" s="14">
        <v>0.15</v>
      </c>
      <c r="AD15" s="14">
        <v>0.18</v>
      </c>
      <c r="AE15" s="14">
        <v>0.08</v>
      </c>
      <c r="AF15" s="14">
        <v>0.27</v>
      </c>
    </row>
    <row r="16" spans="1:32">
      <c r="A16" s="19"/>
      <c r="B16" s="11" t="s">
        <v>1155</v>
      </c>
      <c r="C16" s="12">
        <v>6660</v>
      </c>
      <c r="D16" s="12">
        <v>379</v>
      </c>
      <c r="E16" s="12">
        <v>177</v>
      </c>
      <c r="F16" s="12">
        <v>326</v>
      </c>
      <c r="G16" s="12">
        <v>377</v>
      </c>
      <c r="H16" s="12">
        <v>328</v>
      </c>
      <c r="I16" s="12">
        <v>410</v>
      </c>
      <c r="J16" s="12">
        <v>82</v>
      </c>
      <c r="K16" s="12">
        <v>425</v>
      </c>
      <c r="L16" s="12">
        <v>358</v>
      </c>
      <c r="M16" s="12">
        <v>334</v>
      </c>
      <c r="N16" s="12">
        <v>261</v>
      </c>
      <c r="O16" s="12">
        <v>133</v>
      </c>
      <c r="P16" s="12">
        <v>362</v>
      </c>
      <c r="Q16" s="12">
        <v>171</v>
      </c>
      <c r="R16" s="12">
        <v>154</v>
      </c>
      <c r="S16" s="12">
        <v>326</v>
      </c>
      <c r="T16" s="12">
        <v>313</v>
      </c>
      <c r="U16" s="12">
        <v>174</v>
      </c>
      <c r="V16" s="12">
        <v>356</v>
      </c>
      <c r="W16" s="12">
        <v>153</v>
      </c>
      <c r="X16" s="12">
        <v>298</v>
      </c>
      <c r="Y16" s="12">
        <v>254</v>
      </c>
      <c r="Z16" s="12">
        <v>359</v>
      </c>
      <c r="AA16" s="12">
        <v>198</v>
      </c>
      <c r="AB16" s="12">
        <v>279</v>
      </c>
      <c r="AC16" s="12">
        <v>347</v>
      </c>
      <c r="AD16" s="12">
        <v>335</v>
      </c>
      <c r="AE16" s="12">
        <v>382</v>
      </c>
      <c r="AF16" s="12">
        <v>296</v>
      </c>
    </row>
    <row r="17" spans="1:32">
      <c r="A17" s="19"/>
      <c r="B17" s="13" t="s">
        <v>1156</v>
      </c>
      <c r="C17" s="14">
        <v>0.25</v>
      </c>
      <c r="D17" s="14">
        <v>0.37</v>
      </c>
      <c r="E17" s="14">
        <v>0.17</v>
      </c>
      <c r="F17" s="14">
        <v>0.31</v>
      </c>
      <c r="G17" s="14">
        <v>0.37</v>
      </c>
      <c r="H17" s="14">
        <v>0.27</v>
      </c>
      <c r="I17" s="14">
        <v>0.27</v>
      </c>
      <c r="J17" s="14">
        <v>0.28000000000000003</v>
      </c>
      <c r="K17" s="14">
        <v>0.42</v>
      </c>
      <c r="L17" s="14">
        <v>0.35</v>
      </c>
      <c r="M17" s="14">
        <v>0.33</v>
      </c>
      <c r="N17" s="14">
        <v>0.26</v>
      </c>
      <c r="O17" s="14">
        <v>0.13</v>
      </c>
      <c r="P17" s="14">
        <v>0.36</v>
      </c>
      <c r="Q17" s="14">
        <v>0.16</v>
      </c>
      <c r="R17" s="14">
        <v>0.31</v>
      </c>
      <c r="S17" s="14">
        <v>0.32</v>
      </c>
      <c r="T17" s="14">
        <v>0.31</v>
      </c>
      <c r="U17" s="14">
        <v>0.34</v>
      </c>
      <c r="V17" s="14">
        <v>0.35</v>
      </c>
      <c r="W17" s="14">
        <v>0.31</v>
      </c>
      <c r="X17" s="14">
        <v>0.3</v>
      </c>
      <c r="Y17" s="14">
        <v>0.25</v>
      </c>
      <c r="Z17" s="14">
        <v>0.36</v>
      </c>
      <c r="AA17" s="14">
        <v>0.19</v>
      </c>
      <c r="AB17" s="14">
        <v>0.27</v>
      </c>
      <c r="AC17" s="14">
        <v>0.35</v>
      </c>
      <c r="AD17" s="14">
        <v>0.33</v>
      </c>
      <c r="AE17" s="14">
        <v>0.38</v>
      </c>
      <c r="AF17" s="14">
        <v>0.28999999999999998</v>
      </c>
    </row>
    <row r="18" spans="1:32">
      <c r="A18" s="19"/>
      <c r="B18" s="11" t="s">
        <v>1157</v>
      </c>
      <c r="C18" s="12">
        <v>3446</v>
      </c>
      <c r="D18" s="12">
        <v>74</v>
      </c>
      <c r="E18" s="12">
        <v>346</v>
      </c>
      <c r="F18" s="12">
        <v>323</v>
      </c>
      <c r="G18" s="12">
        <v>109</v>
      </c>
      <c r="H18" s="12">
        <v>34</v>
      </c>
      <c r="I18" s="12">
        <v>44</v>
      </c>
      <c r="J18" s="12">
        <v>11</v>
      </c>
      <c r="K18" s="12">
        <v>311</v>
      </c>
      <c r="L18" s="12">
        <v>208</v>
      </c>
      <c r="M18" s="12">
        <v>342</v>
      </c>
      <c r="N18" s="12">
        <v>273</v>
      </c>
      <c r="O18" s="12">
        <v>38</v>
      </c>
      <c r="P18" s="12">
        <v>219</v>
      </c>
      <c r="Q18" s="12">
        <v>43</v>
      </c>
      <c r="R18" s="12">
        <v>110</v>
      </c>
      <c r="S18" s="12">
        <v>331</v>
      </c>
      <c r="T18" s="12">
        <v>255</v>
      </c>
      <c r="U18" s="12">
        <v>63</v>
      </c>
      <c r="V18" s="12">
        <v>187</v>
      </c>
      <c r="W18" s="12">
        <v>186</v>
      </c>
      <c r="X18" s="12">
        <v>45</v>
      </c>
      <c r="Y18" s="12">
        <v>105</v>
      </c>
      <c r="Z18" s="12">
        <v>145</v>
      </c>
      <c r="AA18" s="12">
        <v>310</v>
      </c>
      <c r="AB18" s="12">
        <v>318</v>
      </c>
      <c r="AC18" s="12">
        <v>332</v>
      </c>
      <c r="AD18" s="12">
        <v>357</v>
      </c>
      <c r="AE18" s="12">
        <v>339</v>
      </c>
      <c r="AF18" s="12">
        <v>89</v>
      </c>
    </row>
    <row r="19" spans="1:32">
      <c r="A19" s="19"/>
      <c r="B19" s="13" t="s">
        <v>1158</v>
      </c>
      <c r="C19" s="14">
        <v>0.13</v>
      </c>
      <c r="D19" s="14">
        <v>7.0000000000000007E-2</v>
      </c>
      <c r="E19" s="14">
        <v>0.33</v>
      </c>
      <c r="F19" s="14">
        <v>0.3</v>
      </c>
      <c r="G19" s="14">
        <v>0.11</v>
      </c>
      <c r="H19" s="14">
        <v>0.03</v>
      </c>
      <c r="I19" s="14">
        <v>0.03</v>
      </c>
      <c r="J19" s="14">
        <v>0.03</v>
      </c>
      <c r="K19" s="14">
        <v>0.31</v>
      </c>
      <c r="L19" s="14">
        <v>0.21</v>
      </c>
      <c r="M19" s="14">
        <v>0.34</v>
      </c>
      <c r="N19" s="14">
        <v>0.27</v>
      </c>
      <c r="O19" s="14">
        <v>0.04</v>
      </c>
      <c r="P19" s="14">
        <v>0.22</v>
      </c>
      <c r="Q19" s="14">
        <v>0.04</v>
      </c>
      <c r="R19" s="14">
        <v>0.22</v>
      </c>
      <c r="S19" s="14">
        <v>0.33</v>
      </c>
      <c r="T19" s="14">
        <v>0.25</v>
      </c>
      <c r="U19" s="14">
        <v>0.12</v>
      </c>
      <c r="V19" s="14">
        <v>0.18</v>
      </c>
      <c r="W19" s="14">
        <v>0.37</v>
      </c>
      <c r="X19" s="14">
        <v>0.04</v>
      </c>
      <c r="Y19" s="14">
        <v>0.11</v>
      </c>
      <c r="Z19" s="14">
        <v>0.14000000000000001</v>
      </c>
      <c r="AA19" s="14">
        <v>0.3</v>
      </c>
      <c r="AB19" s="14">
        <v>0.31</v>
      </c>
      <c r="AC19" s="14">
        <v>0.33</v>
      </c>
      <c r="AD19" s="14">
        <v>0.36</v>
      </c>
      <c r="AE19" s="14">
        <v>0.34</v>
      </c>
      <c r="AF19" s="14">
        <v>0.09</v>
      </c>
    </row>
    <row r="20" spans="1:32">
      <c r="A20" s="19"/>
      <c r="B20" s="11" t="s">
        <v>386</v>
      </c>
      <c r="C20" s="12">
        <v>2472</v>
      </c>
      <c r="D20" s="12">
        <v>46</v>
      </c>
      <c r="E20" s="12">
        <v>187</v>
      </c>
      <c r="F20" s="12">
        <v>92</v>
      </c>
      <c r="G20" s="12">
        <v>122</v>
      </c>
      <c r="H20" s="12">
        <v>153</v>
      </c>
      <c r="I20" s="12">
        <v>171</v>
      </c>
      <c r="J20" s="12">
        <v>18</v>
      </c>
      <c r="K20" s="12">
        <v>171</v>
      </c>
      <c r="L20" s="12">
        <v>158</v>
      </c>
      <c r="M20" s="12">
        <v>97</v>
      </c>
      <c r="N20" s="12">
        <v>121</v>
      </c>
      <c r="O20" s="12">
        <v>103</v>
      </c>
      <c r="P20" s="12">
        <v>55</v>
      </c>
      <c r="Q20" s="12">
        <v>27</v>
      </c>
      <c r="R20" s="12">
        <v>83</v>
      </c>
      <c r="S20" s="12">
        <v>207</v>
      </c>
      <c r="T20" s="12">
        <v>160</v>
      </c>
      <c r="U20" s="12">
        <v>103</v>
      </c>
      <c r="V20" s="12">
        <v>24</v>
      </c>
      <c r="W20" s="12">
        <v>67</v>
      </c>
      <c r="X20" s="12">
        <v>59</v>
      </c>
      <c r="Y20" s="12">
        <v>149</v>
      </c>
      <c r="Z20" s="12">
        <v>73</v>
      </c>
      <c r="AA20" s="12">
        <v>142</v>
      </c>
      <c r="AB20" s="12">
        <v>97</v>
      </c>
      <c r="AC20" s="12">
        <v>99</v>
      </c>
      <c r="AD20" s="12">
        <v>75</v>
      </c>
      <c r="AE20" s="12">
        <v>158</v>
      </c>
      <c r="AF20" s="12">
        <v>146</v>
      </c>
    </row>
    <row r="21" spans="1:32">
      <c r="A21" s="19"/>
      <c r="B21" s="13" t="s">
        <v>399</v>
      </c>
      <c r="C21" s="14">
        <v>0.09</v>
      </c>
      <c r="D21" s="14">
        <v>0.05</v>
      </c>
      <c r="E21" s="14">
        <v>0.18</v>
      </c>
      <c r="F21" s="14">
        <v>0.09</v>
      </c>
      <c r="G21" s="14">
        <v>0.12</v>
      </c>
      <c r="H21" s="14">
        <v>0.12</v>
      </c>
      <c r="I21" s="14">
        <v>0.11</v>
      </c>
      <c r="J21" s="14">
        <v>0.06</v>
      </c>
      <c r="K21" s="14">
        <v>0.17</v>
      </c>
      <c r="L21" s="14">
        <v>0.16</v>
      </c>
      <c r="M21" s="14">
        <v>0.1</v>
      </c>
      <c r="N21" s="14">
        <v>0.12</v>
      </c>
      <c r="O21" s="14">
        <v>0.1</v>
      </c>
      <c r="P21" s="14">
        <v>0.05</v>
      </c>
      <c r="Q21" s="14">
        <v>0.03</v>
      </c>
      <c r="R21" s="14">
        <v>0.16</v>
      </c>
      <c r="S21" s="14">
        <v>0.21</v>
      </c>
      <c r="T21" s="14">
        <v>0.16</v>
      </c>
      <c r="U21" s="14">
        <v>0.2</v>
      </c>
      <c r="V21" s="14">
        <v>0.02</v>
      </c>
      <c r="W21" s="14">
        <v>0.13</v>
      </c>
      <c r="X21" s="14">
        <v>0.06</v>
      </c>
      <c r="Y21" s="14">
        <v>0.15</v>
      </c>
      <c r="Z21" s="14">
        <v>7.0000000000000007E-2</v>
      </c>
      <c r="AA21" s="14">
        <v>0.14000000000000001</v>
      </c>
      <c r="AB21" s="14">
        <v>0.09</v>
      </c>
      <c r="AC21" s="14">
        <v>0.1</v>
      </c>
      <c r="AD21" s="14">
        <v>0.08</v>
      </c>
      <c r="AE21" s="14">
        <v>0.16</v>
      </c>
      <c r="AF21" s="14">
        <v>0.14000000000000001</v>
      </c>
    </row>
    <row r="22" spans="1:32">
      <c r="A22" s="19"/>
      <c r="B22" s="11" t="s">
        <v>1159</v>
      </c>
      <c r="C22" s="12">
        <v>13876</v>
      </c>
      <c r="D22" s="12">
        <v>522</v>
      </c>
      <c r="E22" s="12">
        <v>336</v>
      </c>
      <c r="F22" s="12">
        <v>323</v>
      </c>
      <c r="G22" s="12">
        <v>408</v>
      </c>
      <c r="H22" s="12">
        <v>715</v>
      </c>
      <c r="I22" s="12">
        <v>902</v>
      </c>
      <c r="J22" s="12">
        <v>186</v>
      </c>
      <c r="K22" s="12">
        <v>99</v>
      </c>
      <c r="L22" s="12">
        <v>282</v>
      </c>
      <c r="M22" s="12">
        <v>235</v>
      </c>
      <c r="N22" s="12">
        <v>356</v>
      </c>
      <c r="O22" s="12">
        <v>729</v>
      </c>
      <c r="P22" s="12">
        <v>367</v>
      </c>
      <c r="Q22" s="12">
        <v>790</v>
      </c>
      <c r="R22" s="12">
        <v>155</v>
      </c>
      <c r="S22" s="12">
        <v>139</v>
      </c>
      <c r="T22" s="12">
        <v>295</v>
      </c>
      <c r="U22" s="12">
        <v>169</v>
      </c>
      <c r="V22" s="12">
        <v>459</v>
      </c>
      <c r="W22" s="12">
        <v>97</v>
      </c>
      <c r="X22" s="12">
        <v>607</v>
      </c>
      <c r="Y22" s="12">
        <v>495</v>
      </c>
      <c r="Z22" s="12">
        <v>438</v>
      </c>
      <c r="AA22" s="12">
        <v>387</v>
      </c>
      <c r="AB22" s="12">
        <v>347</v>
      </c>
      <c r="AC22" s="12">
        <v>228</v>
      </c>
      <c r="AD22" s="12">
        <v>235</v>
      </c>
      <c r="AE22" s="12">
        <v>122</v>
      </c>
      <c r="AF22" s="12">
        <v>500</v>
      </c>
    </row>
    <row r="23" spans="1:32">
      <c r="A23" s="19"/>
      <c r="B23" s="13" t="s">
        <v>1160</v>
      </c>
      <c r="C23" s="14">
        <v>0.53</v>
      </c>
      <c r="D23" s="14">
        <v>0.51</v>
      </c>
      <c r="E23" s="14">
        <v>0.32</v>
      </c>
      <c r="F23" s="14">
        <v>0.3</v>
      </c>
      <c r="G23" s="14">
        <v>0.4</v>
      </c>
      <c r="H23" s="14">
        <v>0.57999999999999996</v>
      </c>
      <c r="I23" s="14">
        <v>0.59</v>
      </c>
      <c r="J23" s="14">
        <v>0.63</v>
      </c>
      <c r="K23" s="14">
        <v>0.1</v>
      </c>
      <c r="L23" s="14">
        <v>0.28000000000000003</v>
      </c>
      <c r="M23" s="14">
        <v>0.23</v>
      </c>
      <c r="N23" s="14">
        <v>0.35</v>
      </c>
      <c r="O23" s="14">
        <v>0.73</v>
      </c>
      <c r="P23" s="14">
        <v>0.37</v>
      </c>
      <c r="Q23" s="14">
        <v>0.77</v>
      </c>
      <c r="R23" s="14">
        <v>0.31</v>
      </c>
      <c r="S23" s="14">
        <v>0.14000000000000001</v>
      </c>
      <c r="T23" s="14">
        <v>0.28000000000000003</v>
      </c>
      <c r="U23" s="14">
        <v>0.34</v>
      </c>
      <c r="V23" s="14">
        <v>0.45</v>
      </c>
      <c r="W23" s="14">
        <v>0.19</v>
      </c>
      <c r="X23" s="14">
        <v>0.6</v>
      </c>
      <c r="Y23" s="14">
        <v>0.49</v>
      </c>
      <c r="Z23" s="14">
        <v>0.43</v>
      </c>
      <c r="AA23" s="14">
        <v>0.37</v>
      </c>
      <c r="AB23" s="14">
        <v>0.33</v>
      </c>
      <c r="AC23" s="14">
        <v>0.22</v>
      </c>
      <c r="AD23" s="14">
        <v>0.23</v>
      </c>
      <c r="AE23" s="14">
        <v>0.12</v>
      </c>
      <c r="AF23" s="14">
        <v>0.48</v>
      </c>
    </row>
    <row r="24" spans="1:32">
      <c r="A24" s="19"/>
      <c r="B24" s="11" t="s">
        <v>1161</v>
      </c>
      <c r="C24" s="12">
        <v>10106</v>
      </c>
      <c r="D24" s="12">
        <v>453</v>
      </c>
      <c r="E24" s="12">
        <v>523</v>
      </c>
      <c r="F24" s="12">
        <v>649</v>
      </c>
      <c r="G24" s="12">
        <v>486</v>
      </c>
      <c r="H24" s="12">
        <v>362</v>
      </c>
      <c r="I24" s="12">
        <v>454</v>
      </c>
      <c r="J24" s="12">
        <v>93</v>
      </c>
      <c r="K24" s="12">
        <v>736</v>
      </c>
      <c r="L24" s="12">
        <v>566</v>
      </c>
      <c r="M24" s="12">
        <v>676</v>
      </c>
      <c r="N24" s="12">
        <v>534</v>
      </c>
      <c r="O24" s="12">
        <v>171</v>
      </c>
      <c r="P24" s="12">
        <v>581</v>
      </c>
      <c r="Q24" s="12">
        <v>214</v>
      </c>
      <c r="R24" s="12">
        <v>264</v>
      </c>
      <c r="S24" s="12">
        <v>657</v>
      </c>
      <c r="T24" s="12">
        <v>568</v>
      </c>
      <c r="U24" s="12">
        <v>237</v>
      </c>
      <c r="V24" s="12">
        <v>543</v>
      </c>
      <c r="W24" s="12">
        <v>339</v>
      </c>
      <c r="X24" s="12">
        <v>343</v>
      </c>
      <c r="Y24" s="12">
        <v>359</v>
      </c>
      <c r="Z24" s="12">
        <v>504</v>
      </c>
      <c r="AA24" s="12">
        <v>508</v>
      </c>
      <c r="AB24" s="12">
        <v>597</v>
      </c>
      <c r="AC24" s="12">
        <v>679</v>
      </c>
      <c r="AD24" s="12">
        <v>692</v>
      </c>
      <c r="AE24" s="12">
        <v>721</v>
      </c>
      <c r="AF24" s="12">
        <v>385</v>
      </c>
    </row>
    <row r="25" spans="1:32">
      <c r="A25" s="19"/>
      <c r="B25" s="13" t="s">
        <v>1162</v>
      </c>
      <c r="C25" s="14">
        <v>0.38</v>
      </c>
      <c r="D25" s="14">
        <v>0.44</v>
      </c>
      <c r="E25" s="14">
        <v>0.5</v>
      </c>
      <c r="F25" s="14">
        <v>0.61</v>
      </c>
      <c r="G25" s="14">
        <v>0.48</v>
      </c>
      <c r="H25" s="14">
        <v>0.3</v>
      </c>
      <c r="I25" s="14">
        <v>0.3</v>
      </c>
      <c r="J25" s="14">
        <v>0.31</v>
      </c>
      <c r="K25" s="14">
        <v>0.73</v>
      </c>
      <c r="L25" s="14">
        <v>0.56000000000000005</v>
      </c>
      <c r="M25" s="14">
        <v>0.67</v>
      </c>
      <c r="N25" s="14">
        <v>0.53</v>
      </c>
      <c r="O25" s="14">
        <v>0.17</v>
      </c>
      <c r="P25" s="14">
        <v>0.57999999999999996</v>
      </c>
      <c r="Q25" s="14">
        <v>0.2</v>
      </c>
      <c r="R25" s="14">
        <v>0.53</v>
      </c>
      <c r="S25" s="14">
        <v>0.65</v>
      </c>
      <c r="T25" s="14">
        <v>0.56000000000000005</v>
      </c>
      <c r="U25" s="14">
        <v>0.46</v>
      </c>
      <c r="V25" s="14">
        <v>0.53</v>
      </c>
      <c r="W25" s="14">
        <v>0.68</v>
      </c>
      <c r="X25" s="14">
        <v>0.34</v>
      </c>
      <c r="Y25" s="14">
        <v>0.36</v>
      </c>
      <c r="Z25" s="14">
        <v>0.5</v>
      </c>
      <c r="AA25" s="14">
        <v>0.49</v>
      </c>
      <c r="AB25" s="14">
        <v>0.57999999999999996</v>
      </c>
      <c r="AC25" s="14">
        <v>0.68</v>
      </c>
      <c r="AD25" s="14">
        <v>0.69000000000000006</v>
      </c>
      <c r="AE25" s="14">
        <v>0.72</v>
      </c>
      <c r="AF25" s="14">
        <v>0.38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1197</v>
      </c>
      <c r="C3" s="17"/>
      <c r="D3" s="17"/>
      <c r="E3" s="17"/>
      <c r="F3" s="17"/>
      <c r="H3" s="17" t="s">
        <v>1198</v>
      </c>
      <c r="I3" s="17"/>
      <c r="J3" s="17"/>
      <c r="K3" s="17"/>
      <c r="L3" s="17"/>
    </row>
    <row r="4" spans="1:32" ht="27" customHeight="1">
      <c r="B4" s="17" t="s">
        <v>1199</v>
      </c>
      <c r="C4" s="17"/>
      <c r="D4" s="17"/>
      <c r="E4" s="17"/>
      <c r="F4" s="17"/>
      <c r="H4" s="17" t="s">
        <v>1200</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1151</v>
      </c>
      <c r="C12" s="12">
        <v>7400</v>
      </c>
      <c r="D12" s="12">
        <v>241</v>
      </c>
      <c r="E12" s="12">
        <v>117</v>
      </c>
      <c r="F12" s="12">
        <v>159</v>
      </c>
      <c r="G12" s="12">
        <v>263</v>
      </c>
      <c r="H12" s="12">
        <v>404</v>
      </c>
      <c r="I12" s="12">
        <v>485</v>
      </c>
      <c r="J12" s="12">
        <v>81</v>
      </c>
      <c r="K12" s="12">
        <v>50</v>
      </c>
      <c r="L12" s="12">
        <v>106</v>
      </c>
      <c r="M12" s="12">
        <v>73</v>
      </c>
      <c r="N12" s="12">
        <v>156</v>
      </c>
      <c r="O12" s="12">
        <v>497</v>
      </c>
      <c r="P12" s="12">
        <v>167</v>
      </c>
      <c r="Q12" s="12">
        <v>400</v>
      </c>
      <c r="R12" s="12">
        <v>68</v>
      </c>
      <c r="S12" s="12">
        <v>66</v>
      </c>
      <c r="T12" s="12">
        <v>95</v>
      </c>
      <c r="U12" s="12">
        <v>116</v>
      </c>
      <c r="V12" s="12">
        <v>173</v>
      </c>
      <c r="W12" s="12">
        <v>41</v>
      </c>
      <c r="X12" s="12">
        <v>362</v>
      </c>
      <c r="Y12" s="12">
        <v>320</v>
      </c>
      <c r="Z12" s="12">
        <v>143</v>
      </c>
      <c r="AA12" s="12">
        <v>147</v>
      </c>
      <c r="AB12" s="12">
        <v>100</v>
      </c>
      <c r="AC12" s="12">
        <v>99</v>
      </c>
      <c r="AD12" s="12">
        <v>101</v>
      </c>
      <c r="AE12" s="12">
        <v>94</v>
      </c>
      <c r="AF12" s="12">
        <v>489</v>
      </c>
    </row>
    <row r="13" spans="1:32">
      <c r="A13" s="19"/>
      <c r="B13" s="13" t="s">
        <v>1152</v>
      </c>
      <c r="C13" s="14">
        <v>0.28000000000000003</v>
      </c>
      <c r="D13" s="14">
        <v>0.23</v>
      </c>
      <c r="E13" s="14">
        <v>0.11</v>
      </c>
      <c r="F13" s="14">
        <v>0.15</v>
      </c>
      <c r="G13" s="14">
        <v>0.26</v>
      </c>
      <c r="H13" s="14">
        <v>0.33</v>
      </c>
      <c r="I13" s="14">
        <v>0.32</v>
      </c>
      <c r="J13" s="14">
        <v>0.27</v>
      </c>
      <c r="K13" s="14">
        <v>0.05</v>
      </c>
      <c r="L13" s="14">
        <v>0.11</v>
      </c>
      <c r="M13" s="14">
        <v>7.0000000000000007E-2</v>
      </c>
      <c r="N13" s="14">
        <v>0.15</v>
      </c>
      <c r="O13" s="14">
        <v>0.5</v>
      </c>
      <c r="P13" s="14">
        <v>0.17</v>
      </c>
      <c r="Q13" s="14">
        <v>0.39</v>
      </c>
      <c r="R13" s="14">
        <v>0.14000000000000001</v>
      </c>
      <c r="S13" s="14">
        <v>7.0000000000000007E-2</v>
      </c>
      <c r="T13" s="14">
        <v>0.09</v>
      </c>
      <c r="U13" s="14">
        <v>0.23</v>
      </c>
      <c r="V13" s="14">
        <v>0.17</v>
      </c>
      <c r="W13" s="14">
        <v>0.08</v>
      </c>
      <c r="X13" s="14">
        <v>0.36</v>
      </c>
      <c r="Y13" s="14">
        <v>0.32</v>
      </c>
      <c r="Z13" s="14">
        <v>0.14000000000000001</v>
      </c>
      <c r="AA13" s="14">
        <v>0.14000000000000001</v>
      </c>
      <c r="AB13" s="14">
        <v>0.1</v>
      </c>
      <c r="AC13" s="14">
        <v>0.1</v>
      </c>
      <c r="AD13" s="14">
        <v>0.1</v>
      </c>
      <c r="AE13" s="14">
        <v>0.09</v>
      </c>
      <c r="AF13" s="14">
        <v>0.47</v>
      </c>
    </row>
    <row r="14" spans="1:32">
      <c r="A14" s="19"/>
      <c r="B14" s="11" t="s">
        <v>1153</v>
      </c>
      <c r="C14" s="12">
        <v>8422</v>
      </c>
      <c r="D14" s="12">
        <v>347</v>
      </c>
      <c r="E14" s="12">
        <v>231</v>
      </c>
      <c r="F14" s="12">
        <v>266</v>
      </c>
      <c r="G14" s="12">
        <v>244</v>
      </c>
      <c r="H14" s="12">
        <v>441</v>
      </c>
      <c r="I14" s="12">
        <v>552</v>
      </c>
      <c r="J14" s="12">
        <v>111</v>
      </c>
      <c r="K14" s="12">
        <v>118</v>
      </c>
      <c r="L14" s="12">
        <v>192</v>
      </c>
      <c r="M14" s="12">
        <v>203</v>
      </c>
      <c r="N14" s="12">
        <v>248</v>
      </c>
      <c r="O14" s="12">
        <v>319</v>
      </c>
      <c r="P14" s="12">
        <v>244</v>
      </c>
      <c r="Q14" s="12">
        <v>425</v>
      </c>
      <c r="R14" s="12">
        <v>119</v>
      </c>
      <c r="S14" s="12">
        <v>146</v>
      </c>
      <c r="T14" s="12">
        <v>291</v>
      </c>
      <c r="U14" s="12">
        <v>71</v>
      </c>
      <c r="V14" s="12">
        <v>333</v>
      </c>
      <c r="W14" s="12">
        <v>89</v>
      </c>
      <c r="X14" s="12">
        <v>380</v>
      </c>
      <c r="Y14" s="12">
        <v>278</v>
      </c>
      <c r="Z14" s="12">
        <v>402</v>
      </c>
      <c r="AA14" s="12">
        <v>245</v>
      </c>
      <c r="AB14" s="12">
        <v>257</v>
      </c>
      <c r="AC14" s="12">
        <v>222</v>
      </c>
      <c r="AD14" s="12">
        <v>284</v>
      </c>
      <c r="AE14" s="12">
        <v>148</v>
      </c>
      <c r="AF14" s="12">
        <v>241</v>
      </c>
    </row>
    <row r="15" spans="1:32">
      <c r="A15" s="19"/>
      <c r="B15" s="13" t="s">
        <v>1154</v>
      </c>
      <c r="C15" s="14">
        <v>0.32</v>
      </c>
      <c r="D15" s="14">
        <v>0.34</v>
      </c>
      <c r="E15" s="14">
        <v>0.22</v>
      </c>
      <c r="F15" s="14">
        <v>0.25</v>
      </c>
      <c r="G15" s="14">
        <v>0.24</v>
      </c>
      <c r="H15" s="14">
        <v>0.36</v>
      </c>
      <c r="I15" s="14">
        <v>0.36</v>
      </c>
      <c r="J15" s="14">
        <v>0.37</v>
      </c>
      <c r="K15" s="14">
        <v>0.12</v>
      </c>
      <c r="L15" s="14">
        <v>0.19</v>
      </c>
      <c r="M15" s="14">
        <v>0.2</v>
      </c>
      <c r="N15" s="14">
        <v>0.25</v>
      </c>
      <c r="O15" s="14">
        <v>0.32</v>
      </c>
      <c r="P15" s="14">
        <v>0.24</v>
      </c>
      <c r="Q15" s="14">
        <v>0.41</v>
      </c>
      <c r="R15" s="14">
        <v>0.24</v>
      </c>
      <c r="S15" s="14">
        <v>0.14000000000000001</v>
      </c>
      <c r="T15" s="14">
        <v>0.28999999999999998</v>
      </c>
      <c r="U15" s="14">
        <v>0.14000000000000001</v>
      </c>
      <c r="V15" s="14">
        <v>0.32</v>
      </c>
      <c r="W15" s="14">
        <v>0.18</v>
      </c>
      <c r="X15" s="14">
        <v>0.38</v>
      </c>
      <c r="Y15" s="14">
        <v>0.28000000000000003</v>
      </c>
      <c r="Z15" s="14">
        <v>0.39</v>
      </c>
      <c r="AA15" s="14">
        <v>0.24</v>
      </c>
      <c r="AB15" s="14">
        <v>0.25</v>
      </c>
      <c r="AC15" s="14">
        <v>0.22</v>
      </c>
      <c r="AD15" s="14">
        <v>0.28000000000000003</v>
      </c>
      <c r="AE15" s="14">
        <v>0.15</v>
      </c>
      <c r="AF15" s="14">
        <v>0.23</v>
      </c>
    </row>
    <row r="16" spans="1:32">
      <c r="A16" s="19"/>
      <c r="B16" s="11" t="s">
        <v>1155</v>
      </c>
      <c r="C16" s="12">
        <v>5975</v>
      </c>
      <c r="D16" s="12">
        <v>345</v>
      </c>
      <c r="E16" s="12">
        <v>227</v>
      </c>
      <c r="F16" s="12">
        <v>299</v>
      </c>
      <c r="G16" s="12">
        <v>315</v>
      </c>
      <c r="H16" s="12">
        <v>295</v>
      </c>
      <c r="I16" s="12">
        <v>376</v>
      </c>
      <c r="J16" s="12">
        <v>81</v>
      </c>
      <c r="K16" s="12">
        <v>421</v>
      </c>
      <c r="L16" s="12">
        <v>333</v>
      </c>
      <c r="M16" s="12">
        <v>346</v>
      </c>
      <c r="N16" s="12">
        <v>251</v>
      </c>
      <c r="O16" s="12">
        <v>95</v>
      </c>
      <c r="P16" s="12">
        <v>318</v>
      </c>
      <c r="Q16" s="12">
        <v>147</v>
      </c>
      <c r="R16" s="12">
        <v>123</v>
      </c>
      <c r="S16" s="12">
        <v>365</v>
      </c>
      <c r="T16" s="12">
        <v>326</v>
      </c>
      <c r="U16" s="12">
        <v>151</v>
      </c>
      <c r="V16" s="12">
        <v>294</v>
      </c>
      <c r="W16" s="12">
        <v>115</v>
      </c>
      <c r="X16" s="12">
        <v>194</v>
      </c>
      <c r="Y16" s="12">
        <v>239</v>
      </c>
      <c r="Z16" s="12">
        <v>322</v>
      </c>
      <c r="AA16" s="12">
        <v>203</v>
      </c>
      <c r="AB16" s="12">
        <v>303</v>
      </c>
      <c r="AC16" s="12">
        <v>319</v>
      </c>
      <c r="AD16" s="12">
        <v>350</v>
      </c>
      <c r="AE16" s="12">
        <v>351</v>
      </c>
      <c r="AF16" s="12">
        <v>213</v>
      </c>
    </row>
    <row r="17" spans="1:32">
      <c r="A17" s="19"/>
      <c r="B17" s="13" t="s">
        <v>1156</v>
      </c>
      <c r="C17" s="14">
        <v>0.23</v>
      </c>
      <c r="D17" s="14">
        <v>0.34</v>
      </c>
      <c r="E17" s="14">
        <v>0.22</v>
      </c>
      <c r="F17" s="14">
        <v>0.28000000000000003</v>
      </c>
      <c r="G17" s="14">
        <v>0.31</v>
      </c>
      <c r="H17" s="14">
        <v>0.24</v>
      </c>
      <c r="I17" s="14">
        <v>0.25</v>
      </c>
      <c r="J17" s="14">
        <v>0.27</v>
      </c>
      <c r="K17" s="14">
        <v>0.42</v>
      </c>
      <c r="L17" s="14">
        <v>0.33</v>
      </c>
      <c r="M17" s="14">
        <v>0.34</v>
      </c>
      <c r="N17" s="14">
        <v>0.25</v>
      </c>
      <c r="O17" s="14">
        <v>0.09</v>
      </c>
      <c r="P17" s="14">
        <v>0.32</v>
      </c>
      <c r="Q17" s="14">
        <v>0.14000000000000001</v>
      </c>
      <c r="R17" s="14">
        <v>0.24</v>
      </c>
      <c r="S17" s="14">
        <v>0.36</v>
      </c>
      <c r="T17" s="14">
        <v>0.32</v>
      </c>
      <c r="U17" s="14">
        <v>0.3</v>
      </c>
      <c r="V17" s="14">
        <v>0.28999999999999998</v>
      </c>
      <c r="W17" s="14">
        <v>0.23</v>
      </c>
      <c r="X17" s="14">
        <v>0.19</v>
      </c>
      <c r="Y17" s="14">
        <v>0.24</v>
      </c>
      <c r="Z17" s="14">
        <v>0.32</v>
      </c>
      <c r="AA17" s="14">
        <v>0.19</v>
      </c>
      <c r="AB17" s="14">
        <v>0.28999999999999998</v>
      </c>
      <c r="AC17" s="14">
        <v>0.32</v>
      </c>
      <c r="AD17" s="14">
        <v>0.35</v>
      </c>
      <c r="AE17" s="14">
        <v>0.35</v>
      </c>
      <c r="AF17" s="14">
        <v>0.21</v>
      </c>
    </row>
    <row r="18" spans="1:32">
      <c r="A18" s="19"/>
      <c r="B18" s="11" t="s">
        <v>1157</v>
      </c>
      <c r="C18" s="12">
        <v>2954</v>
      </c>
      <c r="D18" s="12">
        <v>58</v>
      </c>
      <c r="E18" s="12">
        <v>287</v>
      </c>
      <c r="F18" s="12">
        <v>266</v>
      </c>
      <c r="G18" s="12">
        <v>131</v>
      </c>
      <c r="H18" s="12">
        <v>18</v>
      </c>
      <c r="I18" s="12">
        <v>28</v>
      </c>
      <c r="J18" s="12">
        <v>11</v>
      </c>
      <c r="K18" s="12">
        <v>298</v>
      </c>
      <c r="L18" s="12">
        <v>250</v>
      </c>
      <c r="M18" s="12">
        <v>319</v>
      </c>
      <c r="N18" s="12">
        <v>243</v>
      </c>
      <c r="O18" s="12">
        <v>20</v>
      </c>
      <c r="P18" s="12">
        <v>222</v>
      </c>
      <c r="Q18" s="12">
        <v>39</v>
      </c>
      <c r="R18" s="12">
        <v>132</v>
      </c>
      <c r="S18" s="12">
        <v>288</v>
      </c>
      <c r="T18" s="12">
        <v>214</v>
      </c>
      <c r="U18" s="12">
        <v>52</v>
      </c>
      <c r="V18" s="12">
        <v>197</v>
      </c>
      <c r="W18" s="12">
        <v>183</v>
      </c>
      <c r="X18" s="12">
        <v>44</v>
      </c>
      <c r="Y18" s="12">
        <v>83</v>
      </c>
      <c r="Z18" s="12">
        <v>101</v>
      </c>
      <c r="AA18" s="12">
        <v>309</v>
      </c>
      <c r="AB18" s="12">
        <v>296</v>
      </c>
      <c r="AC18" s="12">
        <v>276</v>
      </c>
      <c r="AD18" s="12">
        <v>218</v>
      </c>
      <c r="AE18" s="12">
        <v>327</v>
      </c>
      <c r="AF18" s="12">
        <v>61</v>
      </c>
    </row>
    <row r="19" spans="1:32">
      <c r="A19" s="19"/>
      <c r="B19" s="13" t="s">
        <v>1158</v>
      </c>
      <c r="C19" s="14">
        <v>0.11</v>
      </c>
      <c r="D19" s="14">
        <v>0.06</v>
      </c>
      <c r="E19" s="14">
        <v>0.27</v>
      </c>
      <c r="F19" s="14">
        <v>0.25</v>
      </c>
      <c r="G19" s="14">
        <v>0.13</v>
      </c>
      <c r="H19" s="14">
        <v>0.01</v>
      </c>
      <c r="I19" s="14">
        <v>0.02</v>
      </c>
      <c r="J19" s="14">
        <v>0.04</v>
      </c>
      <c r="K19" s="14">
        <v>0.28999999999999998</v>
      </c>
      <c r="L19" s="14">
        <v>0.25</v>
      </c>
      <c r="M19" s="14">
        <v>0.32</v>
      </c>
      <c r="N19" s="14">
        <v>0.24</v>
      </c>
      <c r="O19" s="14">
        <v>0.02</v>
      </c>
      <c r="P19" s="14">
        <v>0.22</v>
      </c>
      <c r="Q19" s="14">
        <v>0.04</v>
      </c>
      <c r="R19" s="14">
        <v>0.26</v>
      </c>
      <c r="S19" s="14">
        <v>0.28999999999999998</v>
      </c>
      <c r="T19" s="14">
        <v>0.21</v>
      </c>
      <c r="U19" s="14">
        <v>0.1</v>
      </c>
      <c r="V19" s="14">
        <v>0.19</v>
      </c>
      <c r="W19" s="14">
        <v>0.36</v>
      </c>
      <c r="X19" s="14">
        <v>0.04</v>
      </c>
      <c r="Y19" s="14">
        <v>0.08</v>
      </c>
      <c r="Z19" s="14">
        <v>0.1</v>
      </c>
      <c r="AA19" s="14">
        <v>0.3</v>
      </c>
      <c r="AB19" s="14">
        <v>0.28000000000000003</v>
      </c>
      <c r="AC19" s="14">
        <v>0.27</v>
      </c>
      <c r="AD19" s="14">
        <v>0.22</v>
      </c>
      <c r="AE19" s="14">
        <v>0.33</v>
      </c>
      <c r="AF19" s="14">
        <v>0.06</v>
      </c>
    </row>
    <row r="20" spans="1:32">
      <c r="A20" s="19"/>
      <c r="B20" s="11" t="s">
        <v>386</v>
      </c>
      <c r="C20" s="12">
        <v>1702</v>
      </c>
      <c r="D20" s="12">
        <v>29</v>
      </c>
      <c r="E20" s="12">
        <v>184</v>
      </c>
      <c r="F20" s="12">
        <v>74</v>
      </c>
      <c r="G20" s="12">
        <v>63</v>
      </c>
      <c r="H20" s="12">
        <v>72</v>
      </c>
      <c r="I20" s="12">
        <v>86</v>
      </c>
      <c r="J20" s="12">
        <v>14</v>
      </c>
      <c r="K20" s="12">
        <v>119</v>
      </c>
      <c r="L20" s="12">
        <v>126</v>
      </c>
      <c r="M20" s="12">
        <v>66</v>
      </c>
      <c r="N20" s="12">
        <v>114</v>
      </c>
      <c r="O20" s="12">
        <v>74</v>
      </c>
      <c r="P20" s="12">
        <v>52</v>
      </c>
      <c r="Q20" s="12">
        <v>21</v>
      </c>
      <c r="R20" s="12">
        <v>60</v>
      </c>
      <c r="S20" s="12">
        <v>140</v>
      </c>
      <c r="T20" s="12">
        <v>96</v>
      </c>
      <c r="U20" s="12">
        <v>117</v>
      </c>
      <c r="V20" s="12">
        <v>29</v>
      </c>
      <c r="W20" s="12">
        <v>74</v>
      </c>
      <c r="X20" s="12">
        <v>29</v>
      </c>
      <c r="Y20" s="12">
        <v>82</v>
      </c>
      <c r="Z20" s="12">
        <v>48</v>
      </c>
      <c r="AA20" s="12">
        <v>133</v>
      </c>
      <c r="AB20" s="12">
        <v>83</v>
      </c>
      <c r="AC20" s="12">
        <v>89</v>
      </c>
      <c r="AD20" s="12">
        <v>51</v>
      </c>
      <c r="AE20" s="12">
        <v>82</v>
      </c>
      <c r="AF20" s="12">
        <v>26</v>
      </c>
    </row>
    <row r="21" spans="1:32">
      <c r="A21" s="19"/>
      <c r="B21" s="13" t="s">
        <v>399</v>
      </c>
      <c r="C21" s="14">
        <v>0.06</v>
      </c>
      <c r="D21" s="14">
        <v>0.03</v>
      </c>
      <c r="E21" s="14">
        <v>0.18</v>
      </c>
      <c r="F21" s="14">
        <v>7.0000000000000007E-2</v>
      </c>
      <c r="G21" s="14">
        <v>0.06</v>
      </c>
      <c r="H21" s="14">
        <v>0.06</v>
      </c>
      <c r="I21" s="14">
        <v>0.05</v>
      </c>
      <c r="J21" s="14">
        <v>0.05</v>
      </c>
      <c r="K21" s="14">
        <v>0.12</v>
      </c>
      <c r="L21" s="14">
        <v>0.12</v>
      </c>
      <c r="M21" s="14">
        <v>7.0000000000000007E-2</v>
      </c>
      <c r="N21" s="14">
        <v>0.11</v>
      </c>
      <c r="O21" s="14">
        <v>7.0000000000000007E-2</v>
      </c>
      <c r="P21" s="14">
        <v>0.05</v>
      </c>
      <c r="Q21" s="14">
        <v>0.02</v>
      </c>
      <c r="R21" s="14">
        <v>0.12</v>
      </c>
      <c r="S21" s="14">
        <v>0.14000000000000001</v>
      </c>
      <c r="T21" s="14">
        <v>0.09</v>
      </c>
      <c r="U21" s="14">
        <v>0.23</v>
      </c>
      <c r="V21" s="14">
        <v>0.03</v>
      </c>
      <c r="W21" s="14">
        <v>0.15</v>
      </c>
      <c r="X21" s="14">
        <v>0.03</v>
      </c>
      <c r="Y21" s="14">
        <v>0.08</v>
      </c>
      <c r="Z21" s="14">
        <v>0.05</v>
      </c>
      <c r="AA21" s="14">
        <v>0.13</v>
      </c>
      <c r="AB21" s="14">
        <v>0.08</v>
      </c>
      <c r="AC21" s="14">
        <v>0.09</v>
      </c>
      <c r="AD21" s="14">
        <v>0.05</v>
      </c>
      <c r="AE21" s="14">
        <v>0.08</v>
      </c>
      <c r="AF21" s="14">
        <v>0.03</v>
      </c>
    </row>
    <row r="22" spans="1:32">
      <c r="A22" s="19"/>
      <c r="B22" s="11" t="s">
        <v>1159</v>
      </c>
      <c r="C22" s="12">
        <v>15822</v>
      </c>
      <c r="D22" s="12">
        <v>588</v>
      </c>
      <c r="E22" s="12">
        <v>348</v>
      </c>
      <c r="F22" s="12">
        <v>425</v>
      </c>
      <c r="G22" s="12">
        <v>507</v>
      </c>
      <c r="H22" s="12">
        <v>845</v>
      </c>
      <c r="I22" s="12">
        <v>1037</v>
      </c>
      <c r="J22" s="12">
        <v>192</v>
      </c>
      <c r="K22" s="12">
        <v>168</v>
      </c>
      <c r="L22" s="12">
        <v>298</v>
      </c>
      <c r="M22" s="12">
        <v>276</v>
      </c>
      <c r="N22" s="12">
        <v>404</v>
      </c>
      <c r="O22" s="12">
        <v>816</v>
      </c>
      <c r="P22" s="12">
        <v>411</v>
      </c>
      <c r="Q22" s="12">
        <v>825</v>
      </c>
      <c r="R22" s="12">
        <v>187</v>
      </c>
      <c r="S22" s="12">
        <v>212</v>
      </c>
      <c r="T22" s="12">
        <v>386</v>
      </c>
      <c r="U22" s="12">
        <v>187</v>
      </c>
      <c r="V22" s="12">
        <v>506</v>
      </c>
      <c r="W22" s="12">
        <v>130</v>
      </c>
      <c r="X22" s="12">
        <v>742</v>
      </c>
      <c r="Y22" s="12">
        <v>598</v>
      </c>
      <c r="Z22" s="12">
        <v>545</v>
      </c>
      <c r="AA22" s="12">
        <v>392</v>
      </c>
      <c r="AB22" s="12">
        <v>357</v>
      </c>
      <c r="AC22" s="12">
        <v>321</v>
      </c>
      <c r="AD22" s="12">
        <v>385</v>
      </c>
      <c r="AE22" s="12">
        <v>242</v>
      </c>
      <c r="AF22" s="12">
        <v>730</v>
      </c>
    </row>
    <row r="23" spans="1:32">
      <c r="A23" s="19"/>
      <c r="B23" s="13" t="s">
        <v>1160</v>
      </c>
      <c r="C23" s="14">
        <v>0.6</v>
      </c>
      <c r="D23" s="14">
        <v>0.57000000000000006</v>
      </c>
      <c r="E23" s="14">
        <v>0.33</v>
      </c>
      <c r="F23" s="14">
        <v>0.4</v>
      </c>
      <c r="G23" s="14">
        <v>0.5</v>
      </c>
      <c r="H23" s="14">
        <v>0.69000000000000006</v>
      </c>
      <c r="I23" s="14">
        <v>0.68</v>
      </c>
      <c r="J23" s="14">
        <v>0.64</v>
      </c>
      <c r="K23" s="14">
        <v>0.17</v>
      </c>
      <c r="L23" s="14">
        <v>0.3</v>
      </c>
      <c r="M23" s="14">
        <v>0.27</v>
      </c>
      <c r="N23" s="14">
        <v>0.4</v>
      </c>
      <c r="O23" s="14">
        <v>0.82000000000000006</v>
      </c>
      <c r="P23" s="14">
        <v>0.41</v>
      </c>
      <c r="Q23" s="14">
        <v>0.8</v>
      </c>
      <c r="R23" s="14">
        <v>0.38</v>
      </c>
      <c r="S23" s="14">
        <v>0.21</v>
      </c>
      <c r="T23" s="14">
        <v>0.38</v>
      </c>
      <c r="U23" s="14">
        <v>0.37</v>
      </c>
      <c r="V23" s="14">
        <v>0.49</v>
      </c>
      <c r="W23" s="14">
        <v>0.26</v>
      </c>
      <c r="X23" s="14">
        <v>0.74</v>
      </c>
      <c r="Y23" s="14">
        <v>0.6</v>
      </c>
      <c r="Z23" s="14">
        <v>0.53</v>
      </c>
      <c r="AA23" s="14">
        <v>0.38</v>
      </c>
      <c r="AB23" s="14">
        <v>0.35</v>
      </c>
      <c r="AC23" s="14">
        <v>0.32</v>
      </c>
      <c r="AD23" s="14">
        <v>0.38</v>
      </c>
      <c r="AE23" s="14">
        <v>0.24</v>
      </c>
      <c r="AF23" s="14">
        <v>0.70000000000000007</v>
      </c>
    </row>
    <row r="24" spans="1:32">
      <c r="A24" s="19"/>
      <c r="B24" s="11" t="s">
        <v>1161</v>
      </c>
      <c r="C24" s="12">
        <v>8929</v>
      </c>
      <c r="D24" s="12">
        <v>403</v>
      </c>
      <c r="E24" s="12">
        <v>514</v>
      </c>
      <c r="F24" s="12">
        <v>565</v>
      </c>
      <c r="G24" s="12">
        <v>446</v>
      </c>
      <c r="H24" s="12">
        <v>313</v>
      </c>
      <c r="I24" s="12">
        <v>404</v>
      </c>
      <c r="J24" s="12">
        <v>92</v>
      </c>
      <c r="K24" s="12">
        <v>719</v>
      </c>
      <c r="L24" s="12">
        <v>583</v>
      </c>
      <c r="M24" s="12">
        <v>665</v>
      </c>
      <c r="N24" s="12">
        <v>494</v>
      </c>
      <c r="O24" s="12">
        <v>115</v>
      </c>
      <c r="P24" s="12">
        <v>540</v>
      </c>
      <c r="Q24" s="12">
        <v>186</v>
      </c>
      <c r="R24" s="12">
        <v>255</v>
      </c>
      <c r="S24" s="12">
        <v>653</v>
      </c>
      <c r="T24" s="12">
        <v>540</v>
      </c>
      <c r="U24" s="12">
        <v>203</v>
      </c>
      <c r="V24" s="12">
        <v>491</v>
      </c>
      <c r="W24" s="12">
        <v>298</v>
      </c>
      <c r="X24" s="12">
        <v>238</v>
      </c>
      <c r="Y24" s="12">
        <v>322</v>
      </c>
      <c r="Z24" s="12">
        <v>423</v>
      </c>
      <c r="AA24" s="12">
        <v>512</v>
      </c>
      <c r="AB24" s="12">
        <v>599</v>
      </c>
      <c r="AC24" s="12">
        <v>595</v>
      </c>
      <c r="AD24" s="12">
        <v>568</v>
      </c>
      <c r="AE24" s="12">
        <v>678</v>
      </c>
      <c r="AF24" s="12">
        <v>274</v>
      </c>
    </row>
    <row r="25" spans="1:32">
      <c r="A25" s="19"/>
      <c r="B25" s="13" t="s">
        <v>1162</v>
      </c>
      <c r="C25" s="14">
        <v>0.34</v>
      </c>
      <c r="D25" s="14">
        <v>0.4</v>
      </c>
      <c r="E25" s="14">
        <v>0.49</v>
      </c>
      <c r="F25" s="14">
        <v>0.53</v>
      </c>
      <c r="G25" s="14">
        <v>0.44</v>
      </c>
      <c r="H25" s="14">
        <v>0.25</v>
      </c>
      <c r="I25" s="14">
        <v>0.27</v>
      </c>
      <c r="J25" s="14">
        <v>0.31</v>
      </c>
      <c r="K25" s="14">
        <v>0.71</v>
      </c>
      <c r="L25" s="14">
        <v>0.57999999999999996</v>
      </c>
      <c r="M25" s="14">
        <v>0.66</v>
      </c>
      <c r="N25" s="14">
        <v>0.49</v>
      </c>
      <c r="O25" s="14">
        <v>0.11</v>
      </c>
      <c r="P25" s="14">
        <v>0.54</v>
      </c>
      <c r="Q25" s="14">
        <v>0.18</v>
      </c>
      <c r="R25" s="14">
        <v>0.5</v>
      </c>
      <c r="S25" s="14">
        <v>0.65</v>
      </c>
      <c r="T25" s="14">
        <v>0.53</v>
      </c>
      <c r="U25" s="14">
        <v>0.4</v>
      </c>
      <c r="V25" s="14">
        <v>0.48</v>
      </c>
      <c r="W25" s="14">
        <v>0.59</v>
      </c>
      <c r="X25" s="14">
        <v>0.23</v>
      </c>
      <c r="Y25" s="14">
        <v>0.32</v>
      </c>
      <c r="Z25" s="14">
        <v>0.42</v>
      </c>
      <c r="AA25" s="14">
        <v>0.49</v>
      </c>
      <c r="AB25" s="14">
        <v>0.57000000000000006</v>
      </c>
      <c r="AC25" s="14">
        <v>0.59</v>
      </c>
      <c r="AD25" s="14">
        <v>0.57000000000000006</v>
      </c>
      <c r="AE25" s="14">
        <v>0.68</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1201</v>
      </c>
      <c r="C3" s="17"/>
      <c r="D3" s="17"/>
      <c r="E3" s="17"/>
      <c r="F3" s="17"/>
      <c r="H3" s="17" t="s">
        <v>1202</v>
      </c>
      <c r="I3" s="17"/>
      <c r="J3" s="17"/>
      <c r="K3" s="17"/>
      <c r="L3" s="17"/>
    </row>
    <row r="4" spans="1:32" ht="27" customHeight="1">
      <c r="B4" s="17" t="s">
        <v>1203</v>
      </c>
      <c r="C4" s="17"/>
      <c r="D4" s="17"/>
      <c r="E4" s="17"/>
      <c r="F4" s="17"/>
      <c r="H4" s="17" t="s">
        <v>1204</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1151</v>
      </c>
      <c r="C12" s="12">
        <v>7496</v>
      </c>
      <c r="D12" s="12">
        <v>255</v>
      </c>
      <c r="E12" s="12">
        <v>182</v>
      </c>
      <c r="F12" s="12">
        <v>175</v>
      </c>
      <c r="G12" s="12">
        <v>279</v>
      </c>
      <c r="H12" s="12">
        <v>371</v>
      </c>
      <c r="I12" s="12">
        <v>448</v>
      </c>
      <c r="J12" s="12">
        <v>77</v>
      </c>
      <c r="K12" s="12">
        <v>26</v>
      </c>
      <c r="L12" s="12">
        <v>93</v>
      </c>
      <c r="M12" s="12">
        <v>69</v>
      </c>
      <c r="N12" s="12">
        <v>123</v>
      </c>
      <c r="O12" s="12">
        <v>601</v>
      </c>
      <c r="P12" s="12">
        <v>161</v>
      </c>
      <c r="Q12" s="12">
        <v>402</v>
      </c>
      <c r="R12" s="12">
        <v>73</v>
      </c>
      <c r="S12" s="12">
        <v>79</v>
      </c>
      <c r="T12" s="12">
        <v>120</v>
      </c>
      <c r="U12" s="12">
        <v>85</v>
      </c>
      <c r="V12" s="12">
        <v>190</v>
      </c>
      <c r="W12" s="12">
        <v>35</v>
      </c>
      <c r="X12" s="12">
        <v>288</v>
      </c>
      <c r="Y12" s="12">
        <v>266</v>
      </c>
      <c r="Z12" s="12">
        <v>134</v>
      </c>
      <c r="AA12" s="12">
        <v>154</v>
      </c>
      <c r="AB12" s="12">
        <v>126</v>
      </c>
      <c r="AC12" s="12">
        <v>82</v>
      </c>
      <c r="AD12" s="12">
        <v>80</v>
      </c>
      <c r="AE12" s="12">
        <v>96</v>
      </c>
      <c r="AF12" s="12">
        <v>393</v>
      </c>
    </row>
    <row r="13" spans="1:32">
      <c r="A13" s="19"/>
      <c r="B13" s="13" t="s">
        <v>1152</v>
      </c>
      <c r="C13" s="14">
        <v>0.28000000000000003</v>
      </c>
      <c r="D13" s="14">
        <v>0.25</v>
      </c>
      <c r="E13" s="14">
        <v>0.17</v>
      </c>
      <c r="F13" s="14">
        <v>0.16</v>
      </c>
      <c r="G13" s="14">
        <v>0.28000000000000003</v>
      </c>
      <c r="H13" s="14">
        <v>0.3</v>
      </c>
      <c r="I13" s="14">
        <v>0.28999999999999998</v>
      </c>
      <c r="J13" s="14">
        <v>0.26</v>
      </c>
      <c r="K13" s="14">
        <v>0.03</v>
      </c>
      <c r="L13" s="14">
        <v>0.09</v>
      </c>
      <c r="M13" s="14">
        <v>7.0000000000000007E-2</v>
      </c>
      <c r="N13" s="14">
        <v>0.12</v>
      </c>
      <c r="O13" s="14">
        <v>0.6</v>
      </c>
      <c r="P13" s="14">
        <v>0.16</v>
      </c>
      <c r="Q13" s="14">
        <v>0.39</v>
      </c>
      <c r="R13" s="14">
        <v>0.15</v>
      </c>
      <c r="S13" s="14">
        <v>0.08</v>
      </c>
      <c r="T13" s="14">
        <v>0.12</v>
      </c>
      <c r="U13" s="14">
        <v>0.17</v>
      </c>
      <c r="V13" s="14">
        <v>0.19</v>
      </c>
      <c r="W13" s="14">
        <v>7.0000000000000007E-2</v>
      </c>
      <c r="X13" s="14">
        <v>0.28000000000000003</v>
      </c>
      <c r="Y13" s="14">
        <v>0.27</v>
      </c>
      <c r="Z13" s="14">
        <v>0.13</v>
      </c>
      <c r="AA13" s="14">
        <v>0.15</v>
      </c>
      <c r="AB13" s="14">
        <v>0.12</v>
      </c>
      <c r="AC13" s="14">
        <v>0.08</v>
      </c>
      <c r="AD13" s="14">
        <v>0.08</v>
      </c>
      <c r="AE13" s="14">
        <v>0.1</v>
      </c>
      <c r="AF13" s="14">
        <v>0.38</v>
      </c>
    </row>
    <row r="14" spans="1:32">
      <c r="A14" s="19"/>
      <c r="B14" s="11" t="s">
        <v>1153</v>
      </c>
      <c r="C14" s="12">
        <v>8207</v>
      </c>
      <c r="D14" s="12">
        <v>340</v>
      </c>
      <c r="E14" s="12">
        <v>235</v>
      </c>
      <c r="F14" s="12">
        <v>251</v>
      </c>
      <c r="G14" s="12">
        <v>276</v>
      </c>
      <c r="H14" s="12">
        <v>490</v>
      </c>
      <c r="I14" s="12">
        <v>618</v>
      </c>
      <c r="J14" s="12">
        <v>128</v>
      </c>
      <c r="K14" s="12">
        <v>76</v>
      </c>
      <c r="L14" s="12">
        <v>167</v>
      </c>
      <c r="M14" s="12">
        <v>190</v>
      </c>
      <c r="N14" s="12">
        <v>173</v>
      </c>
      <c r="O14" s="12">
        <v>286</v>
      </c>
      <c r="P14" s="12">
        <v>228</v>
      </c>
      <c r="Q14" s="12">
        <v>426</v>
      </c>
      <c r="R14" s="12">
        <v>82</v>
      </c>
      <c r="S14" s="12">
        <v>134</v>
      </c>
      <c r="T14" s="12">
        <v>322</v>
      </c>
      <c r="U14" s="12">
        <v>74</v>
      </c>
      <c r="V14" s="12">
        <v>310</v>
      </c>
      <c r="W14" s="12">
        <v>48</v>
      </c>
      <c r="X14" s="12">
        <v>370</v>
      </c>
      <c r="Y14" s="12">
        <v>314</v>
      </c>
      <c r="Z14" s="12">
        <v>360</v>
      </c>
      <c r="AA14" s="12">
        <v>217</v>
      </c>
      <c r="AB14" s="12">
        <v>267</v>
      </c>
      <c r="AC14" s="12">
        <v>203</v>
      </c>
      <c r="AD14" s="12">
        <v>408</v>
      </c>
      <c r="AE14" s="12">
        <v>90</v>
      </c>
      <c r="AF14" s="12">
        <v>269</v>
      </c>
    </row>
    <row r="15" spans="1:32">
      <c r="A15" s="19"/>
      <c r="B15" s="13" t="s">
        <v>1154</v>
      </c>
      <c r="C15" s="14">
        <v>0.31</v>
      </c>
      <c r="D15" s="14">
        <v>0.33</v>
      </c>
      <c r="E15" s="14">
        <v>0.23</v>
      </c>
      <c r="F15" s="14">
        <v>0.24</v>
      </c>
      <c r="G15" s="14">
        <v>0.27</v>
      </c>
      <c r="H15" s="14">
        <v>0.4</v>
      </c>
      <c r="I15" s="14">
        <v>0.41</v>
      </c>
      <c r="J15" s="14">
        <v>0.43</v>
      </c>
      <c r="K15" s="14">
        <v>7.0000000000000007E-2</v>
      </c>
      <c r="L15" s="14">
        <v>0.17</v>
      </c>
      <c r="M15" s="14">
        <v>0.19</v>
      </c>
      <c r="N15" s="14">
        <v>0.17</v>
      </c>
      <c r="O15" s="14">
        <v>0.28000000000000003</v>
      </c>
      <c r="P15" s="14">
        <v>0.23</v>
      </c>
      <c r="Q15" s="14">
        <v>0.41</v>
      </c>
      <c r="R15" s="14">
        <v>0.16</v>
      </c>
      <c r="S15" s="14">
        <v>0.13</v>
      </c>
      <c r="T15" s="14">
        <v>0.31</v>
      </c>
      <c r="U15" s="14">
        <v>0.15</v>
      </c>
      <c r="V15" s="14">
        <v>0.3</v>
      </c>
      <c r="W15" s="14">
        <v>0.1</v>
      </c>
      <c r="X15" s="14">
        <v>0.37</v>
      </c>
      <c r="Y15" s="14">
        <v>0.31</v>
      </c>
      <c r="Z15" s="14">
        <v>0.35</v>
      </c>
      <c r="AA15" s="14">
        <v>0.21</v>
      </c>
      <c r="AB15" s="14">
        <v>0.25</v>
      </c>
      <c r="AC15" s="14">
        <v>0.2</v>
      </c>
      <c r="AD15" s="14">
        <v>0.41</v>
      </c>
      <c r="AE15" s="14">
        <v>0.09</v>
      </c>
      <c r="AF15" s="14">
        <v>0.26</v>
      </c>
    </row>
    <row r="16" spans="1:32">
      <c r="A16" s="19"/>
      <c r="B16" s="11" t="s">
        <v>1155</v>
      </c>
      <c r="C16" s="12">
        <v>5500</v>
      </c>
      <c r="D16" s="12">
        <v>315</v>
      </c>
      <c r="E16" s="12">
        <v>170</v>
      </c>
      <c r="F16" s="12">
        <v>282</v>
      </c>
      <c r="G16" s="12">
        <v>288</v>
      </c>
      <c r="H16" s="12">
        <v>283</v>
      </c>
      <c r="I16" s="12">
        <v>350</v>
      </c>
      <c r="J16" s="12">
        <v>67</v>
      </c>
      <c r="K16" s="12">
        <v>400</v>
      </c>
      <c r="L16" s="12">
        <v>323</v>
      </c>
      <c r="M16" s="12">
        <v>311</v>
      </c>
      <c r="N16" s="12">
        <v>210</v>
      </c>
      <c r="O16" s="12">
        <v>56</v>
      </c>
      <c r="P16" s="12">
        <v>316</v>
      </c>
      <c r="Q16" s="12">
        <v>147</v>
      </c>
      <c r="R16" s="12">
        <v>98</v>
      </c>
      <c r="S16" s="12">
        <v>334</v>
      </c>
      <c r="T16" s="12">
        <v>297</v>
      </c>
      <c r="U16" s="12">
        <v>185</v>
      </c>
      <c r="V16" s="12">
        <v>291</v>
      </c>
      <c r="W16" s="12">
        <v>101</v>
      </c>
      <c r="X16" s="12">
        <v>251</v>
      </c>
      <c r="Y16" s="12">
        <v>233</v>
      </c>
      <c r="Z16" s="12">
        <v>336</v>
      </c>
      <c r="AA16" s="12">
        <v>200</v>
      </c>
      <c r="AB16" s="12">
        <v>247</v>
      </c>
      <c r="AC16" s="12">
        <v>312</v>
      </c>
      <c r="AD16" s="12">
        <v>284</v>
      </c>
      <c r="AE16" s="12">
        <v>314</v>
      </c>
      <c r="AF16" s="12">
        <v>187</v>
      </c>
    </row>
    <row r="17" spans="1:32">
      <c r="A17" s="19"/>
      <c r="B17" s="13" t="s">
        <v>1156</v>
      </c>
      <c r="C17" s="14">
        <v>0.21</v>
      </c>
      <c r="D17" s="14">
        <v>0.31</v>
      </c>
      <c r="E17" s="14">
        <v>0.16</v>
      </c>
      <c r="F17" s="14">
        <v>0.27</v>
      </c>
      <c r="G17" s="14">
        <v>0.28000000000000003</v>
      </c>
      <c r="H17" s="14">
        <v>0.23</v>
      </c>
      <c r="I17" s="14">
        <v>0.23</v>
      </c>
      <c r="J17" s="14">
        <v>0.22</v>
      </c>
      <c r="K17" s="14">
        <v>0.4</v>
      </c>
      <c r="L17" s="14">
        <v>0.32</v>
      </c>
      <c r="M17" s="14">
        <v>0.31</v>
      </c>
      <c r="N17" s="14">
        <v>0.21</v>
      </c>
      <c r="O17" s="14">
        <v>0.06</v>
      </c>
      <c r="P17" s="14">
        <v>0.32</v>
      </c>
      <c r="Q17" s="14">
        <v>0.14000000000000001</v>
      </c>
      <c r="R17" s="14">
        <v>0.19</v>
      </c>
      <c r="S17" s="14">
        <v>0.33</v>
      </c>
      <c r="T17" s="14">
        <v>0.28999999999999998</v>
      </c>
      <c r="U17" s="14">
        <v>0.36</v>
      </c>
      <c r="V17" s="14">
        <v>0.28000000000000003</v>
      </c>
      <c r="W17" s="14">
        <v>0.2</v>
      </c>
      <c r="X17" s="14">
        <v>0.25</v>
      </c>
      <c r="Y17" s="14">
        <v>0.23</v>
      </c>
      <c r="Z17" s="14">
        <v>0.33</v>
      </c>
      <c r="AA17" s="14">
        <v>0.19</v>
      </c>
      <c r="AB17" s="14">
        <v>0.24</v>
      </c>
      <c r="AC17" s="14">
        <v>0.31</v>
      </c>
      <c r="AD17" s="14">
        <v>0.28000000000000003</v>
      </c>
      <c r="AE17" s="14">
        <v>0.31</v>
      </c>
      <c r="AF17" s="14">
        <v>0.18</v>
      </c>
    </row>
    <row r="18" spans="1:32">
      <c r="A18" s="19"/>
      <c r="B18" s="11" t="s">
        <v>1157</v>
      </c>
      <c r="C18" s="12">
        <v>3500</v>
      </c>
      <c r="D18" s="12">
        <v>64</v>
      </c>
      <c r="E18" s="12">
        <v>328</v>
      </c>
      <c r="F18" s="12">
        <v>282</v>
      </c>
      <c r="G18" s="12">
        <v>85</v>
      </c>
      <c r="H18" s="12">
        <v>24</v>
      </c>
      <c r="I18" s="12">
        <v>34</v>
      </c>
      <c r="J18" s="12">
        <v>11</v>
      </c>
      <c r="K18" s="12">
        <v>391</v>
      </c>
      <c r="L18" s="12">
        <v>302</v>
      </c>
      <c r="M18" s="12">
        <v>345</v>
      </c>
      <c r="N18" s="12">
        <v>361</v>
      </c>
      <c r="O18" s="12">
        <v>16</v>
      </c>
      <c r="P18" s="12">
        <v>245</v>
      </c>
      <c r="Q18" s="12">
        <v>30</v>
      </c>
      <c r="R18" s="12">
        <v>165</v>
      </c>
      <c r="S18" s="12">
        <v>316</v>
      </c>
      <c r="T18" s="12">
        <v>200</v>
      </c>
      <c r="U18" s="12">
        <v>81</v>
      </c>
      <c r="V18" s="12">
        <v>203</v>
      </c>
      <c r="W18" s="12">
        <v>238</v>
      </c>
      <c r="X18" s="12">
        <v>35</v>
      </c>
      <c r="Y18" s="12">
        <v>84</v>
      </c>
      <c r="Z18" s="12">
        <v>139</v>
      </c>
      <c r="AA18" s="12">
        <v>364</v>
      </c>
      <c r="AB18" s="12">
        <v>320</v>
      </c>
      <c r="AC18" s="12">
        <v>312</v>
      </c>
      <c r="AD18" s="12">
        <v>200</v>
      </c>
      <c r="AE18" s="12">
        <v>379</v>
      </c>
      <c r="AF18" s="12">
        <v>77</v>
      </c>
    </row>
    <row r="19" spans="1:32">
      <c r="A19" s="19"/>
      <c r="B19" s="13" t="s">
        <v>1158</v>
      </c>
      <c r="C19" s="14">
        <v>0.13</v>
      </c>
      <c r="D19" s="14">
        <v>0.06</v>
      </c>
      <c r="E19" s="14">
        <v>0.31</v>
      </c>
      <c r="F19" s="14">
        <v>0.26</v>
      </c>
      <c r="G19" s="14">
        <v>0.08</v>
      </c>
      <c r="H19" s="14">
        <v>0.02</v>
      </c>
      <c r="I19" s="14">
        <v>0.02</v>
      </c>
      <c r="J19" s="14">
        <v>0.04</v>
      </c>
      <c r="K19" s="14">
        <v>0.39</v>
      </c>
      <c r="L19" s="14">
        <v>0.3</v>
      </c>
      <c r="M19" s="14">
        <v>0.34</v>
      </c>
      <c r="N19" s="14">
        <v>0.36</v>
      </c>
      <c r="O19" s="14">
        <v>0.02</v>
      </c>
      <c r="P19" s="14">
        <v>0.24</v>
      </c>
      <c r="Q19" s="14">
        <v>0.03</v>
      </c>
      <c r="R19" s="14">
        <v>0.33</v>
      </c>
      <c r="S19" s="14">
        <v>0.32</v>
      </c>
      <c r="T19" s="14">
        <v>0.2</v>
      </c>
      <c r="U19" s="14">
        <v>0.16</v>
      </c>
      <c r="V19" s="14">
        <v>0.2</v>
      </c>
      <c r="W19" s="14">
        <v>0.47</v>
      </c>
      <c r="X19" s="14">
        <v>0.03</v>
      </c>
      <c r="Y19" s="14">
        <v>0.08</v>
      </c>
      <c r="Z19" s="14">
        <v>0.14000000000000001</v>
      </c>
      <c r="AA19" s="14">
        <v>0.35</v>
      </c>
      <c r="AB19" s="14">
        <v>0.31</v>
      </c>
      <c r="AC19" s="14">
        <v>0.31</v>
      </c>
      <c r="AD19" s="14">
        <v>0.2</v>
      </c>
      <c r="AE19" s="14">
        <v>0.38</v>
      </c>
      <c r="AF19" s="14">
        <v>0.08</v>
      </c>
    </row>
    <row r="20" spans="1:32">
      <c r="A20" s="19"/>
      <c r="B20" s="11" t="s">
        <v>386</v>
      </c>
      <c r="C20" s="12">
        <v>1751</v>
      </c>
      <c r="D20" s="12">
        <v>46</v>
      </c>
      <c r="E20" s="12">
        <v>132</v>
      </c>
      <c r="F20" s="12">
        <v>73</v>
      </c>
      <c r="G20" s="12">
        <v>88</v>
      </c>
      <c r="H20" s="12">
        <v>62</v>
      </c>
      <c r="I20" s="12">
        <v>76</v>
      </c>
      <c r="J20" s="12">
        <v>14</v>
      </c>
      <c r="K20" s="12">
        <v>113</v>
      </c>
      <c r="L20" s="12">
        <v>120</v>
      </c>
      <c r="M20" s="12">
        <v>91</v>
      </c>
      <c r="N20" s="12">
        <v>143</v>
      </c>
      <c r="O20" s="12">
        <v>44</v>
      </c>
      <c r="P20" s="12">
        <v>52</v>
      </c>
      <c r="Q20" s="12">
        <v>26</v>
      </c>
      <c r="R20" s="12">
        <v>84</v>
      </c>
      <c r="S20" s="12">
        <v>140</v>
      </c>
      <c r="T20" s="12">
        <v>83</v>
      </c>
      <c r="U20" s="12">
        <v>82</v>
      </c>
      <c r="V20" s="12">
        <v>33</v>
      </c>
      <c r="W20" s="12">
        <v>79</v>
      </c>
      <c r="X20" s="12">
        <v>67</v>
      </c>
      <c r="Y20" s="12">
        <v>107</v>
      </c>
      <c r="Z20" s="12">
        <v>47</v>
      </c>
      <c r="AA20" s="12">
        <v>102</v>
      </c>
      <c r="AB20" s="12">
        <v>81</v>
      </c>
      <c r="AC20" s="12">
        <v>97</v>
      </c>
      <c r="AD20" s="12">
        <v>31</v>
      </c>
      <c r="AE20" s="12">
        <v>122</v>
      </c>
      <c r="AF20" s="12">
        <v>105</v>
      </c>
    </row>
    <row r="21" spans="1:32">
      <c r="A21" s="19"/>
      <c r="B21" s="13" t="s">
        <v>399</v>
      </c>
      <c r="C21" s="14">
        <v>7.0000000000000007E-2</v>
      </c>
      <c r="D21" s="14">
        <v>0.05</v>
      </c>
      <c r="E21" s="14">
        <v>0.13</v>
      </c>
      <c r="F21" s="14">
        <v>7.0000000000000007E-2</v>
      </c>
      <c r="G21" s="14">
        <v>0.09</v>
      </c>
      <c r="H21" s="14">
        <v>0.05</v>
      </c>
      <c r="I21" s="14">
        <v>0.05</v>
      </c>
      <c r="J21" s="14">
        <v>0.05</v>
      </c>
      <c r="K21" s="14">
        <v>0.11</v>
      </c>
      <c r="L21" s="14">
        <v>0.12</v>
      </c>
      <c r="M21" s="14">
        <v>0.09</v>
      </c>
      <c r="N21" s="14">
        <v>0.14000000000000001</v>
      </c>
      <c r="O21" s="14">
        <v>0.04</v>
      </c>
      <c r="P21" s="14">
        <v>0.05</v>
      </c>
      <c r="Q21" s="14">
        <v>0.03</v>
      </c>
      <c r="R21" s="14">
        <v>0.17</v>
      </c>
      <c r="S21" s="14">
        <v>0.14000000000000001</v>
      </c>
      <c r="T21" s="14">
        <v>0.08</v>
      </c>
      <c r="U21" s="14">
        <v>0.16</v>
      </c>
      <c r="V21" s="14">
        <v>0.03</v>
      </c>
      <c r="W21" s="14">
        <v>0.16</v>
      </c>
      <c r="X21" s="14">
        <v>7.0000000000000007E-2</v>
      </c>
      <c r="Y21" s="14">
        <v>0.11</v>
      </c>
      <c r="Z21" s="14">
        <v>0.05</v>
      </c>
      <c r="AA21" s="14">
        <v>0.1</v>
      </c>
      <c r="AB21" s="14">
        <v>0.08</v>
      </c>
      <c r="AC21" s="14">
        <v>0.1</v>
      </c>
      <c r="AD21" s="14">
        <v>0.03</v>
      </c>
      <c r="AE21" s="14">
        <v>0.12</v>
      </c>
      <c r="AF21" s="14">
        <v>0.1</v>
      </c>
    </row>
    <row r="22" spans="1:32">
      <c r="A22" s="19"/>
      <c r="B22" s="11" t="s">
        <v>1159</v>
      </c>
      <c r="C22" s="12">
        <v>15703</v>
      </c>
      <c r="D22" s="12">
        <v>595</v>
      </c>
      <c r="E22" s="12">
        <v>417</v>
      </c>
      <c r="F22" s="12">
        <v>426</v>
      </c>
      <c r="G22" s="12">
        <v>555</v>
      </c>
      <c r="H22" s="12">
        <v>861</v>
      </c>
      <c r="I22" s="12">
        <v>1066</v>
      </c>
      <c r="J22" s="12">
        <v>205</v>
      </c>
      <c r="K22" s="12">
        <v>102</v>
      </c>
      <c r="L22" s="12">
        <v>260</v>
      </c>
      <c r="M22" s="12">
        <v>259</v>
      </c>
      <c r="N22" s="12">
        <v>296</v>
      </c>
      <c r="O22" s="12">
        <v>887</v>
      </c>
      <c r="P22" s="12">
        <v>389</v>
      </c>
      <c r="Q22" s="12">
        <v>828</v>
      </c>
      <c r="R22" s="12">
        <v>155</v>
      </c>
      <c r="S22" s="12">
        <v>213</v>
      </c>
      <c r="T22" s="12">
        <v>442</v>
      </c>
      <c r="U22" s="12">
        <v>159</v>
      </c>
      <c r="V22" s="12">
        <v>500</v>
      </c>
      <c r="W22" s="12">
        <v>83</v>
      </c>
      <c r="X22" s="12">
        <v>658</v>
      </c>
      <c r="Y22" s="12">
        <v>580</v>
      </c>
      <c r="Z22" s="12">
        <v>494</v>
      </c>
      <c r="AA22" s="12">
        <v>371</v>
      </c>
      <c r="AB22" s="12">
        <v>393</v>
      </c>
      <c r="AC22" s="12">
        <v>285</v>
      </c>
      <c r="AD22" s="12">
        <v>488</v>
      </c>
      <c r="AE22" s="12">
        <v>186</v>
      </c>
      <c r="AF22" s="12">
        <v>662</v>
      </c>
    </row>
    <row r="23" spans="1:32">
      <c r="A23" s="19"/>
      <c r="B23" s="13" t="s">
        <v>1160</v>
      </c>
      <c r="C23" s="14">
        <v>0.59</v>
      </c>
      <c r="D23" s="14">
        <v>0.57999999999999996</v>
      </c>
      <c r="E23" s="14">
        <v>0.4</v>
      </c>
      <c r="F23" s="14">
        <v>0.4</v>
      </c>
      <c r="G23" s="14">
        <v>0.55000000000000004</v>
      </c>
      <c r="H23" s="14">
        <v>0.70000000000000007</v>
      </c>
      <c r="I23" s="14">
        <v>0.70000000000000007</v>
      </c>
      <c r="J23" s="14">
        <v>0.69000000000000006</v>
      </c>
      <c r="K23" s="14">
        <v>0.1</v>
      </c>
      <c r="L23" s="14">
        <v>0.26</v>
      </c>
      <c r="M23" s="14">
        <v>0.26</v>
      </c>
      <c r="N23" s="14">
        <v>0.28999999999999998</v>
      </c>
      <c r="O23" s="14">
        <v>0.88</v>
      </c>
      <c r="P23" s="14">
        <v>0.39</v>
      </c>
      <c r="Q23" s="14">
        <v>0.8</v>
      </c>
      <c r="R23" s="14">
        <v>0.31</v>
      </c>
      <c r="S23" s="14">
        <v>0.21</v>
      </c>
      <c r="T23" s="14">
        <v>0.43</v>
      </c>
      <c r="U23" s="14">
        <v>0.32</v>
      </c>
      <c r="V23" s="14">
        <v>0.49</v>
      </c>
      <c r="W23" s="14">
        <v>0.17</v>
      </c>
      <c r="X23" s="14">
        <v>0.65</v>
      </c>
      <c r="Y23" s="14">
        <v>0.57999999999999996</v>
      </c>
      <c r="Z23" s="14">
        <v>0.48</v>
      </c>
      <c r="AA23" s="14">
        <v>0.36</v>
      </c>
      <c r="AB23" s="14">
        <v>0.37</v>
      </c>
      <c r="AC23" s="14">
        <v>0.28000000000000003</v>
      </c>
      <c r="AD23" s="14">
        <v>0.49</v>
      </c>
      <c r="AE23" s="14">
        <v>0.19</v>
      </c>
      <c r="AF23" s="14">
        <v>0.64</v>
      </c>
    </row>
    <row r="24" spans="1:32">
      <c r="A24" s="19"/>
      <c r="B24" s="11" t="s">
        <v>1161</v>
      </c>
      <c r="C24" s="12">
        <v>9000</v>
      </c>
      <c r="D24" s="12">
        <v>379</v>
      </c>
      <c r="E24" s="12">
        <v>498</v>
      </c>
      <c r="F24" s="12">
        <v>564</v>
      </c>
      <c r="G24" s="12">
        <v>373</v>
      </c>
      <c r="H24" s="12">
        <v>307</v>
      </c>
      <c r="I24" s="12">
        <v>384</v>
      </c>
      <c r="J24" s="12">
        <v>78</v>
      </c>
      <c r="K24" s="12">
        <v>791</v>
      </c>
      <c r="L24" s="12">
        <v>625</v>
      </c>
      <c r="M24" s="12">
        <v>656</v>
      </c>
      <c r="N24" s="12">
        <v>571</v>
      </c>
      <c r="O24" s="12">
        <v>72</v>
      </c>
      <c r="P24" s="12">
        <v>561</v>
      </c>
      <c r="Q24" s="12">
        <v>177</v>
      </c>
      <c r="R24" s="12">
        <v>263</v>
      </c>
      <c r="S24" s="12">
        <v>650</v>
      </c>
      <c r="T24" s="12">
        <v>497</v>
      </c>
      <c r="U24" s="12">
        <v>266</v>
      </c>
      <c r="V24" s="12">
        <v>494</v>
      </c>
      <c r="W24" s="12">
        <v>339</v>
      </c>
      <c r="X24" s="12">
        <v>286</v>
      </c>
      <c r="Y24" s="12">
        <v>317</v>
      </c>
      <c r="Z24" s="12">
        <v>475</v>
      </c>
      <c r="AA24" s="12">
        <v>564</v>
      </c>
      <c r="AB24" s="12">
        <v>567</v>
      </c>
      <c r="AC24" s="12">
        <v>624</v>
      </c>
      <c r="AD24" s="12">
        <v>484</v>
      </c>
      <c r="AE24" s="12">
        <v>693</v>
      </c>
      <c r="AF24" s="12">
        <v>264</v>
      </c>
    </row>
    <row r="25" spans="1:32">
      <c r="A25" s="19"/>
      <c r="B25" s="13" t="s">
        <v>1162</v>
      </c>
      <c r="C25" s="14">
        <v>0.34</v>
      </c>
      <c r="D25" s="14">
        <v>0.37</v>
      </c>
      <c r="E25" s="14">
        <v>0.47</v>
      </c>
      <c r="F25" s="14">
        <v>0.53</v>
      </c>
      <c r="G25" s="14">
        <v>0.36</v>
      </c>
      <c r="H25" s="14">
        <v>0.25</v>
      </c>
      <c r="I25" s="14">
        <v>0.25</v>
      </c>
      <c r="J25" s="14">
        <v>0.26</v>
      </c>
      <c r="K25" s="14">
        <v>0.79</v>
      </c>
      <c r="L25" s="14">
        <v>0.62</v>
      </c>
      <c r="M25" s="14">
        <v>0.65</v>
      </c>
      <c r="N25" s="14">
        <v>0.57000000000000006</v>
      </c>
      <c r="O25" s="14">
        <v>0.08</v>
      </c>
      <c r="P25" s="14">
        <v>0.56000000000000005</v>
      </c>
      <c r="Q25" s="14">
        <v>0.17</v>
      </c>
      <c r="R25" s="14">
        <v>0.52</v>
      </c>
      <c r="S25" s="14">
        <v>0.65</v>
      </c>
      <c r="T25" s="14">
        <v>0.49</v>
      </c>
      <c r="U25" s="14">
        <v>0.52</v>
      </c>
      <c r="V25" s="14">
        <v>0.48</v>
      </c>
      <c r="W25" s="14">
        <v>0.67</v>
      </c>
      <c r="X25" s="14">
        <v>0.28000000000000003</v>
      </c>
      <c r="Y25" s="14">
        <v>0.31</v>
      </c>
      <c r="Z25" s="14">
        <v>0.47</v>
      </c>
      <c r="AA25" s="14">
        <v>0.54</v>
      </c>
      <c r="AB25" s="14">
        <v>0.55000000000000004</v>
      </c>
      <c r="AC25" s="14">
        <v>0.62</v>
      </c>
      <c r="AD25" s="14">
        <v>0.48</v>
      </c>
      <c r="AE25" s="14">
        <v>0.69000000000000006</v>
      </c>
      <c r="AF25" s="14">
        <v>0.26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249</v>
      </c>
      <c r="C3" s="17"/>
      <c r="D3" s="17"/>
      <c r="E3" s="17"/>
      <c r="F3" s="17"/>
      <c r="H3" s="17" t="s">
        <v>250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1205</v>
      </c>
      <c r="C12" s="12">
        <v>5966</v>
      </c>
      <c r="D12" s="12">
        <v>189</v>
      </c>
      <c r="E12" s="12">
        <v>470</v>
      </c>
      <c r="F12" s="12">
        <v>477</v>
      </c>
      <c r="G12" s="12">
        <v>142</v>
      </c>
      <c r="H12" s="12">
        <v>161</v>
      </c>
      <c r="I12" s="12">
        <v>190</v>
      </c>
      <c r="J12" s="12">
        <v>29</v>
      </c>
      <c r="K12" s="12">
        <v>713</v>
      </c>
      <c r="L12" s="12">
        <v>430</v>
      </c>
      <c r="M12" s="12">
        <v>595</v>
      </c>
      <c r="N12" s="12">
        <v>427</v>
      </c>
      <c r="O12" s="12">
        <v>55</v>
      </c>
      <c r="P12" s="12">
        <v>449</v>
      </c>
      <c r="Q12" s="12">
        <v>96</v>
      </c>
      <c r="R12" s="12">
        <v>193</v>
      </c>
      <c r="S12" s="12">
        <v>587</v>
      </c>
      <c r="T12" s="12">
        <v>413</v>
      </c>
      <c r="U12" s="12">
        <v>168</v>
      </c>
      <c r="V12" s="12">
        <v>342</v>
      </c>
      <c r="W12" s="12">
        <v>286</v>
      </c>
      <c r="X12" s="12">
        <v>61</v>
      </c>
      <c r="Y12" s="12">
        <v>205</v>
      </c>
      <c r="Z12" s="12">
        <v>261</v>
      </c>
      <c r="AA12" s="12">
        <v>575</v>
      </c>
      <c r="AB12" s="12">
        <v>424</v>
      </c>
      <c r="AC12" s="12">
        <v>508</v>
      </c>
      <c r="AD12" s="12">
        <v>367</v>
      </c>
      <c r="AE12" s="12">
        <v>494</v>
      </c>
      <c r="AF12" s="12">
        <v>74</v>
      </c>
    </row>
    <row r="13" spans="1:32">
      <c r="A13" s="19"/>
      <c r="B13" s="13" t="s">
        <v>825</v>
      </c>
      <c r="C13" s="14">
        <v>0.22</v>
      </c>
      <c r="D13" s="14">
        <v>0.19</v>
      </c>
      <c r="E13" s="14">
        <v>0.45</v>
      </c>
      <c r="F13" s="14">
        <v>0.45</v>
      </c>
      <c r="G13" s="14">
        <v>0.14000000000000001</v>
      </c>
      <c r="H13" s="14">
        <v>0.13</v>
      </c>
      <c r="I13" s="14">
        <v>0.13</v>
      </c>
      <c r="J13" s="14">
        <v>0.1</v>
      </c>
      <c r="K13" s="14">
        <v>0.71</v>
      </c>
      <c r="L13" s="14">
        <v>0.43</v>
      </c>
      <c r="M13" s="14">
        <v>0.59</v>
      </c>
      <c r="N13" s="14">
        <v>0.42</v>
      </c>
      <c r="O13" s="14">
        <v>0.05</v>
      </c>
      <c r="P13" s="14">
        <v>0.45</v>
      </c>
      <c r="Q13" s="14">
        <v>0.09</v>
      </c>
      <c r="R13" s="14">
        <v>0.38</v>
      </c>
      <c r="S13" s="14">
        <v>0.57999999999999996</v>
      </c>
      <c r="T13" s="14">
        <v>0.4</v>
      </c>
      <c r="U13" s="14">
        <v>0.33</v>
      </c>
      <c r="V13" s="14">
        <v>0.33</v>
      </c>
      <c r="W13" s="14">
        <v>0.57000000000000006</v>
      </c>
      <c r="X13" s="14">
        <v>0.06</v>
      </c>
      <c r="Y13" s="14">
        <v>0.2</v>
      </c>
      <c r="Z13" s="14">
        <v>0.26</v>
      </c>
      <c r="AA13" s="14">
        <v>0.55000000000000004</v>
      </c>
      <c r="AB13" s="14">
        <v>0.41</v>
      </c>
      <c r="AC13" s="14">
        <v>0.5</v>
      </c>
      <c r="AD13" s="14">
        <v>0.37</v>
      </c>
      <c r="AE13" s="14">
        <v>0.49</v>
      </c>
      <c r="AF13" s="14">
        <v>7.0000000000000007E-2</v>
      </c>
    </row>
    <row r="14" spans="1:32">
      <c r="A14" s="19"/>
      <c r="B14" s="11" t="s">
        <v>1206</v>
      </c>
      <c r="C14" s="12">
        <v>3402</v>
      </c>
      <c r="D14" s="12">
        <v>185</v>
      </c>
      <c r="E14" s="12">
        <v>150</v>
      </c>
      <c r="F14" s="12">
        <v>179</v>
      </c>
      <c r="G14" s="12">
        <v>233</v>
      </c>
      <c r="H14" s="12">
        <v>135</v>
      </c>
      <c r="I14" s="12">
        <v>180</v>
      </c>
      <c r="J14" s="12">
        <v>45</v>
      </c>
      <c r="K14" s="12">
        <v>173</v>
      </c>
      <c r="L14" s="12">
        <v>230</v>
      </c>
      <c r="M14" s="12">
        <v>127</v>
      </c>
      <c r="N14" s="12">
        <v>174</v>
      </c>
      <c r="O14" s="12">
        <v>47</v>
      </c>
      <c r="P14" s="12">
        <v>120</v>
      </c>
      <c r="Q14" s="12">
        <v>77</v>
      </c>
      <c r="R14" s="12">
        <v>124</v>
      </c>
      <c r="S14" s="12">
        <v>218</v>
      </c>
      <c r="T14" s="12">
        <v>184</v>
      </c>
      <c r="U14" s="12">
        <v>142</v>
      </c>
      <c r="V14" s="12">
        <v>139</v>
      </c>
      <c r="W14" s="12">
        <v>103</v>
      </c>
      <c r="X14" s="12">
        <v>130</v>
      </c>
      <c r="Y14" s="12">
        <v>153</v>
      </c>
      <c r="Z14" s="12">
        <v>177</v>
      </c>
      <c r="AA14" s="12">
        <v>53</v>
      </c>
      <c r="AB14" s="12">
        <v>200</v>
      </c>
      <c r="AC14" s="12">
        <v>198</v>
      </c>
      <c r="AD14" s="12">
        <v>296</v>
      </c>
      <c r="AE14" s="12">
        <v>288</v>
      </c>
      <c r="AF14" s="12">
        <v>176</v>
      </c>
    </row>
    <row r="15" spans="1:32">
      <c r="A15" s="19"/>
      <c r="B15" s="13" t="s">
        <v>1207</v>
      </c>
      <c r="C15" s="14">
        <v>0.13</v>
      </c>
      <c r="D15" s="14">
        <v>0.18</v>
      </c>
      <c r="E15" s="14">
        <v>0.14000000000000001</v>
      </c>
      <c r="F15" s="14">
        <v>0.17</v>
      </c>
      <c r="G15" s="14">
        <v>0.23</v>
      </c>
      <c r="H15" s="14">
        <v>0.11</v>
      </c>
      <c r="I15" s="14">
        <v>0.12</v>
      </c>
      <c r="J15" s="14">
        <v>0.15</v>
      </c>
      <c r="K15" s="14">
        <v>0.17</v>
      </c>
      <c r="L15" s="14">
        <v>0.23</v>
      </c>
      <c r="M15" s="14">
        <v>0.13</v>
      </c>
      <c r="N15" s="14">
        <v>0.17</v>
      </c>
      <c r="O15" s="14">
        <v>0.05</v>
      </c>
      <c r="P15" s="14">
        <v>0.12</v>
      </c>
      <c r="Q15" s="14">
        <v>7.0000000000000007E-2</v>
      </c>
      <c r="R15" s="14">
        <v>0.25</v>
      </c>
      <c r="S15" s="14">
        <v>0.22</v>
      </c>
      <c r="T15" s="14">
        <v>0.18</v>
      </c>
      <c r="U15" s="14">
        <v>0.28000000000000003</v>
      </c>
      <c r="V15" s="14">
        <v>0.14000000000000001</v>
      </c>
      <c r="W15" s="14">
        <v>0.21</v>
      </c>
      <c r="X15" s="14">
        <v>0.13</v>
      </c>
      <c r="Y15" s="14">
        <v>0.15</v>
      </c>
      <c r="Z15" s="14">
        <v>0.17</v>
      </c>
      <c r="AA15" s="14">
        <v>0.05</v>
      </c>
      <c r="AB15" s="14">
        <v>0.19</v>
      </c>
      <c r="AC15" s="14">
        <v>0.2</v>
      </c>
      <c r="AD15" s="14">
        <v>0.3</v>
      </c>
      <c r="AE15" s="14">
        <v>0.28999999999999998</v>
      </c>
      <c r="AF15" s="14">
        <v>0.17</v>
      </c>
    </row>
    <row r="16" spans="1:32">
      <c r="A16" s="19"/>
      <c r="B16" s="11" t="s">
        <v>1208</v>
      </c>
      <c r="C16" s="12">
        <v>4124</v>
      </c>
      <c r="D16" s="12">
        <v>186</v>
      </c>
      <c r="E16" s="12">
        <v>142</v>
      </c>
      <c r="F16" s="12">
        <v>120</v>
      </c>
      <c r="G16" s="12">
        <v>282</v>
      </c>
      <c r="H16" s="12">
        <v>227</v>
      </c>
      <c r="I16" s="12">
        <v>293</v>
      </c>
      <c r="J16" s="12">
        <v>66</v>
      </c>
      <c r="K16" s="12">
        <v>70</v>
      </c>
      <c r="L16" s="12">
        <v>134</v>
      </c>
      <c r="M16" s="12">
        <v>86</v>
      </c>
      <c r="N16" s="12">
        <v>121</v>
      </c>
      <c r="O16" s="12">
        <v>172</v>
      </c>
      <c r="P16" s="12">
        <v>118</v>
      </c>
      <c r="Q16" s="12">
        <v>89</v>
      </c>
      <c r="R16" s="12">
        <v>65</v>
      </c>
      <c r="S16" s="12">
        <v>101</v>
      </c>
      <c r="T16" s="12">
        <v>159</v>
      </c>
      <c r="U16" s="12">
        <v>68</v>
      </c>
      <c r="V16" s="12">
        <v>119</v>
      </c>
      <c r="W16" s="12">
        <v>46</v>
      </c>
      <c r="X16" s="12">
        <v>268</v>
      </c>
      <c r="Y16" s="12">
        <v>186</v>
      </c>
      <c r="Z16" s="12">
        <v>198</v>
      </c>
      <c r="AA16" s="12">
        <v>42</v>
      </c>
      <c r="AB16" s="12">
        <v>174</v>
      </c>
      <c r="AC16" s="12">
        <v>111</v>
      </c>
      <c r="AD16" s="12">
        <v>113</v>
      </c>
      <c r="AE16" s="12">
        <v>125</v>
      </c>
      <c r="AF16" s="12">
        <v>266</v>
      </c>
    </row>
    <row r="17" spans="1:32">
      <c r="A17" s="19"/>
      <c r="B17" s="13" t="s">
        <v>1209</v>
      </c>
      <c r="C17" s="14">
        <v>0.16</v>
      </c>
      <c r="D17" s="14">
        <v>0.18</v>
      </c>
      <c r="E17" s="14">
        <v>0.14000000000000001</v>
      </c>
      <c r="F17" s="14">
        <v>0.11</v>
      </c>
      <c r="G17" s="14">
        <v>0.28000000000000003</v>
      </c>
      <c r="H17" s="14">
        <v>0.19</v>
      </c>
      <c r="I17" s="14">
        <v>0.19</v>
      </c>
      <c r="J17" s="14">
        <v>0.22</v>
      </c>
      <c r="K17" s="14">
        <v>7.0000000000000007E-2</v>
      </c>
      <c r="L17" s="14">
        <v>0.13</v>
      </c>
      <c r="M17" s="14">
        <v>0.08</v>
      </c>
      <c r="N17" s="14">
        <v>0.12</v>
      </c>
      <c r="O17" s="14">
        <v>0.17</v>
      </c>
      <c r="P17" s="14">
        <v>0.12</v>
      </c>
      <c r="Q17" s="14">
        <v>0.09</v>
      </c>
      <c r="R17" s="14">
        <v>0.13</v>
      </c>
      <c r="S17" s="14">
        <v>0.1</v>
      </c>
      <c r="T17" s="14">
        <v>0.16</v>
      </c>
      <c r="U17" s="14">
        <v>0.13</v>
      </c>
      <c r="V17" s="14">
        <v>0.12</v>
      </c>
      <c r="W17" s="14">
        <v>0.09</v>
      </c>
      <c r="X17" s="14">
        <v>0.27</v>
      </c>
      <c r="Y17" s="14">
        <v>0.19</v>
      </c>
      <c r="Z17" s="14">
        <v>0.2</v>
      </c>
      <c r="AA17" s="14">
        <v>0.04</v>
      </c>
      <c r="AB17" s="14">
        <v>0.17</v>
      </c>
      <c r="AC17" s="14">
        <v>0.11</v>
      </c>
      <c r="AD17" s="14">
        <v>0.11</v>
      </c>
      <c r="AE17" s="14">
        <v>0.12</v>
      </c>
      <c r="AF17" s="14">
        <v>0.26</v>
      </c>
    </row>
    <row r="18" spans="1:32">
      <c r="A18" s="19"/>
      <c r="B18" s="11" t="s">
        <v>1210</v>
      </c>
      <c r="C18" s="12">
        <v>3948</v>
      </c>
      <c r="D18" s="12">
        <v>164</v>
      </c>
      <c r="E18" s="12">
        <v>107</v>
      </c>
      <c r="F18" s="12">
        <v>102</v>
      </c>
      <c r="G18" s="12">
        <v>167</v>
      </c>
      <c r="H18" s="12">
        <v>263</v>
      </c>
      <c r="I18" s="12">
        <v>326</v>
      </c>
      <c r="J18" s="12">
        <v>64</v>
      </c>
      <c r="K18" s="12">
        <v>28</v>
      </c>
      <c r="L18" s="12">
        <v>72</v>
      </c>
      <c r="M18" s="12">
        <v>67</v>
      </c>
      <c r="N18" s="12">
        <v>100</v>
      </c>
      <c r="O18" s="12">
        <v>191</v>
      </c>
      <c r="P18" s="12">
        <v>94</v>
      </c>
      <c r="Q18" s="12">
        <v>132</v>
      </c>
      <c r="R18" s="12">
        <v>45</v>
      </c>
      <c r="S18" s="12">
        <v>51</v>
      </c>
      <c r="T18" s="12">
        <v>85</v>
      </c>
      <c r="U18" s="12">
        <v>61</v>
      </c>
      <c r="V18" s="12">
        <v>106</v>
      </c>
      <c r="W18" s="12">
        <v>31</v>
      </c>
      <c r="X18" s="12">
        <v>243</v>
      </c>
      <c r="Y18" s="12">
        <v>190</v>
      </c>
      <c r="Z18" s="12">
        <v>123</v>
      </c>
      <c r="AA18" s="12">
        <v>78</v>
      </c>
      <c r="AB18" s="12">
        <v>95</v>
      </c>
      <c r="AC18" s="12">
        <v>80</v>
      </c>
      <c r="AD18" s="12">
        <v>75</v>
      </c>
      <c r="AE18" s="12">
        <v>49</v>
      </c>
      <c r="AF18" s="12">
        <v>248</v>
      </c>
    </row>
    <row r="19" spans="1:32">
      <c r="A19" s="19"/>
      <c r="B19" s="13" t="s">
        <v>1211</v>
      </c>
      <c r="C19" s="14">
        <v>0.15</v>
      </c>
      <c r="D19" s="14">
        <v>0.16</v>
      </c>
      <c r="E19" s="14">
        <v>0.1</v>
      </c>
      <c r="F19" s="14">
        <v>0.1</v>
      </c>
      <c r="G19" s="14">
        <v>0.16</v>
      </c>
      <c r="H19" s="14">
        <v>0.21</v>
      </c>
      <c r="I19" s="14">
        <v>0.21</v>
      </c>
      <c r="J19" s="14">
        <v>0.21</v>
      </c>
      <c r="K19" s="14">
        <v>0.03</v>
      </c>
      <c r="L19" s="14">
        <v>7.0000000000000007E-2</v>
      </c>
      <c r="M19" s="14">
        <v>7.0000000000000007E-2</v>
      </c>
      <c r="N19" s="14">
        <v>0.1</v>
      </c>
      <c r="O19" s="14">
        <v>0.19</v>
      </c>
      <c r="P19" s="14">
        <v>0.09</v>
      </c>
      <c r="Q19" s="14">
        <v>0.13</v>
      </c>
      <c r="R19" s="14">
        <v>0.09</v>
      </c>
      <c r="S19" s="14">
        <v>0.05</v>
      </c>
      <c r="T19" s="14">
        <v>0.08</v>
      </c>
      <c r="U19" s="14">
        <v>0.12</v>
      </c>
      <c r="V19" s="14">
        <v>0.1</v>
      </c>
      <c r="W19" s="14">
        <v>0.06</v>
      </c>
      <c r="X19" s="14">
        <v>0.24</v>
      </c>
      <c r="Y19" s="14">
        <v>0.19</v>
      </c>
      <c r="Z19" s="14">
        <v>0.12</v>
      </c>
      <c r="AA19" s="14">
        <v>0.08</v>
      </c>
      <c r="AB19" s="14">
        <v>0.09</v>
      </c>
      <c r="AC19" s="14">
        <v>0.08</v>
      </c>
      <c r="AD19" s="14">
        <v>7.0000000000000007E-2</v>
      </c>
      <c r="AE19" s="14">
        <v>0.05</v>
      </c>
      <c r="AF19" s="14">
        <v>0.24</v>
      </c>
    </row>
    <row r="20" spans="1:32">
      <c r="A20" s="19"/>
      <c r="B20" s="11" t="s">
        <v>1212</v>
      </c>
      <c r="C20" s="12">
        <v>9013</v>
      </c>
      <c r="D20" s="12">
        <v>298</v>
      </c>
      <c r="E20" s="12">
        <v>176</v>
      </c>
      <c r="F20" s="12">
        <v>185</v>
      </c>
      <c r="G20" s="12">
        <v>193</v>
      </c>
      <c r="H20" s="12">
        <v>444</v>
      </c>
      <c r="I20" s="12">
        <v>538</v>
      </c>
      <c r="J20" s="12">
        <v>93</v>
      </c>
      <c r="K20" s="12">
        <v>23</v>
      </c>
      <c r="L20" s="12">
        <v>140</v>
      </c>
      <c r="M20" s="12">
        <v>132</v>
      </c>
      <c r="N20" s="12">
        <v>189</v>
      </c>
      <c r="O20" s="12">
        <v>539</v>
      </c>
      <c r="P20" s="12">
        <v>222</v>
      </c>
      <c r="Q20" s="12">
        <v>636</v>
      </c>
      <c r="R20" s="12">
        <v>74</v>
      </c>
      <c r="S20" s="12">
        <v>47</v>
      </c>
      <c r="T20" s="12">
        <v>182</v>
      </c>
      <c r="U20" s="12">
        <v>68</v>
      </c>
      <c r="V20" s="12">
        <v>320</v>
      </c>
      <c r="W20" s="12">
        <v>36</v>
      </c>
      <c r="X20" s="12">
        <v>307</v>
      </c>
      <c r="Y20" s="12">
        <v>269</v>
      </c>
      <c r="Z20" s="12">
        <v>256</v>
      </c>
      <c r="AA20" s="12">
        <v>289</v>
      </c>
      <c r="AB20" s="12">
        <v>149</v>
      </c>
      <c r="AC20" s="12">
        <v>109</v>
      </c>
      <c r="AD20" s="12">
        <v>152</v>
      </c>
      <c r="AE20" s="12">
        <v>45</v>
      </c>
      <c r="AF20" s="12">
        <v>267</v>
      </c>
    </row>
    <row r="21" spans="1:32">
      <c r="A21" s="19"/>
      <c r="B21" s="13" t="s">
        <v>1213</v>
      </c>
      <c r="C21" s="14">
        <v>0.34</v>
      </c>
      <c r="D21" s="14">
        <v>0.28999999999999998</v>
      </c>
      <c r="E21" s="14">
        <v>0.17</v>
      </c>
      <c r="F21" s="14">
        <v>0.17</v>
      </c>
      <c r="G21" s="14">
        <v>0.19</v>
      </c>
      <c r="H21" s="14">
        <v>0.36</v>
      </c>
      <c r="I21" s="14">
        <v>0.35</v>
      </c>
      <c r="J21" s="14">
        <v>0.32</v>
      </c>
      <c r="K21" s="14">
        <v>0.02</v>
      </c>
      <c r="L21" s="14">
        <v>0.14000000000000001</v>
      </c>
      <c r="M21" s="14">
        <v>0.13</v>
      </c>
      <c r="N21" s="14">
        <v>0.19</v>
      </c>
      <c r="O21" s="14">
        <v>0.54</v>
      </c>
      <c r="P21" s="14">
        <v>0.22</v>
      </c>
      <c r="Q21" s="14">
        <v>0.62</v>
      </c>
      <c r="R21" s="14">
        <v>0.15</v>
      </c>
      <c r="S21" s="14">
        <v>0.05</v>
      </c>
      <c r="T21" s="14">
        <v>0.18</v>
      </c>
      <c r="U21" s="14">
        <v>0.14000000000000001</v>
      </c>
      <c r="V21" s="14">
        <v>0.31</v>
      </c>
      <c r="W21" s="14">
        <v>7.0000000000000007E-2</v>
      </c>
      <c r="X21" s="14">
        <v>0.3</v>
      </c>
      <c r="Y21" s="14">
        <v>0.27</v>
      </c>
      <c r="Z21" s="14">
        <v>0.25</v>
      </c>
      <c r="AA21" s="14">
        <v>0.28000000000000003</v>
      </c>
      <c r="AB21" s="14">
        <v>0.14000000000000001</v>
      </c>
      <c r="AC21" s="14">
        <v>0.11</v>
      </c>
      <c r="AD21" s="14">
        <v>0.15</v>
      </c>
      <c r="AE21" s="14">
        <v>0.05</v>
      </c>
      <c r="AF21" s="14">
        <v>0.26</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251</v>
      </c>
      <c r="C3" s="17"/>
      <c r="D3" s="17"/>
      <c r="E3" s="17"/>
      <c r="F3" s="17"/>
      <c r="H3" s="17" t="s">
        <v>252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1214</v>
      </c>
      <c r="C12" s="12">
        <v>1039</v>
      </c>
      <c r="D12" s="12">
        <v>47</v>
      </c>
      <c r="E12" s="12">
        <v>16</v>
      </c>
      <c r="F12" s="12">
        <v>35</v>
      </c>
      <c r="G12" s="12">
        <v>29</v>
      </c>
      <c r="H12" s="12">
        <v>37</v>
      </c>
      <c r="I12" s="12">
        <v>44</v>
      </c>
      <c r="J12" s="12">
        <v>8</v>
      </c>
      <c r="K12" s="12">
        <v>43</v>
      </c>
      <c r="L12" s="12">
        <v>57</v>
      </c>
      <c r="M12" s="12">
        <v>15</v>
      </c>
      <c r="N12" s="12">
        <v>3</v>
      </c>
      <c r="O12" s="12">
        <v>49</v>
      </c>
      <c r="P12" s="12">
        <v>37</v>
      </c>
      <c r="Q12" s="12">
        <v>67</v>
      </c>
      <c r="R12" s="12">
        <v>4</v>
      </c>
      <c r="S12" s="12">
        <v>24</v>
      </c>
      <c r="T12" s="12">
        <v>55</v>
      </c>
      <c r="U12" s="12">
        <v>25</v>
      </c>
      <c r="V12" s="12">
        <v>40</v>
      </c>
      <c r="W12" s="12">
        <v>19</v>
      </c>
      <c r="X12" s="12">
        <v>45</v>
      </c>
      <c r="Y12" s="12">
        <v>93</v>
      </c>
      <c r="Z12" s="12">
        <v>49</v>
      </c>
      <c r="AA12" s="12">
        <v>10</v>
      </c>
      <c r="AB12" s="12">
        <v>52</v>
      </c>
      <c r="AC12" s="12">
        <v>19</v>
      </c>
      <c r="AD12" s="12">
        <v>42</v>
      </c>
      <c r="AE12" s="12">
        <v>30</v>
      </c>
      <c r="AF12" s="12">
        <v>55</v>
      </c>
    </row>
    <row r="13" spans="1:32">
      <c r="A13" s="19"/>
      <c r="B13" s="13" t="s">
        <v>1215</v>
      </c>
      <c r="C13" s="14">
        <v>0.04</v>
      </c>
      <c r="D13" s="14">
        <v>0.05</v>
      </c>
      <c r="E13" s="14">
        <v>0.02</v>
      </c>
      <c r="F13" s="14">
        <v>0.03</v>
      </c>
      <c r="G13" s="14">
        <v>0.03</v>
      </c>
      <c r="H13" s="14">
        <v>0.03</v>
      </c>
      <c r="I13" s="14">
        <v>0.03</v>
      </c>
      <c r="J13" s="14">
        <v>0.02</v>
      </c>
      <c r="K13" s="14">
        <v>0.04</v>
      </c>
      <c r="L13" s="14">
        <v>0.06</v>
      </c>
      <c r="M13" s="14">
        <v>0.02</v>
      </c>
      <c r="N13" s="15" t="s">
        <v>375</v>
      </c>
      <c r="O13" s="14">
        <v>0.05</v>
      </c>
      <c r="P13" s="14">
        <v>0.04</v>
      </c>
      <c r="Q13" s="14">
        <v>7.0000000000000007E-2</v>
      </c>
      <c r="R13" s="14">
        <v>0.01</v>
      </c>
      <c r="S13" s="14">
        <v>0.02</v>
      </c>
      <c r="T13" s="14">
        <v>0.05</v>
      </c>
      <c r="U13" s="14">
        <v>0.05</v>
      </c>
      <c r="V13" s="14">
        <v>0.04</v>
      </c>
      <c r="W13" s="14">
        <v>0.04</v>
      </c>
      <c r="X13" s="14">
        <v>0.04</v>
      </c>
      <c r="Y13" s="14">
        <v>0.09</v>
      </c>
      <c r="Z13" s="14">
        <v>0.05</v>
      </c>
      <c r="AA13" s="14">
        <v>0.01</v>
      </c>
      <c r="AB13" s="14">
        <v>0.05</v>
      </c>
      <c r="AC13" s="14">
        <v>0.02</v>
      </c>
      <c r="AD13" s="14">
        <v>0.04</v>
      </c>
      <c r="AE13" s="14">
        <v>0.03</v>
      </c>
      <c r="AF13" s="14">
        <v>0.05</v>
      </c>
    </row>
    <row r="14" spans="1:32">
      <c r="A14" s="19"/>
      <c r="B14" s="11" t="s">
        <v>1216</v>
      </c>
      <c r="C14" s="12">
        <v>7626</v>
      </c>
      <c r="D14" s="12">
        <v>293</v>
      </c>
      <c r="E14" s="12">
        <v>288</v>
      </c>
      <c r="F14" s="12">
        <v>301</v>
      </c>
      <c r="G14" s="12">
        <v>245</v>
      </c>
      <c r="H14" s="12">
        <v>366</v>
      </c>
      <c r="I14" s="12">
        <v>427</v>
      </c>
      <c r="J14" s="12">
        <v>61</v>
      </c>
      <c r="K14" s="12">
        <v>268</v>
      </c>
      <c r="L14" s="12">
        <v>319</v>
      </c>
      <c r="M14" s="12">
        <v>135</v>
      </c>
      <c r="N14" s="12">
        <v>144</v>
      </c>
      <c r="O14" s="12">
        <v>281</v>
      </c>
      <c r="P14" s="12">
        <v>278</v>
      </c>
      <c r="Q14" s="12">
        <v>344</v>
      </c>
      <c r="R14" s="12">
        <v>61</v>
      </c>
      <c r="S14" s="12">
        <v>321</v>
      </c>
      <c r="T14" s="12">
        <v>491</v>
      </c>
      <c r="U14" s="12">
        <v>190</v>
      </c>
      <c r="V14" s="12">
        <v>451</v>
      </c>
      <c r="W14" s="12">
        <v>77</v>
      </c>
      <c r="X14" s="12">
        <v>317</v>
      </c>
      <c r="Y14" s="12">
        <v>385</v>
      </c>
      <c r="Z14" s="12">
        <v>462</v>
      </c>
      <c r="AA14" s="12">
        <v>140</v>
      </c>
      <c r="AB14" s="12">
        <v>297</v>
      </c>
      <c r="AC14" s="12">
        <v>179</v>
      </c>
      <c r="AD14" s="12">
        <v>383</v>
      </c>
      <c r="AE14" s="12">
        <v>238</v>
      </c>
      <c r="AF14" s="12">
        <v>318</v>
      </c>
    </row>
    <row r="15" spans="1:32">
      <c r="A15" s="19"/>
      <c r="B15" s="13" t="s">
        <v>1217</v>
      </c>
      <c r="C15" s="14">
        <v>0.28999999999999998</v>
      </c>
      <c r="D15" s="14">
        <v>0.28999999999999998</v>
      </c>
      <c r="E15" s="14">
        <v>0.27</v>
      </c>
      <c r="F15" s="14">
        <v>0.28999999999999998</v>
      </c>
      <c r="G15" s="14">
        <v>0.24</v>
      </c>
      <c r="H15" s="14">
        <v>0.3</v>
      </c>
      <c r="I15" s="14">
        <v>0.28000000000000003</v>
      </c>
      <c r="J15" s="14">
        <v>0.21</v>
      </c>
      <c r="K15" s="14">
        <v>0.26</v>
      </c>
      <c r="L15" s="14">
        <v>0.32</v>
      </c>
      <c r="M15" s="14">
        <v>0.13</v>
      </c>
      <c r="N15" s="14">
        <v>0.14000000000000001</v>
      </c>
      <c r="O15" s="14">
        <v>0.28000000000000003</v>
      </c>
      <c r="P15" s="14">
        <v>0.27</v>
      </c>
      <c r="Q15" s="14">
        <v>0.33</v>
      </c>
      <c r="R15" s="14">
        <v>0.12</v>
      </c>
      <c r="S15" s="14">
        <v>0.32</v>
      </c>
      <c r="T15" s="14">
        <v>0.48</v>
      </c>
      <c r="U15" s="14">
        <v>0.37</v>
      </c>
      <c r="V15" s="14">
        <v>0.44</v>
      </c>
      <c r="W15" s="14">
        <v>0.15</v>
      </c>
      <c r="X15" s="14">
        <v>0.31</v>
      </c>
      <c r="Y15" s="14">
        <v>0.38</v>
      </c>
      <c r="Z15" s="14">
        <v>0.46</v>
      </c>
      <c r="AA15" s="14">
        <v>0.14000000000000001</v>
      </c>
      <c r="AB15" s="14">
        <v>0.28000000000000003</v>
      </c>
      <c r="AC15" s="14">
        <v>0.18</v>
      </c>
      <c r="AD15" s="14">
        <v>0.38</v>
      </c>
      <c r="AE15" s="14">
        <v>0.24</v>
      </c>
      <c r="AF15" s="14">
        <v>0.31</v>
      </c>
    </row>
    <row r="16" spans="1:32">
      <c r="A16" s="19"/>
      <c r="B16" s="11" t="s">
        <v>1218</v>
      </c>
      <c r="C16" s="12">
        <v>13182</v>
      </c>
      <c r="D16" s="12">
        <v>511</v>
      </c>
      <c r="E16" s="12">
        <v>462</v>
      </c>
      <c r="F16" s="12">
        <v>532</v>
      </c>
      <c r="G16" s="12">
        <v>668</v>
      </c>
      <c r="H16" s="12">
        <v>693</v>
      </c>
      <c r="I16" s="12">
        <v>883</v>
      </c>
      <c r="J16" s="12">
        <v>190</v>
      </c>
      <c r="K16" s="12">
        <v>470</v>
      </c>
      <c r="L16" s="12">
        <v>373</v>
      </c>
      <c r="M16" s="12">
        <v>528</v>
      </c>
      <c r="N16" s="12">
        <v>480</v>
      </c>
      <c r="O16" s="12">
        <v>501</v>
      </c>
      <c r="P16" s="12">
        <v>510</v>
      </c>
      <c r="Q16" s="12">
        <v>466</v>
      </c>
      <c r="R16" s="12">
        <v>236</v>
      </c>
      <c r="S16" s="12">
        <v>480</v>
      </c>
      <c r="T16" s="12">
        <v>400</v>
      </c>
      <c r="U16" s="12">
        <v>212</v>
      </c>
      <c r="V16" s="12">
        <v>424</v>
      </c>
      <c r="W16" s="12">
        <v>243</v>
      </c>
      <c r="X16" s="12">
        <v>562</v>
      </c>
      <c r="Y16" s="12">
        <v>360</v>
      </c>
      <c r="Z16" s="12">
        <v>408</v>
      </c>
      <c r="AA16" s="12">
        <v>614</v>
      </c>
      <c r="AB16" s="12">
        <v>506</v>
      </c>
      <c r="AC16" s="12">
        <v>527</v>
      </c>
      <c r="AD16" s="12">
        <v>430</v>
      </c>
      <c r="AE16" s="12">
        <v>612</v>
      </c>
      <c r="AF16" s="12">
        <v>598</v>
      </c>
    </row>
    <row r="17" spans="1:32">
      <c r="A17" s="19"/>
      <c r="B17" s="13" t="s">
        <v>1219</v>
      </c>
      <c r="C17" s="14">
        <v>0.5</v>
      </c>
      <c r="D17" s="14">
        <v>0.5</v>
      </c>
      <c r="E17" s="14">
        <v>0.44</v>
      </c>
      <c r="F17" s="14">
        <v>0.5</v>
      </c>
      <c r="G17" s="14">
        <v>0.66</v>
      </c>
      <c r="H17" s="14">
        <v>0.56000000000000005</v>
      </c>
      <c r="I17" s="14">
        <v>0.57999999999999996</v>
      </c>
      <c r="J17" s="14">
        <v>0.64</v>
      </c>
      <c r="K17" s="14">
        <v>0.47</v>
      </c>
      <c r="L17" s="14">
        <v>0.37</v>
      </c>
      <c r="M17" s="14">
        <v>0.52</v>
      </c>
      <c r="N17" s="14">
        <v>0.48</v>
      </c>
      <c r="O17" s="14">
        <v>0.5</v>
      </c>
      <c r="P17" s="14">
        <v>0.51</v>
      </c>
      <c r="Q17" s="14">
        <v>0.45</v>
      </c>
      <c r="R17" s="14">
        <v>0.47</v>
      </c>
      <c r="S17" s="14">
        <v>0.48</v>
      </c>
      <c r="T17" s="14">
        <v>0.39</v>
      </c>
      <c r="U17" s="14">
        <v>0.42</v>
      </c>
      <c r="V17" s="14">
        <v>0.41</v>
      </c>
      <c r="W17" s="14">
        <v>0.48</v>
      </c>
      <c r="X17" s="14">
        <v>0.56000000000000005</v>
      </c>
      <c r="Y17" s="14">
        <v>0.36</v>
      </c>
      <c r="Z17" s="14">
        <v>0.4</v>
      </c>
      <c r="AA17" s="14">
        <v>0.59</v>
      </c>
      <c r="AB17" s="14">
        <v>0.49</v>
      </c>
      <c r="AC17" s="14">
        <v>0.52</v>
      </c>
      <c r="AD17" s="14">
        <v>0.43</v>
      </c>
      <c r="AE17" s="14">
        <v>0.61</v>
      </c>
      <c r="AF17" s="14">
        <v>0.57999999999999996</v>
      </c>
    </row>
    <row r="18" spans="1:32">
      <c r="A18" s="19"/>
      <c r="B18" s="11" t="s">
        <v>1220</v>
      </c>
      <c r="C18" s="12">
        <v>3594</v>
      </c>
      <c r="D18" s="12">
        <v>154</v>
      </c>
      <c r="E18" s="12">
        <v>188</v>
      </c>
      <c r="F18" s="12">
        <v>151</v>
      </c>
      <c r="G18" s="12">
        <v>53</v>
      </c>
      <c r="H18" s="12">
        <v>94</v>
      </c>
      <c r="I18" s="12">
        <v>127</v>
      </c>
      <c r="J18" s="12">
        <v>33</v>
      </c>
      <c r="K18" s="12">
        <v>179</v>
      </c>
      <c r="L18" s="12">
        <v>185</v>
      </c>
      <c r="M18" s="12">
        <v>300</v>
      </c>
      <c r="N18" s="12">
        <v>331</v>
      </c>
      <c r="O18" s="12">
        <v>121</v>
      </c>
      <c r="P18" s="12">
        <v>160</v>
      </c>
      <c r="Q18" s="12">
        <v>128</v>
      </c>
      <c r="R18" s="12">
        <v>171</v>
      </c>
      <c r="S18" s="12">
        <v>104</v>
      </c>
      <c r="T18" s="12">
        <v>29</v>
      </c>
      <c r="U18" s="12">
        <v>48</v>
      </c>
      <c r="V18" s="12">
        <v>81</v>
      </c>
      <c r="W18" s="12">
        <v>100</v>
      </c>
      <c r="X18" s="12">
        <v>66</v>
      </c>
      <c r="Y18" s="12">
        <v>117</v>
      </c>
      <c r="Z18" s="12">
        <v>54</v>
      </c>
      <c r="AA18" s="12">
        <v>208</v>
      </c>
      <c r="AB18" s="12">
        <v>138</v>
      </c>
      <c r="AC18" s="12">
        <v>251</v>
      </c>
      <c r="AD18" s="12">
        <v>114</v>
      </c>
      <c r="AE18" s="12">
        <v>102</v>
      </c>
      <c r="AF18" s="12">
        <v>50</v>
      </c>
    </row>
    <row r="19" spans="1:32">
      <c r="A19" s="19"/>
      <c r="B19" s="13" t="s">
        <v>1221</v>
      </c>
      <c r="C19" s="14">
        <v>0.13</v>
      </c>
      <c r="D19" s="14">
        <v>0.15</v>
      </c>
      <c r="E19" s="14">
        <v>0.18</v>
      </c>
      <c r="F19" s="14">
        <v>0.14000000000000001</v>
      </c>
      <c r="G19" s="14">
        <v>0.05</v>
      </c>
      <c r="H19" s="14">
        <v>0.08</v>
      </c>
      <c r="I19" s="14">
        <v>0.08</v>
      </c>
      <c r="J19" s="14">
        <v>0.11</v>
      </c>
      <c r="K19" s="14">
        <v>0.18</v>
      </c>
      <c r="L19" s="14">
        <v>0.18</v>
      </c>
      <c r="M19" s="14">
        <v>0.3</v>
      </c>
      <c r="N19" s="14">
        <v>0.33</v>
      </c>
      <c r="O19" s="14">
        <v>0.12</v>
      </c>
      <c r="P19" s="14">
        <v>0.16</v>
      </c>
      <c r="Q19" s="14">
        <v>0.12</v>
      </c>
      <c r="R19" s="14">
        <v>0.34</v>
      </c>
      <c r="S19" s="14">
        <v>0.1</v>
      </c>
      <c r="T19" s="14">
        <v>0.03</v>
      </c>
      <c r="U19" s="14">
        <v>0.1</v>
      </c>
      <c r="V19" s="14">
        <v>0.08</v>
      </c>
      <c r="W19" s="14">
        <v>0.2</v>
      </c>
      <c r="X19" s="14">
        <v>7.0000000000000007E-2</v>
      </c>
      <c r="Y19" s="14">
        <v>0.12</v>
      </c>
      <c r="Z19" s="14">
        <v>0.05</v>
      </c>
      <c r="AA19" s="14">
        <v>0.2</v>
      </c>
      <c r="AB19" s="14">
        <v>0.13</v>
      </c>
      <c r="AC19" s="14">
        <v>0.25</v>
      </c>
      <c r="AD19" s="14">
        <v>0.11</v>
      </c>
      <c r="AE19" s="14">
        <v>0.1</v>
      </c>
      <c r="AF19" s="14">
        <v>0.05</v>
      </c>
    </row>
    <row r="20" spans="1:32">
      <c r="A20" s="19"/>
      <c r="B20" s="11" t="s">
        <v>386</v>
      </c>
      <c r="C20" s="12">
        <v>1012</v>
      </c>
      <c r="D20" s="12">
        <v>16</v>
      </c>
      <c r="E20" s="12">
        <v>92</v>
      </c>
      <c r="F20" s="12">
        <v>44</v>
      </c>
      <c r="G20" s="12">
        <v>20</v>
      </c>
      <c r="H20" s="12">
        <v>40</v>
      </c>
      <c r="I20" s="12">
        <v>45</v>
      </c>
      <c r="J20" s="12">
        <v>5</v>
      </c>
      <c r="K20" s="12">
        <v>47</v>
      </c>
      <c r="L20" s="12">
        <v>72</v>
      </c>
      <c r="M20" s="12">
        <v>29</v>
      </c>
      <c r="N20" s="12">
        <v>53</v>
      </c>
      <c r="O20" s="12">
        <v>51</v>
      </c>
      <c r="P20" s="12">
        <v>19</v>
      </c>
      <c r="Q20" s="12">
        <v>26</v>
      </c>
      <c r="R20" s="12">
        <v>29</v>
      </c>
      <c r="S20" s="12">
        <v>75</v>
      </c>
      <c r="T20" s="12">
        <v>48</v>
      </c>
      <c r="U20" s="12">
        <v>33</v>
      </c>
      <c r="V20" s="12">
        <v>30</v>
      </c>
      <c r="W20" s="12">
        <v>63</v>
      </c>
      <c r="X20" s="12">
        <v>20</v>
      </c>
      <c r="Y20" s="12">
        <v>48</v>
      </c>
      <c r="Z20" s="12">
        <v>44</v>
      </c>
      <c r="AA20" s="12">
        <v>66</v>
      </c>
      <c r="AB20" s="12">
        <v>48</v>
      </c>
      <c r="AC20" s="12">
        <v>29</v>
      </c>
      <c r="AD20" s="12">
        <v>35</v>
      </c>
      <c r="AE20" s="12">
        <v>18</v>
      </c>
      <c r="AF20" s="12">
        <v>10</v>
      </c>
    </row>
    <row r="21" spans="1:32">
      <c r="A21" s="19"/>
      <c r="B21" s="13" t="s">
        <v>399</v>
      </c>
      <c r="C21" s="14">
        <v>0.04</v>
      </c>
      <c r="D21" s="14">
        <v>0.01</v>
      </c>
      <c r="E21" s="14">
        <v>0.09</v>
      </c>
      <c r="F21" s="14">
        <v>0.04</v>
      </c>
      <c r="G21" s="14">
        <v>0.02</v>
      </c>
      <c r="H21" s="14">
        <v>0.03</v>
      </c>
      <c r="I21" s="14">
        <v>0.03</v>
      </c>
      <c r="J21" s="14">
        <v>0.02</v>
      </c>
      <c r="K21" s="14">
        <v>0.05</v>
      </c>
      <c r="L21" s="14">
        <v>7.0000000000000007E-2</v>
      </c>
      <c r="M21" s="14">
        <v>0.03</v>
      </c>
      <c r="N21" s="14">
        <v>0.05</v>
      </c>
      <c r="O21" s="14">
        <v>0.05</v>
      </c>
      <c r="P21" s="14">
        <v>0.02</v>
      </c>
      <c r="Q21" s="14">
        <v>0.03</v>
      </c>
      <c r="R21" s="14">
        <v>0.06</v>
      </c>
      <c r="S21" s="14">
        <v>0.08</v>
      </c>
      <c r="T21" s="14">
        <v>0.05</v>
      </c>
      <c r="U21" s="14">
        <v>0.06</v>
      </c>
      <c r="V21" s="14">
        <v>0.03</v>
      </c>
      <c r="W21" s="14">
        <v>0.13</v>
      </c>
      <c r="X21" s="14">
        <v>0.02</v>
      </c>
      <c r="Y21" s="14">
        <v>0.05</v>
      </c>
      <c r="Z21" s="14">
        <v>0.04</v>
      </c>
      <c r="AA21" s="14">
        <v>0.06</v>
      </c>
      <c r="AB21" s="14">
        <v>0.05</v>
      </c>
      <c r="AC21" s="14">
        <v>0.03</v>
      </c>
      <c r="AD21" s="14">
        <v>0.04</v>
      </c>
      <c r="AE21" s="14">
        <v>0.02</v>
      </c>
      <c r="AF21" s="14">
        <v>0.01</v>
      </c>
    </row>
    <row r="22" spans="1:32">
      <c r="A22" s="19"/>
      <c r="B22" s="11" t="s">
        <v>1222</v>
      </c>
      <c r="C22" s="12">
        <v>8665</v>
      </c>
      <c r="D22" s="12">
        <v>340</v>
      </c>
      <c r="E22" s="12">
        <v>304</v>
      </c>
      <c r="F22" s="12">
        <v>336</v>
      </c>
      <c r="G22" s="12">
        <v>274</v>
      </c>
      <c r="H22" s="12">
        <v>403</v>
      </c>
      <c r="I22" s="12">
        <v>471</v>
      </c>
      <c r="J22" s="12">
        <v>69</v>
      </c>
      <c r="K22" s="12">
        <v>311</v>
      </c>
      <c r="L22" s="12">
        <v>376</v>
      </c>
      <c r="M22" s="12">
        <v>150</v>
      </c>
      <c r="N22" s="12">
        <v>147</v>
      </c>
      <c r="O22" s="12">
        <v>330</v>
      </c>
      <c r="P22" s="12">
        <v>315</v>
      </c>
      <c r="Q22" s="12">
        <v>411</v>
      </c>
      <c r="R22" s="12">
        <v>65</v>
      </c>
      <c r="S22" s="12">
        <v>345</v>
      </c>
      <c r="T22" s="12">
        <v>546</v>
      </c>
      <c r="U22" s="12">
        <v>215</v>
      </c>
      <c r="V22" s="12">
        <v>491</v>
      </c>
      <c r="W22" s="12">
        <v>96</v>
      </c>
      <c r="X22" s="12">
        <v>362</v>
      </c>
      <c r="Y22" s="12">
        <v>478</v>
      </c>
      <c r="Z22" s="12">
        <v>511</v>
      </c>
      <c r="AA22" s="12">
        <v>150</v>
      </c>
      <c r="AB22" s="12">
        <v>349</v>
      </c>
      <c r="AC22" s="12">
        <v>198</v>
      </c>
      <c r="AD22" s="12">
        <v>425</v>
      </c>
      <c r="AE22" s="12">
        <v>268</v>
      </c>
      <c r="AF22" s="12">
        <v>373</v>
      </c>
    </row>
    <row r="23" spans="1:32">
      <c r="A23" s="19"/>
      <c r="B23" s="13" t="s">
        <v>1223</v>
      </c>
      <c r="C23" s="14">
        <v>0.33</v>
      </c>
      <c r="D23" s="14">
        <v>0.34</v>
      </c>
      <c r="E23" s="14">
        <v>0.28999999999999998</v>
      </c>
      <c r="F23" s="14">
        <v>0.32</v>
      </c>
      <c r="G23" s="14">
        <v>0.27</v>
      </c>
      <c r="H23" s="14">
        <v>0.33</v>
      </c>
      <c r="I23" s="14">
        <v>0.31</v>
      </c>
      <c r="J23" s="14">
        <v>0.23</v>
      </c>
      <c r="K23" s="14">
        <v>0.3</v>
      </c>
      <c r="L23" s="14">
        <v>0.38</v>
      </c>
      <c r="M23" s="14">
        <v>0.15</v>
      </c>
      <c r="N23" s="14">
        <v>0.14000000000000001</v>
      </c>
      <c r="O23" s="14">
        <v>0.33</v>
      </c>
      <c r="P23" s="14">
        <v>0.31</v>
      </c>
      <c r="Q23" s="14">
        <v>0.4</v>
      </c>
      <c r="R23" s="14">
        <v>0.13</v>
      </c>
      <c r="S23" s="14">
        <v>0.34</v>
      </c>
      <c r="T23" s="14">
        <v>0.53</v>
      </c>
      <c r="U23" s="14">
        <v>0.42</v>
      </c>
      <c r="V23" s="14">
        <v>0.48</v>
      </c>
      <c r="W23" s="14">
        <v>0.19</v>
      </c>
      <c r="X23" s="14">
        <v>0.35</v>
      </c>
      <c r="Y23" s="14">
        <v>0.47</v>
      </c>
      <c r="Z23" s="14">
        <v>0.51</v>
      </c>
      <c r="AA23" s="14">
        <v>0.15</v>
      </c>
      <c r="AB23" s="14">
        <v>0.33</v>
      </c>
      <c r="AC23" s="14">
        <v>0.2</v>
      </c>
      <c r="AD23" s="14">
        <v>0.42</v>
      </c>
      <c r="AE23" s="14">
        <v>0.27</v>
      </c>
      <c r="AF23" s="14">
        <v>0.36</v>
      </c>
    </row>
    <row r="24" spans="1:32">
      <c r="A24" s="19"/>
      <c r="B24" s="11" t="s">
        <v>1224</v>
      </c>
      <c r="C24" s="12">
        <v>16776</v>
      </c>
      <c r="D24" s="12">
        <v>665</v>
      </c>
      <c r="E24" s="12">
        <v>650</v>
      </c>
      <c r="F24" s="12">
        <v>683</v>
      </c>
      <c r="G24" s="12">
        <v>721</v>
      </c>
      <c r="H24" s="12">
        <v>787</v>
      </c>
      <c r="I24" s="12">
        <v>1010</v>
      </c>
      <c r="J24" s="12">
        <v>223</v>
      </c>
      <c r="K24" s="12">
        <v>649</v>
      </c>
      <c r="L24" s="12">
        <v>558</v>
      </c>
      <c r="M24" s="12">
        <v>828</v>
      </c>
      <c r="N24" s="12">
        <v>811</v>
      </c>
      <c r="O24" s="12">
        <v>622</v>
      </c>
      <c r="P24" s="12">
        <v>670</v>
      </c>
      <c r="Q24" s="12">
        <v>594</v>
      </c>
      <c r="R24" s="12">
        <v>407</v>
      </c>
      <c r="S24" s="12">
        <v>584</v>
      </c>
      <c r="T24" s="12">
        <v>429</v>
      </c>
      <c r="U24" s="12">
        <v>260</v>
      </c>
      <c r="V24" s="12">
        <v>505</v>
      </c>
      <c r="W24" s="12">
        <v>343</v>
      </c>
      <c r="X24" s="12">
        <v>628</v>
      </c>
      <c r="Y24" s="12">
        <v>477</v>
      </c>
      <c r="Z24" s="12">
        <v>462</v>
      </c>
      <c r="AA24" s="12">
        <v>822</v>
      </c>
      <c r="AB24" s="12">
        <v>644</v>
      </c>
      <c r="AC24" s="12">
        <v>778</v>
      </c>
      <c r="AD24" s="12">
        <v>544</v>
      </c>
      <c r="AE24" s="12">
        <v>714</v>
      </c>
      <c r="AF24" s="12">
        <v>648</v>
      </c>
    </row>
    <row r="25" spans="1:32">
      <c r="A25" s="19"/>
      <c r="B25" s="13" t="s">
        <v>1225</v>
      </c>
      <c r="C25" s="14">
        <v>0.63</v>
      </c>
      <c r="D25" s="14">
        <v>0.65</v>
      </c>
      <c r="E25" s="14">
        <v>0.62</v>
      </c>
      <c r="F25" s="14">
        <v>0.64</v>
      </c>
      <c r="G25" s="14">
        <v>0.71</v>
      </c>
      <c r="H25" s="14">
        <v>0.64</v>
      </c>
      <c r="I25" s="14">
        <v>0.66</v>
      </c>
      <c r="J25" s="14">
        <v>0.75</v>
      </c>
      <c r="K25" s="14">
        <v>0.65</v>
      </c>
      <c r="L25" s="14">
        <v>0.55000000000000004</v>
      </c>
      <c r="M25" s="14">
        <v>0.82000000000000006</v>
      </c>
      <c r="N25" s="14">
        <v>0.81</v>
      </c>
      <c r="O25" s="14">
        <v>0.62</v>
      </c>
      <c r="P25" s="14">
        <v>0.67</v>
      </c>
      <c r="Q25" s="14">
        <v>0.57000000000000006</v>
      </c>
      <c r="R25" s="14">
        <v>0.81</v>
      </c>
      <c r="S25" s="14">
        <v>0.57999999999999996</v>
      </c>
      <c r="T25" s="14">
        <v>0.42</v>
      </c>
      <c r="U25" s="14">
        <v>0.52</v>
      </c>
      <c r="V25" s="14">
        <v>0.49</v>
      </c>
      <c r="W25" s="14">
        <v>0.68</v>
      </c>
      <c r="X25" s="14">
        <v>0.63</v>
      </c>
      <c r="Y25" s="14">
        <v>0.48</v>
      </c>
      <c r="Z25" s="14">
        <v>0.45</v>
      </c>
      <c r="AA25" s="14">
        <v>0.79</v>
      </c>
      <c r="AB25" s="14">
        <v>0.62</v>
      </c>
      <c r="AC25" s="14">
        <v>0.77</v>
      </c>
      <c r="AD25" s="14">
        <v>0.54</v>
      </c>
      <c r="AE25" s="14">
        <v>0.71</v>
      </c>
      <c r="AF25" s="14">
        <v>0.63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253</v>
      </c>
      <c r="C3" s="17"/>
      <c r="D3" s="17"/>
      <c r="E3" s="17"/>
      <c r="F3" s="17"/>
      <c r="H3" s="17" t="s">
        <v>254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1226</v>
      </c>
      <c r="C12" s="12">
        <v>7418</v>
      </c>
      <c r="D12" s="12">
        <v>314</v>
      </c>
      <c r="E12" s="12">
        <v>74</v>
      </c>
      <c r="F12" s="12">
        <v>81</v>
      </c>
      <c r="G12" s="12">
        <v>450</v>
      </c>
      <c r="H12" s="12">
        <v>501</v>
      </c>
      <c r="I12" s="12">
        <v>595</v>
      </c>
      <c r="J12" s="12">
        <v>94</v>
      </c>
      <c r="K12" s="12">
        <v>98</v>
      </c>
      <c r="L12" s="12">
        <v>273</v>
      </c>
      <c r="M12" s="12">
        <v>173</v>
      </c>
      <c r="N12" s="12">
        <v>304</v>
      </c>
      <c r="O12" s="12">
        <v>365</v>
      </c>
      <c r="P12" s="12">
        <v>106</v>
      </c>
      <c r="Q12" s="12">
        <v>269</v>
      </c>
      <c r="R12" s="12">
        <v>73</v>
      </c>
      <c r="S12" s="12">
        <v>112</v>
      </c>
      <c r="T12" s="12">
        <v>107</v>
      </c>
      <c r="U12" s="12">
        <v>99</v>
      </c>
      <c r="V12" s="12">
        <v>59</v>
      </c>
      <c r="W12" s="12">
        <v>60</v>
      </c>
      <c r="X12" s="12">
        <v>562</v>
      </c>
      <c r="Y12" s="12">
        <v>305</v>
      </c>
      <c r="Z12" s="12">
        <v>119</v>
      </c>
      <c r="AA12" s="12">
        <v>79</v>
      </c>
      <c r="AB12" s="12">
        <v>49</v>
      </c>
      <c r="AC12" s="12">
        <v>140</v>
      </c>
      <c r="AD12" s="12">
        <v>118</v>
      </c>
      <c r="AE12" s="12">
        <v>157</v>
      </c>
      <c r="AF12" s="12">
        <v>532</v>
      </c>
    </row>
    <row r="13" spans="1:32">
      <c r="A13" s="19"/>
      <c r="B13" s="13" t="s">
        <v>1227</v>
      </c>
      <c r="C13" s="14">
        <v>0.28000000000000003</v>
      </c>
      <c r="D13" s="14">
        <v>0.31</v>
      </c>
      <c r="E13" s="14">
        <v>7.0000000000000007E-2</v>
      </c>
      <c r="F13" s="14">
        <v>0.08</v>
      </c>
      <c r="G13" s="14">
        <v>0.44</v>
      </c>
      <c r="H13" s="14">
        <v>0.41</v>
      </c>
      <c r="I13" s="14">
        <v>0.39</v>
      </c>
      <c r="J13" s="14">
        <v>0.32</v>
      </c>
      <c r="K13" s="14">
        <v>0.1</v>
      </c>
      <c r="L13" s="14">
        <v>0.27</v>
      </c>
      <c r="M13" s="14">
        <v>0.17</v>
      </c>
      <c r="N13" s="14">
        <v>0.3</v>
      </c>
      <c r="O13" s="14">
        <v>0.37</v>
      </c>
      <c r="P13" s="14">
        <v>0.1</v>
      </c>
      <c r="Q13" s="14">
        <v>0.26</v>
      </c>
      <c r="R13" s="14">
        <v>0.15</v>
      </c>
      <c r="S13" s="14">
        <v>0.11</v>
      </c>
      <c r="T13" s="14">
        <v>0.11</v>
      </c>
      <c r="U13" s="14">
        <v>0.2</v>
      </c>
      <c r="V13" s="14">
        <v>0.06</v>
      </c>
      <c r="W13" s="14">
        <v>0.12</v>
      </c>
      <c r="X13" s="14">
        <v>0.56000000000000005</v>
      </c>
      <c r="Y13" s="14">
        <v>0.3</v>
      </c>
      <c r="Z13" s="14">
        <v>0.12</v>
      </c>
      <c r="AA13" s="14">
        <v>0.08</v>
      </c>
      <c r="AB13" s="14">
        <v>0.05</v>
      </c>
      <c r="AC13" s="14">
        <v>0.14000000000000001</v>
      </c>
      <c r="AD13" s="14">
        <v>0.12</v>
      </c>
      <c r="AE13" s="14">
        <v>0.16</v>
      </c>
      <c r="AF13" s="14">
        <v>0.52</v>
      </c>
    </row>
    <row r="14" spans="1:32">
      <c r="A14" s="19"/>
      <c r="B14" s="11" t="s">
        <v>1228</v>
      </c>
      <c r="C14" s="12">
        <v>10925</v>
      </c>
      <c r="D14" s="12">
        <v>501</v>
      </c>
      <c r="E14" s="12">
        <v>302</v>
      </c>
      <c r="F14" s="12">
        <v>393</v>
      </c>
      <c r="G14" s="12">
        <v>356</v>
      </c>
      <c r="H14" s="12">
        <v>469</v>
      </c>
      <c r="I14" s="12">
        <v>598</v>
      </c>
      <c r="J14" s="12">
        <v>129</v>
      </c>
      <c r="K14" s="12">
        <v>340</v>
      </c>
      <c r="L14" s="12">
        <v>437</v>
      </c>
      <c r="M14" s="12">
        <v>277</v>
      </c>
      <c r="N14" s="12">
        <v>428</v>
      </c>
      <c r="O14" s="12">
        <v>434</v>
      </c>
      <c r="P14" s="12">
        <v>318</v>
      </c>
      <c r="Q14" s="12">
        <v>493</v>
      </c>
      <c r="R14" s="12">
        <v>217</v>
      </c>
      <c r="S14" s="12">
        <v>272</v>
      </c>
      <c r="T14" s="12">
        <v>493</v>
      </c>
      <c r="U14" s="12">
        <v>265</v>
      </c>
      <c r="V14" s="12">
        <v>430</v>
      </c>
      <c r="W14" s="12">
        <v>216</v>
      </c>
      <c r="X14" s="12">
        <v>338</v>
      </c>
      <c r="Y14" s="12">
        <v>443</v>
      </c>
      <c r="Z14" s="12">
        <v>481</v>
      </c>
      <c r="AA14" s="12">
        <v>339</v>
      </c>
      <c r="AB14" s="12">
        <v>316</v>
      </c>
      <c r="AC14" s="12">
        <v>378</v>
      </c>
      <c r="AD14" s="12">
        <v>422</v>
      </c>
      <c r="AE14" s="12">
        <v>552</v>
      </c>
      <c r="AF14" s="12">
        <v>396</v>
      </c>
    </row>
    <row r="15" spans="1:32">
      <c r="A15" s="19"/>
      <c r="B15" s="13" t="s">
        <v>1229</v>
      </c>
      <c r="C15" s="14">
        <v>0.41</v>
      </c>
      <c r="D15" s="14">
        <v>0.49</v>
      </c>
      <c r="E15" s="14">
        <v>0.28999999999999998</v>
      </c>
      <c r="F15" s="14">
        <v>0.37</v>
      </c>
      <c r="G15" s="14">
        <v>0.35</v>
      </c>
      <c r="H15" s="14">
        <v>0.38</v>
      </c>
      <c r="I15" s="14">
        <v>0.39</v>
      </c>
      <c r="J15" s="14">
        <v>0.43</v>
      </c>
      <c r="K15" s="14">
        <v>0.34</v>
      </c>
      <c r="L15" s="14">
        <v>0.43</v>
      </c>
      <c r="M15" s="14">
        <v>0.28000000000000003</v>
      </c>
      <c r="N15" s="14">
        <v>0.42</v>
      </c>
      <c r="O15" s="14">
        <v>0.43</v>
      </c>
      <c r="P15" s="14">
        <v>0.32</v>
      </c>
      <c r="Q15" s="14">
        <v>0.48</v>
      </c>
      <c r="R15" s="14">
        <v>0.43</v>
      </c>
      <c r="S15" s="14">
        <v>0.27</v>
      </c>
      <c r="T15" s="14">
        <v>0.48</v>
      </c>
      <c r="U15" s="14">
        <v>0.52</v>
      </c>
      <c r="V15" s="14">
        <v>0.42</v>
      </c>
      <c r="W15" s="14">
        <v>0.43</v>
      </c>
      <c r="X15" s="14">
        <v>0.33</v>
      </c>
      <c r="Y15" s="14">
        <v>0.44</v>
      </c>
      <c r="Z15" s="14">
        <v>0.47</v>
      </c>
      <c r="AA15" s="14">
        <v>0.33</v>
      </c>
      <c r="AB15" s="14">
        <v>0.3</v>
      </c>
      <c r="AC15" s="14">
        <v>0.37</v>
      </c>
      <c r="AD15" s="14">
        <v>0.42</v>
      </c>
      <c r="AE15" s="14">
        <v>0.55000000000000004</v>
      </c>
      <c r="AF15" s="14">
        <v>0.38</v>
      </c>
    </row>
    <row r="16" spans="1:32">
      <c r="A16" s="19"/>
      <c r="B16" s="11" t="s">
        <v>1230</v>
      </c>
      <c r="C16" s="12">
        <v>5277</v>
      </c>
      <c r="D16" s="12">
        <v>155</v>
      </c>
      <c r="E16" s="12">
        <v>342</v>
      </c>
      <c r="F16" s="12">
        <v>305</v>
      </c>
      <c r="G16" s="12">
        <v>154</v>
      </c>
      <c r="H16" s="12">
        <v>207</v>
      </c>
      <c r="I16" s="12">
        <v>266</v>
      </c>
      <c r="J16" s="12">
        <v>59</v>
      </c>
      <c r="K16" s="12">
        <v>342</v>
      </c>
      <c r="L16" s="12">
        <v>177</v>
      </c>
      <c r="M16" s="12">
        <v>367</v>
      </c>
      <c r="N16" s="12">
        <v>151</v>
      </c>
      <c r="O16" s="12">
        <v>103</v>
      </c>
      <c r="P16" s="12">
        <v>412</v>
      </c>
      <c r="Q16" s="12">
        <v>191</v>
      </c>
      <c r="R16" s="12">
        <v>120</v>
      </c>
      <c r="S16" s="12">
        <v>326</v>
      </c>
      <c r="T16" s="12">
        <v>250</v>
      </c>
      <c r="U16" s="12">
        <v>87</v>
      </c>
      <c r="V16" s="12">
        <v>404</v>
      </c>
      <c r="W16" s="12">
        <v>135</v>
      </c>
      <c r="X16" s="12">
        <v>93</v>
      </c>
      <c r="Y16" s="12">
        <v>159</v>
      </c>
      <c r="Z16" s="12">
        <v>324</v>
      </c>
      <c r="AA16" s="12">
        <v>279</v>
      </c>
      <c r="AB16" s="12">
        <v>412</v>
      </c>
      <c r="AC16" s="12">
        <v>291</v>
      </c>
      <c r="AD16" s="12">
        <v>291</v>
      </c>
      <c r="AE16" s="12">
        <v>229</v>
      </c>
      <c r="AF16" s="12">
        <v>77</v>
      </c>
    </row>
    <row r="17" spans="1:32">
      <c r="A17" s="19"/>
      <c r="B17" s="13" t="s">
        <v>1231</v>
      </c>
      <c r="C17" s="14">
        <v>0.2</v>
      </c>
      <c r="D17" s="14">
        <v>0.15</v>
      </c>
      <c r="E17" s="14">
        <v>0.33</v>
      </c>
      <c r="F17" s="14">
        <v>0.28999999999999998</v>
      </c>
      <c r="G17" s="14">
        <v>0.15</v>
      </c>
      <c r="H17" s="14">
        <v>0.17</v>
      </c>
      <c r="I17" s="14">
        <v>0.17</v>
      </c>
      <c r="J17" s="14">
        <v>0.2</v>
      </c>
      <c r="K17" s="14">
        <v>0.34</v>
      </c>
      <c r="L17" s="14">
        <v>0.18</v>
      </c>
      <c r="M17" s="14">
        <v>0.36</v>
      </c>
      <c r="N17" s="14">
        <v>0.15</v>
      </c>
      <c r="O17" s="14">
        <v>0.1</v>
      </c>
      <c r="P17" s="14">
        <v>0.41</v>
      </c>
      <c r="Q17" s="14">
        <v>0.18</v>
      </c>
      <c r="R17" s="14">
        <v>0.24</v>
      </c>
      <c r="S17" s="14">
        <v>0.32</v>
      </c>
      <c r="T17" s="14">
        <v>0.24</v>
      </c>
      <c r="U17" s="14">
        <v>0.17</v>
      </c>
      <c r="V17" s="14">
        <v>0.39</v>
      </c>
      <c r="W17" s="14">
        <v>0.27</v>
      </c>
      <c r="X17" s="14">
        <v>0.09</v>
      </c>
      <c r="Y17" s="14">
        <v>0.16</v>
      </c>
      <c r="Z17" s="14">
        <v>0.32</v>
      </c>
      <c r="AA17" s="14">
        <v>0.27</v>
      </c>
      <c r="AB17" s="14">
        <v>0.39</v>
      </c>
      <c r="AC17" s="14">
        <v>0.28999999999999998</v>
      </c>
      <c r="AD17" s="14">
        <v>0.28999999999999998</v>
      </c>
      <c r="AE17" s="14">
        <v>0.23</v>
      </c>
      <c r="AF17" s="14">
        <v>7.0000000000000007E-2</v>
      </c>
    </row>
    <row r="18" spans="1:32">
      <c r="A18" s="19"/>
      <c r="B18" s="11" t="s">
        <v>1232</v>
      </c>
      <c r="C18" s="12">
        <v>1676</v>
      </c>
      <c r="D18" s="12">
        <v>38</v>
      </c>
      <c r="E18" s="12">
        <v>201</v>
      </c>
      <c r="F18" s="12">
        <v>236</v>
      </c>
      <c r="G18" s="12">
        <v>25</v>
      </c>
      <c r="H18" s="12">
        <v>17</v>
      </c>
      <c r="I18" s="12">
        <v>29</v>
      </c>
      <c r="J18" s="12">
        <v>12</v>
      </c>
      <c r="K18" s="12">
        <v>127</v>
      </c>
      <c r="L18" s="12">
        <v>56</v>
      </c>
      <c r="M18" s="12">
        <v>144</v>
      </c>
      <c r="N18" s="12">
        <v>81</v>
      </c>
      <c r="O18" s="12">
        <v>33</v>
      </c>
      <c r="P18" s="12">
        <v>128</v>
      </c>
      <c r="Q18" s="12">
        <v>49</v>
      </c>
      <c r="R18" s="12">
        <v>49</v>
      </c>
      <c r="S18" s="12">
        <v>188</v>
      </c>
      <c r="T18" s="12">
        <v>94</v>
      </c>
      <c r="U18" s="12">
        <v>22</v>
      </c>
      <c r="V18" s="12">
        <v>103</v>
      </c>
      <c r="W18" s="12">
        <v>48</v>
      </c>
      <c r="X18" s="12">
        <v>9</v>
      </c>
      <c r="Y18" s="12">
        <v>55</v>
      </c>
      <c r="Z18" s="12">
        <v>32</v>
      </c>
      <c r="AA18" s="12">
        <v>253</v>
      </c>
      <c r="AB18" s="12">
        <v>204</v>
      </c>
      <c r="AC18" s="12">
        <v>159</v>
      </c>
      <c r="AD18" s="12">
        <v>129</v>
      </c>
      <c r="AE18" s="12">
        <v>33</v>
      </c>
      <c r="AF18" s="12">
        <v>9</v>
      </c>
    </row>
    <row r="19" spans="1:32">
      <c r="A19" s="19"/>
      <c r="B19" s="13" t="s">
        <v>1233</v>
      </c>
      <c r="C19" s="14">
        <v>0.06</v>
      </c>
      <c r="D19" s="14">
        <v>0.04</v>
      </c>
      <c r="E19" s="14">
        <v>0.19</v>
      </c>
      <c r="F19" s="14">
        <v>0.22</v>
      </c>
      <c r="G19" s="14">
        <v>0.03</v>
      </c>
      <c r="H19" s="14">
        <v>0.01</v>
      </c>
      <c r="I19" s="14">
        <v>0.02</v>
      </c>
      <c r="J19" s="14">
        <v>0.04</v>
      </c>
      <c r="K19" s="14">
        <v>0.12</v>
      </c>
      <c r="L19" s="14">
        <v>0.06</v>
      </c>
      <c r="M19" s="14">
        <v>0.14000000000000001</v>
      </c>
      <c r="N19" s="14">
        <v>0.08</v>
      </c>
      <c r="O19" s="14">
        <v>0.03</v>
      </c>
      <c r="P19" s="14">
        <v>0.13</v>
      </c>
      <c r="Q19" s="14">
        <v>0.05</v>
      </c>
      <c r="R19" s="14">
        <v>0.1</v>
      </c>
      <c r="S19" s="14">
        <v>0.19</v>
      </c>
      <c r="T19" s="14">
        <v>0.09</v>
      </c>
      <c r="U19" s="14">
        <v>0.04</v>
      </c>
      <c r="V19" s="14">
        <v>0.1</v>
      </c>
      <c r="W19" s="14">
        <v>0.1</v>
      </c>
      <c r="X19" s="14">
        <v>0.01</v>
      </c>
      <c r="Y19" s="14">
        <v>0.06</v>
      </c>
      <c r="Z19" s="14">
        <v>0.03</v>
      </c>
      <c r="AA19" s="14">
        <v>0.24</v>
      </c>
      <c r="AB19" s="14">
        <v>0.2</v>
      </c>
      <c r="AC19" s="14">
        <v>0.16</v>
      </c>
      <c r="AD19" s="14">
        <v>0.13</v>
      </c>
      <c r="AE19" s="14">
        <v>0.03</v>
      </c>
      <c r="AF19" s="14">
        <v>0.01</v>
      </c>
    </row>
    <row r="20" spans="1:32">
      <c r="A20" s="19"/>
      <c r="B20" s="11" t="s">
        <v>386</v>
      </c>
      <c r="C20" s="12">
        <v>1158</v>
      </c>
      <c r="D20" s="12">
        <v>13</v>
      </c>
      <c r="E20" s="12">
        <v>128</v>
      </c>
      <c r="F20" s="12">
        <v>49</v>
      </c>
      <c r="G20" s="12">
        <v>31</v>
      </c>
      <c r="H20" s="12">
        <v>36</v>
      </c>
      <c r="I20" s="12">
        <v>40</v>
      </c>
      <c r="J20" s="12">
        <v>4</v>
      </c>
      <c r="K20" s="12">
        <v>100</v>
      </c>
      <c r="L20" s="12">
        <v>63</v>
      </c>
      <c r="M20" s="12">
        <v>45</v>
      </c>
      <c r="N20" s="12">
        <v>47</v>
      </c>
      <c r="O20" s="12">
        <v>70</v>
      </c>
      <c r="P20" s="12">
        <v>39</v>
      </c>
      <c r="Q20" s="12">
        <v>29</v>
      </c>
      <c r="R20" s="12">
        <v>41</v>
      </c>
      <c r="S20" s="12">
        <v>106</v>
      </c>
      <c r="T20" s="12">
        <v>80</v>
      </c>
      <c r="U20" s="12">
        <v>34</v>
      </c>
      <c r="V20" s="12">
        <v>30</v>
      </c>
      <c r="W20" s="12">
        <v>42</v>
      </c>
      <c r="X20" s="12">
        <v>8</v>
      </c>
      <c r="Y20" s="12">
        <v>40</v>
      </c>
      <c r="Z20" s="12">
        <v>59</v>
      </c>
      <c r="AA20" s="12">
        <v>87</v>
      </c>
      <c r="AB20" s="12">
        <v>61</v>
      </c>
      <c r="AC20" s="12">
        <v>38</v>
      </c>
      <c r="AD20" s="12">
        <v>43</v>
      </c>
      <c r="AE20" s="12">
        <v>29</v>
      </c>
      <c r="AF20" s="12">
        <v>17</v>
      </c>
    </row>
    <row r="21" spans="1:32">
      <c r="A21" s="19"/>
      <c r="B21" s="13" t="s">
        <v>399</v>
      </c>
      <c r="C21" s="14">
        <v>0.05</v>
      </c>
      <c r="D21" s="14">
        <v>0.01</v>
      </c>
      <c r="E21" s="14">
        <v>0.12</v>
      </c>
      <c r="F21" s="14">
        <v>0.04</v>
      </c>
      <c r="G21" s="14">
        <v>0.03</v>
      </c>
      <c r="H21" s="14">
        <v>0.03</v>
      </c>
      <c r="I21" s="14">
        <v>0.03</v>
      </c>
      <c r="J21" s="14">
        <v>0.01</v>
      </c>
      <c r="K21" s="14">
        <v>0.1</v>
      </c>
      <c r="L21" s="14">
        <v>0.06</v>
      </c>
      <c r="M21" s="14">
        <v>0.05</v>
      </c>
      <c r="N21" s="14">
        <v>0.05</v>
      </c>
      <c r="O21" s="14">
        <v>7.0000000000000007E-2</v>
      </c>
      <c r="P21" s="14">
        <v>0.04</v>
      </c>
      <c r="Q21" s="14">
        <v>0.03</v>
      </c>
      <c r="R21" s="14">
        <v>0.08</v>
      </c>
      <c r="S21" s="14">
        <v>0.11</v>
      </c>
      <c r="T21" s="14">
        <v>0.08</v>
      </c>
      <c r="U21" s="14">
        <v>7.0000000000000007E-2</v>
      </c>
      <c r="V21" s="14">
        <v>0.03</v>
      </c>
      <c r="W21" s="14">
        <v>0.08</v>
      </c>
      <c r="X21" s="14">
        <v>0.01</v>
      </c>
      <c r="Y21" s="14">
        <v>0.04</v>
      </c>
      <c r="Z21" s="14">
        <v>0.06</v>
      </c>
      <c r="AA21" s="14">
        <v>0.08</v>
      </c>
      <c r="AB21" s="14">
        <v>0.06</v>
      </c>
      <c r="AC21" s="14">
        <v>0.04</v>
      </c>
      <c r="AD21" s="14">
        <v>0.04</v>
      </c>
      <c r="AE21" s="14">
        <v>0.03</v>
      </c>
      <c r="AF21" s="14">
        <v>0.02</v>
      </c>
    </row>
    <row r="22" spans="1:32">
      <c r="A22" s="19"/>
      <c r="B22" s="11" t="s">
        <v>678</v>
      </c>
      <c r="C22" s="12">
        <v>18343</v>
      </c>
      <c r="D22" s="12">
        <v>815</v>
      </c>
      <c r="E22" s="12">
        <v>376</v>
      </c>
      <c r="F22" s="12">
        <v>474</v>
      </c>
      <c r="G22" s="12">
        <v>806</v>
      </c>
      <c r="H22" s="12">
        <v>970</v>
      </c>
      <c r="I22" s="12">
        <v>1193</v>
      </c>
      <c r="J22" s="12">
        <v>223</v>
      </c>
      <c r="K22" s="12">
        <v>438</v>
      </c>
      <c r="L22" s="12">
        <v>710</v>
      </c>
      <c r="M22" s="12">
        <v>450</v>
      </c>
      <c r="N22" s="12">
        <v>732</v>
      </c>
      <c r="O22" s="12">
        <v>799</v>
      </c>
      <c r="P22" s="12">
        <v>424</v>
      </c>
      <c r="Q22" s="12">
        <v>762</v>
      </c>
      <c r="R22" s="12">
        <v>290</v>
      </c>
      <c r="S22" s="12">
        <v>384</v>
      </c>
      <c r="T22" s="12">
        <v>600</v>
      </c>
      <c r="U22" s="12">
        <v>364</v>
      </c>
      <c r="V22" s="12">
        <v>489</v>
      </c>
      <c r="W22" s="12">
        <v>276</v>
      </c>
      <c r="X22" s="12">
        <v>900</v>
      </c>
      <c r="Y22" s="12">
        <v>748</v>
      </c>
      <c r="Z22" s="12">
        <v>600</v>
      </c>
      <c r="AA22" s="12">
        <v>418</v>
      </c>
      <c r="AB22" s="12">
        <v>365</v>
      </c>
      <c r="AC22" s="12">
        <v>518</v>
      </c>
      <c r="AD22" s="12">
        <v>540</v>
      </c>
      <c r="AE22" s="12">
        <v>709</v>
      </c>
      <c r="AF22" s="12">
        <v>928</v>
      </c>
    </row>
    <row r="23" spans="1:32">
      <c r="A23" s="19"/>
      <c r="B23" s="13" t="s">
        <v>679</v>
      </c>
      <c r="C23" s="14">
        <v>0.69000000000000006</v>
      </c>
      <c r="D23" s="14">
        <v>0.8</v>
      </c>
      <c r="E23" s="14">
        <v>0.36</v>
      </c>
      <c r="F23" s="14">
        <v>0.45</v>
      </c>
      <c r="G23" s="14">
        <v>0.79</v>
      </c>
      <c r="H23" s="14">
        <v>0.79</v>
      </c>
      <c r="I23" s="14">
        <v>0.78</v>
      </c>
      <c r="J23" s="14">
        <v>0.75</v>
      </c>
      <c r="K23" s="14">
        <v>0.44</v>
      </c>
      <c r="L23" s="14">
        <v>0.70000000000000007</v>
      </c>
      <c r="M23" s="14">
        <v>0.45</v>
      </c>
      <c r="N23" s="14">
        <v>0.72</v>
      </c>
      <c r="O23" s="14">
        <v>0.8</v>
      </c>
      <c r="P23" s="14">
        <v>0.42</v>
      </c>
      <c r="Q23" s="14">
        <v>0.74</v>
      </c>
      <c r="R23" s="14">
        <v>0.57999999999999996</v>
      </c>
      <c r="S23" s="14">
        <v>0.38</v>
      </c>
      <c r="T23" s="14">
        <v>0.59</v>
      </c>
      <c r="U23" s="14">
        <v>0.72</v>
      </c>
      <c r="V23" s="14">
        <v>0.48</v>
      </c>
      <c r="W23" s="14">
        <v>0.55000000000000004</v>
      </c>
      <c r="X23" s="14">
        <v>0.89</v>
      </c>
      <c r="Y23" s="14">
        <v>0.74</v>
      </c>
      <c r="Z23" s="14">
        <v>0.59</v>
      </c>
      <c r="AA23" s="14">
        <v>0.41</v>
      </c>
      <c r="AB23" s="14">
        <v>0.35</v>
      </c>
      <c r="AC23" s="14">
        <v>0.51</v>
      </c>
      <c r="AD23" s="14">
        <v>0.54</v>
      </c>
      <c r="AE23" s="14">
        <v>0.71</v>
      </c>
      <c r="AF23" s="14">
        <v>0.9</v>
      </c>
    </row>
    <row r="24" spans="1:32">
      <c r="A24" s="19"/>
      <c r="B24" s="11" t="s">
        <v>846</v>
      </c>
      <c r="C24" s="12">
        <v>6953</v>
      </c>
      <c r="D24" s="12">
        <v>193</v>
      </c>
      <c r="E24" s="12">
        <v>543</v>
      </c>
      <c r="F24" s="12">
        <v>541</v>
      </c>
      <c r="G24" s="12">
        <v>179</v>
      </c>
      <c r="H24" s="12">
        <v>224</v>
      </c>
      <c r="I24" s="12">
        <v>295</v>
      </c>
      <c r="J24" s="12">
        <v>71</v>
      </c>
      <c r="K24" s="12">
        <v>469</v>
      </c>
      <c r="L24" s="12">
        <v>233</v>
      </c>
      <c r="M24" s="12">
        <v>511</v>
      </c>
      <c r="N24" s="12">
        <v>232</v>
      </c>
      <c r="O24" s="12">
        <v>136</v>
      </c>
      <c r="P24" s="12">
        <v>540</v>
      </c>
      <c r="Q24" s="12">
        <v>240</v>
      </c>
      <c r="R24" s="12">
        <v>169</v>
      </c>
      <c r="S24" s="12">
        <v>514</v>
      </c>
      <c r="T24" s="12">
        <v>344</v>
      </c>
      <c r="U24" s="12">
        <v>109</v>
      </c>
      <c r="V24" s="12">
        <v>507</v>
      </c>
      <c r="W24" s="12">
        <v>183</v>
      </c>
      <c r="X24" s="12">
        <v>102</v>
      </c>
      <c r="Y24" s="12">
        <v>214</v>
      </c>
      <c r="Z24" s="12">
        <v>356</v>
      </c>
      <c r="AA24" s="12">
        <v>532</v>
      </c>
      <c r="AB24" s="12">
        <v>616</v>
      </c>
      <c r="AC24" s="12">
        <v>450</v>
      </c>
      <c r="AD24" s="12">
        <v>420</v>
      </c>
      <c r="AE24" s="12">
        <v>262</v>
      </c>
      <c r="AF24" s="12">
        <v>86</v>
      </c>
    </row>
    <row r="25" spans="1:32">
      <c r="A25" s="19"/>
      <c r="B25" s="13" t="s">
        <v>847</v>
      </c>
      <c r="C25" s="14">
        <v>0.26</v>
      </c>
      <c r="D25" s="14">
        <v>0.19</v>
      </c>
      <c r="E25" s="14">
        <v>0.52</v>
      </c>
      <c r="F25" s="14">
        <v>0.51</v>
      </c>
      <c r="G25" s="14">
        <v>0.18</v>
      </c>
      <c r="H25" s="14">
        <v>0.18</v>
      </c>
      <c r="I25" s="14">
        <v>0.19</v>
      </c>
      <c r="J25" s="14">
        <v>0.24</v>
      </c>
      <c r="K25" s="14">
        <v>0.46</v>
      </c>
      <c r="L25" s="14">
        <v>0.24</v>
      </c>
      <c r="M25" s="14">
        <v>0.5</v>
      </c>
      <c r="N25" s="14">
        <v>0.23</v>
      </c>
      <c r="O25" s="14">
        <v>0.13</v>
      </c>
      <c r="P25" s="14">
        <v>0.54</v>
      </c>
      <c r="Q25" s="14">
        <v>0.23</v>
      </c>
      <c r="R25" s="14">
        <v>0.34</v>
      </c>
      <c r="S25" s="14">
        <v>0.51</v>
      </c>
      <c r="T25" s="14">
        <v>0.33</v>
      </c>
      <c r="U25" s="14">
        <v>0.21</v>
      </c>
      <c r="V25" s="14">
        <v>0.49</v>
      </c>
      <c r="W25" s="14">
        <v>0.37</v>
      </c>
      <c r="X25" s="14">
        <v>0.1</v>
      </c>
      <c r="Y25" s="14">
        <v>0.22</v>
      </c>
      <c r="Z25" s="14">
        <v>0.35</v>
      </c>
      <c r="AA25" s="14">
        <v>0.51</v>
      </c>
      <c r="AB25" s="14">
        <v>0.59</v>
      </c>
      <c r="AC25" s="14">
        <v>0.45</v>
      </c>
      <c r="AD25" s="14">
        <v>0.42</v>
      </c>
      <c r="AE25" s="14">
        <v>0.26</v>
      </c>
      <c r="AF25" s="14">
        <v>0.08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1234</v>
      </c>
      <c r="C3" s="17"/>
      <c r="D3" s="17"/>
      <c r="E3" s="17"/>
      <c r="F3" s="17"/>
      <c r="H3" s="17" t="s">
        <v>1235</v>
      </c>
      <c r="I3" s="17"/>
      <c r="J3" s="17"/>
      <c r="K3" s="17"/>
      <c r="L3" s="17"/>
    </row>
    <row r="4" spans="1:32" ht="27" customHeight="1">
      <c r="B4" s="17" t="s">
        <v>1236</v>
      </c>
      <c r="C4" s="17"/>
      <c r="D4" s="17"/>
      <c r="E4" s="17"/>
      <c r="F4" s="17"/>
      <c r="H4" s="17" t="s">
        <v>1237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HYPERLINK("#Content!A129","&lt;&lt;Back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1238</v>
      </c>
      <c r="C12" s="12">
        <v>7825</v>
      </c>
      <c r="D12" s="12">
        <v>332</v>
      </c>
      <c r="E12" s="12">
        <v>43</v>
      </c>
      <c r="F12" s="12">
        <v>304</v>
      </c>
      <c r="G12" s="12">
        <v>516</v>
      </c>
      <c r="H12" s="12">
        <v>537</v>
      </c>
      <c r="I12" s="12">
        <v>632</v>
      </c>
      <c r="J12" s="12">
        <v>95</v>
      </c>
      <c r="K12" s="12">
        <v>186</v>
      </c>
      <c r="L12" s="12">
        <v>230</v>
      </c>
      <c r="M12" s="12">
        <v>93</v>
      </c>
      <c r="N12" s="12">
        <v>108</v>
      </c>
      <c r="O12" s="12">
        <v>440</v>
      </c>
      <c r="P12" s="12">
        <v>144</v>
      </c>
      <c r="Q12" s="12">
        <v>268</v>
      </c>
      <c r="R12" s="12">
        <v>48</v>
      </c>
      <c r="S12" s="12">
        <v>226</v>
      </c>
      <c r="T12" s="12">
        <v>148</v>
      </c>
      <c r="U12" s="12">
        <v>121</v>
      </c>
      <c r="V12" s="12">
        <v>229</v>
      </c>
      <c r="W12" s="12">
        <v>74</v>
      </c>
      <c r="X12" s="12">
        <v>437</v>
      </c>
      <c r="Y12" s="12">
        <v>487</v>
      </c>
      <c r="Z12" s="12">
        <v>146</v>
      </c>
      <c r="AA12" s="12">
        <v>106</v>
      </c>
      <c r="AB12" s="12">
        <v>158</v>
      </c>
      <c r="AC12" s="12">
        <v>64</v>
      </c>
      <c r="AD12" s="12">
        <v>303</v>
      </c>
      <c r="AE12" s="12">
        <v>411</v>
      </c>
      <c r="AF12" s="12">
        <v>610</v>
      </c>
    </row>
    <row r="13" spans="1:32">
      <c r="A13" s="19"/>
      <c r="B13" s="13" t="s">
        <v>1227</v>
      </c>
      <c r="C13" s="14">
        <v>0.3</v>
      </c>
      <c r="D13" s="14">
        <v>0.33</v>
      </c>
      <c r="E13" s="14">
        <v>0.04</v>
      </c>
      <c r="F13" s="14">
        <v>0.28000000000000003</v>
      </c>
      <c r="G13" s="14">
        <v>0.51</v>
      </c>
      <c r="H13" s="14">
        <v>0.44</v>
      </c>
      <c r="I13" s="14">
        <v>0.41</v>
      </c>
      <c r="J13" s="14">
        <v>0.32</v>
      </c>
      <c r="K13" s="14">
        <v>0.19</v>
      </c>
      <c r="L13" s="14">
        <v>0.23</v>
      </c>
      <c r="M13" s="14">
        <v>0.09</v>
      </c>
      <c r="N13" s="14">
        <v>0.11</v>
      </c>
      <c r="O13" s="14">
        <v>0.44</v>
      </c>
      <c r="P13" s="14">
        <v>0.14000000000000001</v>
      </c>
      <c r="Q13" s="14">
        <v>0.26</v>
      </c>
      <c r="R13" s="14">
        <v>0.09</v>
      </c>
      <c r="S13" s="14">
        <v>0.22</v>
      </c>
      <c r="T13" s="14">
        <v>0.15</v>
      </c>
      <c r="U13" s="14">
        <v>0.24</v>
      </c>
      <c r="V13" s="14">
        <v>0.22</v>
      </c>
      <c r="W13" s="14">
        <v>0.15</v>
      </c>
      <c r="X13" s="14">
        <v>0.43</v>
      </c>
      <c r="Y13" s="14">
        <v>0.49</v>
      </c>
      <c r="Z13" s="14">
        <v>0.14000000000000001</v>
      </c>
      <c r="AA13" s="14">
        <v>0.1</v>
      </c>
      <c r="AB13" s="14">
        <v>0.15</v>
      </c>
      <c r="AC13" s="14">
        <v>0.06</v>
      </c>
      <c r="AD13" s="14">
        <v>0.3</v>
      </c>
      <c r="AE13" s="14">
        <v>0.41</v>
      </c>
      <c r="AF13" s="14">
        <v>0.59</v>
      </c>
    </row>
    <row r="14" spans="1:32">
      <c r="A14" s="19"/>
      <c r="B14" s="11" t="s">
        <v>1239</v>
      </c>
      <c r="C14" s="12">
        <v>9407</v>
      </c>
      <c r="D14" s="12">
        <v>419</v>
      </c>
      <c r="E14" s="12">
        <v>250</v>
      </c>
      <c r="F14" s="12">
        <v>369</v>
      </c>
      <c r="G14" s="12">
        <v>265</v>
      </c>
      <c r="H14" s="12">
        <v>386</v>
      </c>
      <c r="I14" s="12">
        <v>515</v>
      </c>
      <c r="J14" s="12">
        <v>129</v>
      </c>
      <c r="K14" s="12">
        <v>424</v>
      </c>
      <c r="L14" s="12">
        <v>340</v>
      </c>
      <c r="M14" s="12">
        <v>227</v>
      </c>
      <c r="N14" s="12">
        <v>240</v>
      </c>
      <c r="O14" s="12">
        <v>353</v>
      </c>
      <c r="P14" s="12">
        <v>379</v>
      </c>
      <c r="Q14" s="12">
        <v>408</v>
      </c>
      <c r="R14" s="12">
        <v>78</v>
      </c>
      <c r="S14" s="12">
        <v>409</v>
      </c>
      <c r="T14" s="12">
        <v>485</v>
      </c>
      <c r="U14" s="12">
        <v>250</v>
      </c>
      <c r="V14" s="12">
        <v>450</v>
      </c>
      <c r="W14" s="12">
        <v>178</v>
      </c>
      <c r="X14" s="12">
        <v>331</v>
      </c>
      <c r="Y14" s="12">
        <v>380</v>
      </c>
      <c r="Z14" s="12">
        <v>566</v>
      </c>
      <c r="AA14" s="12">
        <v>381</v>
      </c>
      <c r="AB14" s="12">
        <v>385</v>
      </c>
      <c r="AC14" s="12">
        <v>254</v>
      </c>
      <c r="AD14" s="12">
        <v>411</v>
      </c>
      <c r="AE14" s="12">
        <v>288</v>
      </c>
      <c r="AF14" s="12">
        <v>263</v>
      </c>
    </row>
    <row r="15" spans="1:32">
      <c r="A15" s="19"/>
      <c r="B15" s="13" t="s">
        <v>1240</v>
      </c>
      <c r="C15" s="14">
        <v>0.36</v>
      </c>
      <c r="D15" s="14">
        <v>0.41</v>
      </c>
      <c r="E15" s="14">
        <v>0.24</v>
      </c>
      <c r="F15" s="14">
        <v>0.35</v>
      </c>
      <c r="G15" s="14">
        <v>0.26</v>
      </c>
      <c r="H15" s="14">
        <v>0.31</v>
      </c>
      <c r="I15" s="14">
        <v>0.34</v>
      </c>
      <c r="J15" s="14">
        <v>0.43</v>
      </c>
      <c r="K15" s="14">
        <v>0.42</v>
      </c>
      <c r="L15" s="14">
        <v>0.34</v>
      </c>
      <c r="M15" s="14">
        <v>0.23</v>
      </c>
      <c r="N15" s="14">
        <v>0.24</v>
      </c>
      <c r="O15" s="14">
        <v>0.35</v>
      </c>
      <c r="P15" s="14">
        <v>0.38</v>
      </c>
      <c r="Q15" s="14">
        <v>0.4</v>
      </c>
      <c r="R15" s="14">
        <v>0.16</v>
      </c>
      <c r="S15" s="14">
        <v>0.41</v>
      </c>
      <c r="T15" s="14">
        <v>0.47</v>
      </c>
      <c r="U15" s="14">
        <v>0.49</v>
      </c>
      <c r="V15" s="14">
        <v>0.44</v>
      </c>
      <c r="W15" s="14">
        <v>0.35</v>
      </c>
      <c r="X15" s="14">
        <v>0.33</v>
      </c>
      <c r="Y15" s="14">
        <v>0.38</v>
      </c>
      <c r="Z15" s="14">
        <v>0.56000000000000005</v>
      </c>
      <c r="AA15" s="14">
        <v>0.37</v>
      </c>
      <c r="AB15" s="14">
        <v>0.37</v>
      </c>
      <c r="AC15" s="14">
        <v>0.25</v>
      </c>
      <c r="AD15" s="14">
        <v>0.41</v>
      </c>
      <c r="AE15" s="14">
        <v>0.28999999999999998</v>
      </c>
      <c r="AF15" s="14">
        <v>0.25</v>
      </c>
    </row>
    <row r="16" spans="1:32">
      <c r="A16" s="19"/>
      <c r="B16" s="11" t="s">
        <v>1241</v>
      </c>
      <c r="C16" s="12">
        <v>4322</v>
      </c>
      <c r="D16" s="12">
        <v>172</v>
      </c>
      <c r="E16" s="12">
        <v>271</v>
      </c>
      <c r="F16" s="12">
        <v>225</v>
      </c>
      <c r="G16" s="12">
        <v>98</v>
      </c>
      <c r="H16" s="12">
        <v>118</v>
      </c>
      <c r="I16" s="12">
        <v>169</v>
      </c>
      <c r="J16" s="12">
        <v>51</v>
      </c>
      <c r="K16" s="12">
        <v>196</v>
      </c>
      <c r="L16" s="12">
        <v>181</v>
      </c>
      <c r="M16" s="12">
        <v>296</v>
      </c>
      <c r="N16" s="12">
        <v>197</v>
      </c>
      <c r="O16" s="12">
        <v>90</v>
      </c>
      <c r="P16" s="12">
        <v>270</v>
      </c>
      <c r="Q16" s="12">
        <v>227</v>
      </c>
      <c r="R16" s="12">
        <v>66</v>
      </c>
      <c r="S16" s="12">
        <v>90</v>
      </c>
      <c r="T16" s="12">
        <v>125</v>
      </c>
      <c r="U16" s="12">
        <v>67</v>
      </c>
      <c r="V16" s="12">
        <v>209</v>
      </c>
      <c r="W16" s="12">
        <v>128</v>
      </c>
      <c r="X16" s="12">
        <v>150</v>
      </c>
      <c r="Y16" s="12">
        <v>53</v>
      </c>
      <c r="Z16" s="12">
        <v>187</v>
      </c>
      <c r="AA16" s="12">
        <v>207</v>
      </c>
      <c r="AB16" s="12">
        <v>288</v>
      </c>
      <c r="AC16" s="12">
        <v>281</v>
      </c>
      <c r="AD16" s="12">
        <v>185</v>
      </c>
      <c r="AE16" s="12">
        <v>140</v>
      </c>
      <c r="AF16" s="12">
        <v>92</v>
      </c>
    </row>
    <row r="17" spans="1:32">
      <c r="A17" s="19"/>
      <c r="B17" s="13" t="s">
        <v>1242</v>
      </c>
      <c r="C17" s="14">
        <v>0.16</v>
      </c>
      <c r="D17" s="14">
        <v>0.17</v>
      </c>
      <c r="E17" s="14">
        <v>0.26</v>
      </c>
      <c r="F17" s="14">
        <v>0.21</v>
      </c>
      <c r="G17" s="14">
        <v>0.09</v>
      </c>
      <c r="H17" s="14">
        <v>0.1</v>
      </c>
      <c r="I17" s="14">
        <v>0.11</v>
      </c>
      <c r="J17" s="14">
        <v>0.17</v>
      </c>
      <c r="K17" s="14">
        <v>0.19</v>
      </c>
      <c r="L17" s="14">
        <v>0.18</v>
      </c>
      <c r="M17" s="14">
        <v>0.28999999999999998</v>
      </c>
      <c r="N17" s="14">
        <v>0.19</v>
      </c>
      <c r="O17" s="14">
        <v>0.09</v>
      </c>
      <c r="P17" s="14">
        <v>0.27</v>
      </c>
      <c r="Q17" s="14">
        <v>0.22</v>
      </c>
      <c r="R17" s="14">
        <v>0.13</v>
      </c>
      <c r="S17" s="14">
        <v>0.09</v>
      </c>
      <c r="T17" s="14">
        <v>0.12</v>
      </c>
      <c r="U17" s="14">
        <v>0.13</v>
      </c>
      <c r="V17" s="14">
        <v>0.2</v>
      </c>
      <c r="W17" s="14">
        <v>0.26</v>
      </c>
      <c r="X17" s="14">
        <v>0.15</v>
      </c>
      <c r="Y17" s="14">
        <v>0.05</v>
      </c>
      <c r="Z17" s="14">
        <v>0.18</v>
      </c>
      <c r="AA17" s="14">
        <v>0.2</v>
      </c>
      <c r="AB17" s="14">
        <v>0.28000000000000003</v>
      </c>
      <c r="AC17" s="14">
        <v>0.28000000000000003</v>
      </c>
      <c r="AD17" s="14">
        <v>0.18</v>
      </c>
      <c r="AE17" s="14">
        <v>0.14000000000000001</v>
      </c>
      <c r="AF17" s="14">
        <v>0.09</v>
      </c>
    </row>
    <row r="18" spans="1:32">
      <c r="A18" s="19"/>
      <c r="B18" s="11" t="s">
        <v>1243</v>
      </c>
      <c r="C18" s="12">
        <v>1627</v>
      </c>
      <c r="D18" s="12">
        <v>62</v>
      </c>
      <c r="E18" s="12">
        <v>181</v>
      </c>
      <c r="F18" s="12">
        <v>74</v>
      </c>
      <c r="G18" s="12">
        <v>47</v>
      </c>
      <c r="H18" s="12">
        <v>26</v>
      </c>
      <c r="I18" s="12">
        <v>30</v>
      </c>
      <c r="J18" s="12">
        <v>4</v>
      </c>
      <c r="K18" s="12">
        <v>53</v>
      </c>
      <c r="L18" s="12">
        <v>70</v>
      </c>
      <c r="M18" s="12">
        <v>136</v>
      </c>
      <c r="N18" s="12">
        <v>202</v>
      </c>
      <c r="O18" s="12">
        <v>17</v>
      </c>
      <c r="P18" s="12">
        <v>90</v>
      </c>
      <c r="Q18" s="12">
        <v>54</v>
      </c>
      <c r="R18" s="12">
        <v>109</v>
      </c>
      <c r="S18" s="12">
        <v>30</v>
      </c>
      <c r="T18" s="12">
        <v>42</v>
      </c>
      <c r="U18" s="12">
        <v>15</v>
      </c>
      <c r="V18" s="12">
        <v>61</v>
      </c>
      <c r="W18" s="12">
        <v>57</v>
      </c>
      <c r="X18" s="12">
        <v>36</v>
      </c>
      <c r="Y18" s="12">
        <v>15</v>
      </c>
      <c r="Z18" s="12">
        <v>40</v>
      </c>
      <c r="AA18" s="12">
        <v>55</v>
      </c>
      <c r="AB18" s="12">
        <v>102</v>
      </c>
      <c r="AC18" s="12">
        <v>217</v>
      </c>
      <c r="AD18" s="12">
        <v>27</v>
      </c>
      <c r="AE18" s="12">
        <v>50</v>
      </c>
      <c r="AF18" s="12">
        <v>27</v>
      </c>
    </row>
    <row r="19" spans="1:32">
      <c r="A19" s="19"/>
      <c r="B19" s="13" t="s">
        <v>1244</v>
      </c>
      <c r="C19" s="14">
        <v>0.06</v>
      </c>
      <c r="D19" s="14">
        <v>0.06</v>
      </c>
      <c r="E19" s="14">
        <v>0.17</v>
      </c>
      <c r="F19" s="14">
        <v>7.0000000000000007E-2</v>
      </c>
      <c r="G19" s="14">
        <v>0.05</v>
      </c>
      <c r="H19" s="14">
        <v>0.02</v>
      </c>
      <c r="I19" s="14">
        <v>0.02</v>
      </c>
      <c r="J19" s="14">
        <v>0.02</v>
      </c>
      <c r="K19" s="14">
        <v>0.05</v>
      </c>
      <c r="L19" s="14">
        <v>7.0000000000000007E-2</v>
      </c>
      <c r="M19" s="14">
        <v>0.14000000000000001</v>
      </c>
      <c r="N19" s="14">
        <v>0.2</v>
      </c>
      <c r="O19" s="14">
        <v>0.02</v>
      </c>
      <c r="P19" s="14">
        <v>0.09</v>
      </c>
      <c r="Q19" s="14">
        <v>0.05</v>
      </c>
      <c r="R19" s="14">
        <v>0.22</v>
      </c>
      <c r="S19" s="14">
        <v>0.03</v>
      </c>
      <c r="T19" s="14">
        <v>0.04</v>
      </c>
      <c r="U19" s="14">
        <v>0.03</v>
      </c>
      <c r="V19" s="14">
        <v>0.06</v>
      </c>
      <c r="W19" s="14">
        <v>0.11</v>
      </c>
      <c r="X19" s="14">
        <v>0.03</v>
      </c>
      <c r="Y19" s="14">
        <v>0.01</v>
      </c>
      <c r="Z19" s="14">
        <v>0.04</v>
      </c>
      <c r="AA19" s="14">
        <v>0.05</v>
      </c>
      <c r="AB19" s="14">
        <v>0.1</v>
      </c>
      <c r="AC19" s="14">
        <v>0.22</v>
      </c>
      <c r="AD19" s="14">
        <v>0.03</v>
      </c>
      <c r="AE19" s="14">
        <v>0.05</v>
      </c>
      <c r="AF19" s="14">
        <v>0.03</v>
      </c>
    </row>
    <row r="20" spans="1:32">
      <c r="A20" s="19"/>
      <c r="B20" s="11" t="s">
        <v>386</v>
      </c>
      <c r="C20" s="12">
        <v>3273</v>
      </c>
      <c r="D20" s="12">
        <v>35</v>
      </c>
      <c r="E20" s="12">
        <v>301</v>
      </c>
      <c r="F20" s="12">
        <v>92</v>
      </c>
      <c r="G20" s="12">
        <v>90</v>
      </c>
      <c r="H20" s="12">
        <v>163</v>
      </c>
      <c r="I20" s="12">
        <v>180</v>
      </c>
      <c r="J20" s="12">
        <v>17</v>
      </c>
      <c r="K20" s="12">
        <v>147</v>
      </c>
      <c r="L20" s="12">
        <v>185</v>
      </c>
      <c r="M20" s="12">
        <v>255</v>
      </c>
      <c r="N20" s="12">
        <v>264</v>
      </c>
      <c r="O20" s="12">
        <v>104</v>
      </c>
      <c r="P20" s="12">
        <v>121</v>
      </c>
      <c r="Q20" s="12">
        <v>74</v>
      </c>
      <c r="R20" s="12">
        <v>200</v>
      </c>
      <c r="S20" s="12">
        <v>248</v>
      </c>
      <c r="T20" s="12">
        <v>223</v>
      </c>
      <c r="U20" s="12">
        <v>55</v>
      </c>
      <c r="V20" s="12">
        <v>78</v>
      </c>
      <c r="W20" s="12">
        <v>64</v>
      </c>
      <c r="X20" s="12">
        <v>57</v>
      </c>
      <c r="Y20" s="12">
        <v>67</v>
      </c>
      <c r="Z20" s="12">
        <v>77</v>
      </c>
      <c r="AA20" s="12">
        <v>288</v>
      </c>
      <c r="AB20" s="12">
        <v>107</v>
      </c>
      <c r="AC20" s="12">
        <v>189</v>
      </c>
      <c r="AD20" s="12">
        <v>78</v>
      </c>
      <c r="AE20" s="12">
        <v>113</v>
      </c>
      <c r="AF20" s="12">
        <v>40</v>
      </c>
    </row>
    <row r="21" spans="1:32">
      <c r="A21" s="19"/>
      <c r="B21" s="13" t="s">
        <v>399</v>
      </c>
      <c r="C21" s="14">
        <v>0.12</v>
      </c>
      <c r="D21" s="14">
        <v>0.03</v>
      </c>
      <c r="E21" s="14">
        <v>0.28999999999999998</v>
      </c>
      <c r="F21" s="14">
        <v>0.09</v>
      </c>
      <c r="G21" s="14">
        <v>0.09</v>
      </c>
      <c r="H21" s="14">
        <v>0.13</v>
      </c>
      <c r="I21" s="14">
        <v>0.12</v>
      </c>
      <c r="J21" s="14">
        <v>0.06</v>
      </c>
      <c r="K21" s="14">
        <v>0.15</v>
      </c>
      <c r="L21" s="14">
        <v>0.18</v>
      </c>
      <c r="M21" s="14">
        <v>0.25</v>
      </c>
      <c r="N21" s="14">
        <v>0.26</v>
      </c>
      <c r="O21" s="14">
        <v>0.1</v>
      </c>
      <c r="P21" s="14">
        <v>0.12</v>
      </c>
      <c r="Q21" s="14">
        <v>7.0000000000000007E-2</v>
      </c>
      <c r="R21" s="14">
        <v>0.4</v>
      </c>
      <c r="S21" s="14">
        <v>0.25</v>
      </c>
      <c r="T21" s="14">
        <v>0.22</v>
      </c>
      <c r="U21" s="14">
        <v>0.11</v>
      </c>
      <c r="V21" s="14">
        <v>0.08</v>
      </c>
      <c r="W21" s="14">
        <v>0.13</v>
      </c>
      <c r="X21" s="14">
        <v>0.06</v>
      </c>
      <c r="Y21" s="14">
        <v>7.0000000000000007E-2</v>
      </c>
      <c r="Z21" s="14">
        <v>0.08</v>
      </c>
      <c r="AA21" s="14">
        <v>0.28000000000000003</v>
      </c>
      <c r="AB21" s="14">
        <v>0.1</v>
      </c>
      <c r="AC21" s="14">
        <v>0.19</v>
      </c>
      <c r="AD21" s="14">
        <v>0.08</v>
      </c>
      <c r="AE21" s="14">
        <v>0.11</v>
      </c>
      <c r="AF21" s="14">
        <v>0.04</v>
      </c>
    </row>
    <row r="22" spans="1:32">
      <c r="A22" s="19"/>
      <c r="B22" s="11" t="s">
        <v>678</v>
      </c>
      <c r="C22" s="12">
        <v>17232</v>
      </c>
      <c r="D22" s="12">
        <v>751</v>
      </c>
      <c r="E22" s="12">
        <v>293</v>
      </c>
      <c r="F22" s="12">
        <v>673</v>
      </c>
      <c r="G22" s="12">
        <v>781</v>
      </c>
      <c r="H22" s="12">
        <v>923</v>
      </c>
      <c r="I22" s="12">
        <v>1147</v>
      </c>
      <c r="J22" s="12">
        <v>224</v>
      </c>
      <c r="K22" s="12">
        <v>610</v>
      </c>
      <c r="L22" s="12">
        <v>570</v>
      </c>
      <c r="M22" s="12">
        <v>320</v>
      </c>
      <c r="N22" s="12">
        <v>348</v>
      </c>
      <c r="O22" s="12">
        <v>793</v>
      </c>
      <c r="P22" s="12">
        <v>523</v>
      </c>
      <c r="Q22" s="12">
        <v>676</v>
      </c>
      <c r="R22" s="12">
        <v>126</v>
      </c>
      <c r="S22" s="12">
        <v>635</v>
      </c>
      <c r="T22" s="12">
        <v>633</v>
      </c>
      <c r="U22" s="12">
        <v>371</v>
      </c>
      <c r="V22" s="12">
        <v>679</v>
      </c>
      <c r="W22" s="12">
        <v>252</v>
      </c>
      <c r="X22" s="12">
        <v>768</v>
      </c>
      <c r="Y22" s="12">
        <v>867</v>
      </c>
      <c r="Z22" s="12">
        <v>712</v>
      </c>
      <c r="AA22" s="12">
        <v>487</v>
      </c>
      <c r="AB22" s="12">
        <v>543</v>
      </c>
      <c r="AC22" s="12">
        <v>318</v>
      </c>
      <c r="AD22" s="12">
        <v>714</v>
      </c>
      <c r="AE22" s="12">
        <v>699</v>
      </c>
      <c r="AF22" s="12">
        <v>873</v>
      </c>
    </row>
    <row r="23" spans="1:32">
      <c r="A23" s="19"/>
      <c r="B23" s="13" t="s">
        <v>679</v>
      </c>
      <c r="C23" s="14">
        <v>0.66</v>
      </c>
      <c r="D23" s="14">
        <v>0.74</v>
      </c>
      <c r="E23" s="14">
        <v>0.28000000000000003</v>
      </c>
      <c r="F23" s="14">
        <v>0.63</v>
      </c>
      <c r="G23" s="14">
        <v>0.77</v>
      </c>
      <c r="H23" s="14">
        <v>0.75</v>
      </c>
      <c r="I23" s="14">
        <v>0.75</v>
      </c>
      <c r="J23" s="14">
        <v>0.75</v>
      </c>
      <c r="K23" s="14">
        <v>0.61</v>
      </c>
      <c r="L23" s="14">
        <v>0.57000000000000006</v>
      </c>
      <c r="M23" s="14">
        <v>0.32</v>
      </c>
      <c r="N23" s="14">
        <v>0.35</v>
      </c>
      <c r="O23" s="14">
        <v>0.79</v>
      </c>
      <c r="P23" s="14">
        <v>0.52</v>
      </c>
      <c r="Q23" s="14">
        <v>0.66</v>
      </c>
      <c r="R23" s="14">
        <v>0.25</v>
      </c>
      <c r="S23" s="14">
        <v>0.63</v>
      </c>
      <c r="T23" s="14">
        <v>0.62</v>
      </c>
      <c r="U23" s="14">
        <v>0.73</v>
      </c>
      <c r="V23" s="14">
        <v>0.66</v>
      </c>
      <c r="W23" s="14">
        <v>0.5</v>
      </c>
      <c r="X23" s="14">
        <v>0.76</v>
      </c>
      <c r="Y23" s="14">
        <v>0.87</v>
      </c>
      <c r="Z23" s="14">
        <v>0.70000000000000007</v>
      </c>
      <c r="AA23" s="14">
        <v>0.47</v>
      </c>
      <c r="AB23" s="14">
        <v>0.52</v>
      </c>
      <c r="AC23" s="14">
        <v>0.31</v>
      </c>
      <c r="AD23" s="14">
        <v>0.71</v>
      </c>
      <c r="AE23" s="14">
        <v>0.70000000000000007</v>
      </c>
      <c r="AF23" s="14">
        <v>0.84</v>
      </c>
    </row>
    <row r="24" spans="1:32">
      <c r="A24" s="19"/>
      <c r="B24" s="11" t="s">
        <v>846</v>
      </c>
      <c r="C24" s="12">
        <v>5949</v>
      </c>
      <c r="D24" s="12">
        <v>234</v>
      </c>
      <c r="E24" s="12">
        <v>452</v>
      </c>
      <c r="F24" s="12">
        <v>299</v>
      </c>
      <c r="G24" s="12">
        <v>145</v>
      </c>
      <c r="H24" s="12">
        <v>144</v>
      </c>
      <c r="I24" s="12">
        <v>199</v>
      </c>
      <c r="J24" s="12">
        <v>55</v>
      </c>
      <c r="K24" s="12">
        <v>249</v>
      </c>
      <c r="L24" s="12">
        <v>251</v>
      </c>
      <c r="M24" s="12">
        <v>432</v>
      </c>
      <c r="N24" s="12">
        <v>399</v>
      </c>
      <c r="O24" s="12">
        <v>107</v>
      </c>
      <c r="P24" s="12">
        <v>360</v>
      </c>
      <c r="Q24" s="12">
        <v>281</v>
      </c>
      <c r="R24" s="12">
        <v>175</v>
      </c>
      <c r="S24" s="12">
        <v>120</v>
      </c>
      <c r="T24" s="12">
        <v>167</v>
      </c>
      <c r="U24" s="12">
        <v>82</v>
      </c>
      <c r="V24" s="12">
        <v>270</v>
      </c>
      <c r="W24" s="12">
        <v>185</v>
      </c>
      <c r="X24" s="12">
        <v>186</v>
      </c>
      <c r="Y24" s="12">
        <v>68</v>
      </c>
      <c r="Z24" s="12">
        <v>227</v>
      </c>
      <c r="AA24" s="12">
        <v>262</v>
      </c>
      <c r="AB24" s="12">
        <v>390</v>
      </c>
      <c r="AC24" s="12">
        <v>498</v>
      </c>
      <c r="AD24" s="12">
        <v>212</v>
      </c>
      <c r="AE24" s="12">
        <v>190</v>
      </c>
      <c r="AF24" s="12">
        <v>119</v>
      </c>
    </row>
    <row r="25" spans="1:32">
      <c r="A25" s="19"/>
      <c r="B25" s="13" t="s">
        <v>847</v>
      </c>
      <c r="C25" s="14">
        <v>0.22</v>
      </c>
      <c r="D25" s="14">
        <v>0.23</v>
      </c>
      <c r="E25" s="14">
        <v>0.43</v>
      </c>
      <c r="F25" s="14">
        <v>0.28000000000000003</v>
      </c>
      <c r="G25" s="14">
        <v>0.14000000000000001</v>
      </c>
      <c r="H25" s="14">
        <v>0.12</v>
      </c>
      <c r="I25" s="14">
        <v>0.13</v>
      </c>
      <c r="J25" s="14">
        <v>0.19</v>
      </c>
      <c r="K25" s="14">
        <v>0.24</v>
      </c>
      <c r="L25" s="14">
        <v>0.25</v>
      </c>
      <c r="M25" s="14">
        <v>0.43</v>
      </c>
      <c r="N25" s="14">
        <v>0.39</v>
      </c>
      <c r="O25" s="14">
        <v>0.11</v>
      </c>
      <c r="P25" s="14">
        <v>0.36</v>
      </c>
      <c r="Q25" s="14">
        <v>0.27</v>
      </c>
      <c r="R25" s="14">
        <v>0.35</v>
      </c>
      <c r="S25" s="14">
        <v>0.12</v>
      </c>
      <c r="T25" s="14">
        <v>0.16</v>
      </c>
      <c r="U25" s="14">
        <v>0.16</v>
      </c>
      <c r="V25" s="14">
        <v>0.26</v>
      </c>
      <c r="W25" s="14">
        <v>0.37</v>
      </c>
      <c r="X25" s="14">
        <v>0.18</v>
      </c>
      <c r="Y25" s="14">
        <v>0.06</v>
      </c>
      <c r="Z25" s="14">
        <v>0.22</v>
      </c>
      <c r="AA25" s="14">
        <v>0.25</v>
      </c>
      <c r="AB25" s="14">
        <v>0.38</v>
      </c>
      <c r="AC25" s="14">
        <v>0.5</v>
      </c>
      <c r="AD25" s="14">
        <v>0.21</v>
      </c>
      <c r="AE25" s="14">
        <v>0.19</v>
      </c>
      <c r="AF25" s="14">
        <v>0.12</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1245</v>
      </c>
      <c r="C3" s="17"/>
      <c r="D3" s="17"/>
      <c r="E3" s="17"/>
      <c r="F3" s="17"/>
      <c r="H3" s="17" t="s">
        <v>1246</v>
      </c>
      <c r="I3" s="17"/>
      <c r="J3" s="17"/>
      <c r="K3" s="17"/>
      <c r="L3" s="17"/>
    </row>
    <row r="4" spans="1:32" ht="27" customHeight="1">
      <c r="B4" s="17" t="s">
        <v>1247</v>
      </c>
      <c r="C4" s="17"/>
      <c r="D4" s="17"/>
      <c r="E4" s="17"/>
      <c r="F4" s="17"/>
      <c r="H4" s="17" t="s">
        <v>1248</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1238</v>
      </c>
      <c r="C12" s="12">
        <v>5689</v>
      </c>
      <c r="D12" s="12">
        <v>264</v>
      </c>
      <c r="E12" s="12">
        <v>38</v>
      </c>
      <c r="F12" s="12">
        <v>291</v>
      </c>
      <c r="G12" s="12">
        <v>172</v>
      </c>
      <c r="H12" s="12">
        <v>512</v>
      </c>
      <c r="I12" s="12">
        <v>587</v>
      </c>
      <c r="J12" s="12">
        <v>75</v>
      </c>
      <c r="K12" s="12">
        <v>82</v>
      </c>
      <c r="L12" s="12">
        <v>90</v>
      </c>
      <c r="M12" s="12">
        <v>61</v>
      </c>
      <c r="N12" s="12">
        <v>62</v>
      </c>
      <c r="O12" s="12">
        <v>290</v>
      </c>
      <c r="P12" s="12">
        <v>121</v>
      </c>
      <c r="Q12" s="12">
        <v>185</v>
      </c>
      <c r="R12" s="12">
        <v>17</v>
      </c>
      <c r="S12" s="12">
        <v>113</v>
      </c>
      <c r="T12" s="12">
        <v>89</v>
      </c>
      <c r="U12" s="12">
        <v>54</v>
      </c>
      <c r="V12" s="12">
        <v>203</v>
      </c>
      <c r="W12" s="12">
        <v>37</v>
      </c>
      <c r="X12" s="12">
        <v>236</v>
      </c>
      <c r="Y12" s="12">
        <v>450</v>
      </c>
      <c r="Z12" s="12">
        <v>146</v>
      </c>
      <c r="AA12" s="12">
        <v>96</v>
      </c>
      <c r="AB12" s="12">
        <v>124</v>
      </c>
      <c r="AC12" s="12">
        <v>50</v>
      </c>
      <c r="AD12" s="12">
        <v>296</v>
      </c>
      <c r="AE12" s="12">
        <v>58</v>
      </c>
      <c r="AF12" s="12">
        <v>102</v>
      </c>
    </row>
    <row r="13" spans="1:32">
      <c r="A13" s="19"/>
      <c r="B13" s="13" t="s">
        <v>1227</v>
      </c>
      <c r="C13" s="14">
        <v>0.22</v>
      </c>
      <c r="D13" s="14">
        <v>0.26</v>
      </c>
      <c r="E13" s="14">
        <v>0.04</v>
      </c>
      <c r="F13" s="14">
        <v>0.27</v>
      </c>
      <c r="G13" s="14">
        <v>0.17</v>
      </c>
      <c r="H13" s="14">
        <v>0.42</v>
      </c>
      <c r="I13" s="14">
        <v>0.38</v>
      </c>
      <c r="J13" s="14">
        <v>0.25</v>
      </c>
      <c r="K13" s="14">
        <v>0.08</v>
      </c>
      <c r="L13" s="14">
        <v>0.09</v>
      </c>
      <c r="M13" s="14">
        <v>0.06</v>
      </c>
      <c r="N13" s="14">
        <v>0.06</v>
      </c>
      <c r="O13" s="14">
        <v>0.28999999999999998</v>
      </c>
      <c r="P13" s="14">
        <v>0.12</v>
      </c>
      <c r="Q13" s="14">
        <v>0.18</v>
      </c>
      <c r="R13" s="14">
        <v>0.03</v>
      </c>
      <c r="S13" s="14">
        <v>0.11</v>
      </c>
      <c r="T13" s="14">
        <v>0.09</v>
      </c>
      <c r="U13" s="14">
        <v>0.11</v>
      </c>
      <c r="V13" s="14">
        <v>0.2</v>
      </c>
      <c r="W13" s="14">
        <v>7.0000000000000007E-2</v>
      </c>
      <c r="X13" s="14">
        <v>0.23</v>
      </c>
      <c r="Y13" s="14">
        <v>0.45</v>
      </c>
      <c r="Z13" s="14">
        <v>0.14000000000000001</v>
      </c>
      <c r="AA13" s="14">
        <v>0.09</v>
      </c>
      <c r="AB13" s="14">
        <v>0.12</v>
      </c>
      <c r="AC13" s="14">
        <v>0.05</v>
      </c>
      <c r="AD13" s="14">
        <v>0.28999999999999998</v>
      </c>
      <c r="AE13" s="14">
        <v>0.06</v>
      </c>
      <c r="AF13" s="14">
        <v>0.1</v>
      </c>
    </row>
    <row r="14" spans="1:32">
      <c r="A14" s="19"/>
      <c r="B14" s="11" t="s">
        <v>1239</v>
      </c>
      <c r="C14" s="12">
        <v>7894</v>
      </c>
      <c r="D14" s="12">
        <v>358</v>
      </c>
      <c r="E14" s="12">
        <v>217</v>
      </c>
      <c r="F14" s="12">
        <v>342</v>
      </c>
      <c r="G14" s="12">
        <v>268</v>
      </c>
      <c r="H14" s="12">
        <v>311</v>
      </c>
      <c r="I14" s="12">
        <v>403</v>
      </c>
      <c r="J14" s="12">
        <v>92</v>
      </c>
      <c r="K14" s="12">
        <v>297</v>
      </c>
      <c r="L14" s="12">
        <v>234</v>
      </c>
      <c r="M14" s="12">
        <v>148</v>
      </c>
      <c r="N14" s="12">
        <v>179</v>
      </c>
      <c r="O14" s="12">
        <v>287</v>
      </c>
      <c r="P14" s="12">
        <v>360</v>
      </c>
      <c r="Q14" s="12">
        <v>386</v>
      </c>
      <c r="R14" s="12">
        <v>37</v>
      </c>
      <c r="S14" s="12">
        <v>346</v>
      </c>
      <c r="T14" s="12">
        <v>432</v>
      </c>
      <c r="U14" s="12">
        <v>179</v>
      </c>
      <c r="V14" s="12">
        <v>388</v>
      </c>
      <c r="W14" s="12">
        <v>139</v>
      </c>
      <c r="X14" s="12">
        <v>250</v>
      </c>
      <c r="Y14" s="12">
        <v>314</v>
      </c>
      <c r="Z14" s="12">
        <v>515</v>
      </c>
      <c r="AA14" s="12">
        <v>282</v>
      </c>
      <c r="AB14" s="12">
        <v>350</v>
      </c>
      <c r="AC14" s="12">
        <v>217</v>
      </c>
      <c r="AD14" s="12">
        <v>355</v>
      </c>
      <c r="AE14" s="12">
        <v>213</v>
      </c>
      <c r="AF14" s="12">
        <v>200</v>
      </c>
    </row>
    <row r="15" spans="1:32">
      <c r="A15" s="19"/>
      <c r="B15" s="13" t="s">
        <v>1240</v>
      </c>
      <c r="C15" s="14">
        <v>0.3</v>
      </c>
      <c r="D15" s="14">
        <v>0.35</v>
      </c>
      <c r="E15" s="14">
        <v>0.21</v>
      </c>
      <c r="F15" s="14">
        <v>0.32</v>
      </c>
      <c r="G15" s="14">
        <v>0.26</v>
      </c>
      <c r="H15" s="14">
        <v>0.25</v>
      </c>
      <c r="I15" s="14">
        <v>0.26</v>
      </c>
      <c r="J15" s="14">
        <v>0.31</v>
      </c>
      <c r="K15" s="14">
        <v>0.3</v>
      </c>
      <c r="L15" s="14">
        <v>0.23</v>
      </c>
      <c r="M15" s="14">
        <v>0.15</v>
      </c>
      <c r="N15" s="14">
        <v>0.18</v>
      </c>
      <c r="O15" s="14">
        <v>0.28000000000000003</v>
      </c>
      <c r="P15" s="14">
        <v>0.36</v>
      </c>
      <c r="Q15" s="14">
        <v>0.38</v>
      </c>
      <c r="R15" s="14">
        <v>0.08</v>
      </c>
      <c r="S15" s="14">
        <v>0.34</v>
      </c>
      <c r="T15" s="14">
        <v>0.42</v>
      </c>
      <c r="U15" s="14">
        <v>0.35</v>
      </c>
      <c r="V15" s="14">
        <v>0.38</v>
      </c>
      <c r="W15" s="14">
        <v>0.28000000000000003</v>
      </c>
      <c r="X15" s="14">
        <v>0.25</v>
      </c>
      <c r="Y15" s="14">
        <v>0.31</v>
      </c>
      <c r="Z15" s="14">
        <v>0.51</v>
      </c>
      <c r="AA15" s="14">
        <v>0.27</v>
      </c>
      <c r="AB15" s="14">
        <v>0.34</v>
      </c>
      <c r="AC15" s="14">
        <v>0.21</v>
      </c>
      <c r="AD15" s="14">
        <v>0.35</v>
      </c>
      <c r="AE15" s="14">
        <v>0.21</v>
      </c>
      <c r="AF15" s="14">
        <v>0.19</v>
      </c>
    </row>
    <row r="16" spans="1:32">
      <c r="A16" s="19"/>
      <c r="B16" s="11" t="s">
        <v>1241</v>
      </c>
      <c r="C16" s="12">
        <v>6457</v>
      </c>
      <c r="D16" s="12">
        <v>279</v>
      </c>
      <c r="E16" s="12">
        <v>274</v>
      </c>
      <c r="F16" s="12">
        <v>249</v>
      </c>
      <c r="G16" s="12">
        <v>264</v>
      </c>
      <c r="H16" s="12">
        <v>207</v>
      </c>
      <c r="I16" s="12">
        <v>305</v>
      </c>
      <c r="J16" s="12">
        <v>98</v>
      </c>
      <c r="K16" s="12">
        <v>326</v>
      </c>
      <c r="L16" s="12">
        <v>298</v>
      </c>
      <c r="M16" s="12">
        <v>370</v>
      </c>
      <c r="N16" s="12">
        <v>236</v>
      </c>
      <c r="O16" s="12">
        <v>179</v>
      </c>
      <c r="P16" s="12">
        <v>299</v>
      </c>
      <c r="Q16" s="12">
        <v>291</v>
      </c>
      <c r="R16" s="12">
        <v>87</v>
      </c>
      <c r="S16" s="12">
        <v>178</v>
      </c>
      <c r="T16" s="12">
        <v>173</v>
      </c>
      <c r="U16" s="12">
        <v>126</v>
      </c>
      <c r="V16" s="12">
        <v>254</v>
      </c>
      <c r="W16" s="12">
        <v>175</v>
      </c>
      <c r="X16" s="12">
        <v>362</v>
      </c>
      <c r="Y16" s="12">
        <v>117</v>
      </c>
      <c r="Z16" s="12">
        <v>223</v>
      </c>
      <c r="AA16" s="12">
        <v>275</v>
      </c>
      <c r="AB16" s="12">
        <v>318</v>
      </c>
      <c r="AC16" s="12">
        <v>312</v>
      </c>
      <c r="AD16" s="12">
        <v>219</v>
      </c>
      <c r="AE16" s="12">
        <v>392</v>
      </c>
      <c r="AF16" s="12">
        <v>464</v>
      </c>
    </row>
    <row r="17" spans="1:32">
      <c r="A17" s="19"/>
      <c r="B17" s="13" t="s">
        <v>1242</v>
      </c>
      <c r="C17" s="14">
        <v>0.24</v>
      </c>
      <c r="D17" s="14">
        <v>0.27</v>
      </c>
      <c r="E17" s="14">
        <v>0.26</v>
      </c>
      <c r="F17" s="14">
        <v>0.23</v>
      </c>
      <c r="G17" s="14">
        <v>0.26</v>
      </c>
      <c r="H17" s="14">
        <v>0.17</v>
      </c>
      <c r="I17" s="14">
        <v>0.2</v>
      </c>
      <c r="J17" s="14">
        <v>0.33</v>
      </c>
      <c r="K17" s="14">
        <v>0.32</v>
      </c>
      <c r="L17" s="14">
        <v>0.3</v>
      </c>
      <c r="M17" s="14">
        <v>0.37</v>
      </c>
      <c r="N17" s="14">
        <v>0.23</v>
      </c>
      <c r="O17" s="14">
        <v>0.18</v>
      </c>
      <c r="P17" s="14">
        <v>0.3</v>
      </c>
      <c r="Q17" s="14">
        <v>0.28000000000000003</v>
      </c>
      <c r="R17" s="14">
        <v>0.17</v>
      </c>
      <c r="S17" s="14">
        <v>0.18</v>
      </c>
      <c r="T17" s="14">
        <v>0.17</v>
      </c>
      <c r="U17" s="14">
        <v>0.25</v>
      </c>
      <c r="V17" s="14">
        <v>0.24</v>
      </c>
      <c r="W17" s="14">
        <v>0.35</v>
      </c>
      <c r="X17" s="14">
        <v>0.36</v>
      </c>
      <c r="Y17" s="14">
        <v>0.12</v>
      </c>
      <c r="Z17" s="14">
        <v>0.22</v>
      </c>
      <c r="AA17" s="14">
        <v>0.27</v>
      </c>
      <c r="AB17" s="14">
        <v>0.3</v>
      </c>
      <c r="AC17" s="14">
        <v>0.31</v>
      </c>
      <c r="AD17" s="14">
        <v>0.22</v>
      </c>
      <c r="AE17" s="14">
        <v>0.39</v>
      </c>
      <c r="AF17" s="14">
        <v>0.45</v>
      </c>
    </row>
    <row r="18" spans="1:32">
      <c r="A18" s="19"/>
      <c r="B18" s="11" t="s">
        <v>1243</v>
      </c>
      <c r="C18" s="12">
        <v>2386</v>
      </c>
      <c r="D18" s="12">
        <v>65</v>
      </c>
      <c r="E18" s="12">
        <v>197</v>
      </c>
      <c r="F18" s="12">
        <v>68</v>
      </c>
      <c r="G18" s="12">
        <v>146</v>
      </c>
      <c r="H18" s="12">
        <v>28</v>
      </c>
      <c r="I18" s="12">
        <v>38</v>
      </c>
      <c r="J18" s="12">
        <v>10</v>
      </c>
      <c r="K18" s="12">
        <v>87</v>
      </c>
      <c r="L18" s="12">
        <v>140</v>
      </c>
      <c r="M18" s="12">
        <v>166</v>
      </c>
      <c r="N18" s="12">
        <v>233</v>
      </c>
      <c r="O18" s="12">
        <v>80</v>
      </c>
      <c r="P18" s="12">
        <v>91</v>
      </c>
      <c r="Q18" s="12">
        <v>82</v>
      </c>
      <c r="R18" s="12">
        <v>143</v>
      </c>
      <c r="S18" s="12">
        <v>37</v>
      </c>
      <c r="T18" s="12">
        <v>60</v>
      </c>
      <c r="U18" s="12">
        <v>30</v>
      </c>
      <c r="V18" s="12">
        <v>101</v>
      </c>
      <c r="W18" s="12">
        <v>80</v>
      </c>
      <c r="X18" s="12">
        <v>64</v>
      </c>
      <c r="Y18" s="12">
        <v>30</v>
      </c>
      <c r="Z18" s="12">
        <v>42</v>
      </c>
      <c r="AA18" s="12">
        <v>58</v>
      </c>
      <c r="AB18" s="12">
        <v>113</v>
      </c>
      <c r="AC18" s="12">
        <v>219</v>
      </c>
      <c r="AD18" s="12">
        <v>47</v>
      </c>
      <c r="AE18" s="12">
        <v>123</v>
      </c>
      <c r="AF18" s="12">
        <v>199</v>
      </c>
    </row>
    <row r="19" spans="1:32">
      <c r="A19" s="19"/>
      <c r="B19" s="13" t="s">
        <v>1244</v>
      </c>
      <c r="C19" s="14">
        <v>0.09</v>
      </c>
      <c r="D19" s="14">
        <v>7.0000000000000007E-2</v>
      </c>
      <c r="E19" s="14">
        <v>0.19</v>
      </c>
      <c r="F19" s="14">
        <v>7.0000000000000007E-2</v>
      </c>
      <c r="G19" s="14">
        <v>0.14000000000000001</v>
      </c>
      <c r="H19" s="14">
        <v>0.02</v>
      </c>
      <c r="I19" s="14">
        <v>0.03</v>
      </c>
      <c r="J19" s="14">
        <v>0.03</v>
      </c>
      <c r="K19" s="14">
        <v>0.09</v>
      </c>
      <c r="L19" s="14">
        <v>0.14000000000000001</v>
      </c>
      <c r="M19" s="14">
        <v>0.16</v>
      </c>
      <c r="N19" s="14">
        <v>0.23</v>
      </c>
      <c r="O19" s="14">
        <v>0.08</v>
      </c>
      <c r="P19" s="14">
        <v>0.09</v>
      </c>
      <c r="Q19" s="14">
        <v>0.08</v>
      </c>
      <c r="R19" s="14">
        <v>0.28999999999999998</v>
      </c>
      <c r="S19" s="14">
        <v>0.04</v>
      </c>
      <c r="T19" s="14">
        <v>0.06</v>
      </c>
      <c r="U19" s="14">
        <v>0.06</v>
      </c>
      <c r="V19" s="14">
        <v>0.1</v>
      </c>
      <c r="W19" s="14">
        <v>0.16</v>
      </c>
      <c r="X19" s="14">
        <v>0.06</v>
      </c>
      <c r="Y19" s="14">
        <v>0.03</v>
      </c>
      <c r="Z19" s="14">
        <v>0.04</v>
      </c>
      <c r="AA19" s="14">
        <v>0.06</v>
      </c>
      <c r="AB19" s="14">
        <v>0.11</v>
      </c>
      <c r="AC19" s="14">
        <v>0.22</v>
      </c>
      <c r="AD19" s="14">
        <v>0.05</v>
      </c>
      <c r="AE19" s="14">
        <v>0.12</v>
      </c>
      <c r="AF19" s="14">
        <v>0.19</v>
      </c>
    </row>
    <row r="20" spans="1:32">
      <c r="A20" s="19"/>
      <c r="B20" s="11" t="s">
        <v>386</v>
      </c>
      <c r="C20" s="12">
        <v>4027</v>
      </c>
      <c r="D20" s="12">
        <v>55</v>
      </c>
      <c r="E20" s="12">
        <v>320</v>
      </c>
      <c r="F20" s="12">
        <v>114</v>
      </c>
      <c r="G20" s="12">
        <v>167</v>
      </c>
      <c r="H20" s="12">
        <v>172</v>
      </c>
      <c r="I20" s="12">
        <v>194</v>
      </c>
      <c r="J20" s="12">
        <v>22</v>
      </c>
      <c r="K20" s="12">
        <v>214</v>
      </c>
      <c r="L20" s="12">
        <v>245</v>
      </c>
      <c r="M20" s="12">
        <v>262</v>
      </c>
      <c r="N20" s="12">
        <v>301</v>
      </c>
      <c r="O20" s="12">
        <v>169</v>
      </c>
      <c r="P20" s="12">
        <v>132</v>
      </c>
      <c r="Q20" s="12">
        <v>87</v>
      </c>
      <c r="R20" s="12">
        <v>216</v>
      </c>
      <c r="S20" s="12">
        <v>329</v>
      </c>
      <c r="T20" s="12">
        <v>269</v>
      </c>
      <c r="U20" s="12">
        <v>119</v>
      </c>
      <c r="V20" s="12">
        <v>80</v>
      </c>
      <c r="W20" s="12">
        <v>71</v>
      </c>
      <c r="X20" s="12">
        <v>98</v>
      </c>
      <c r="Y20" s="12">
        <v>92</v>
      </c>
      <c r="Z20" s="12">
        <v>91</v>
      </c>
      <c r="AA20" s="12">
        <v>326</v>
      </c>
      <c r="AB20" s="12">
        <v>135</v>
      </c>
      <c r="AC20" s="12">
        <v>207</v>
      </c>
      <c r="AD20" s="12">
        <v>86</v>
      </c>
      <c r="AE20" s="12">
        <v>215</v>
      </c>
      <c r="AF20" s="12">
        <v>67</v>
      </c>
    </row>
    <row r="21" spans="1:32">
      <c r="A21" s="19"/>
      <c r="B21" s="13" t="s">
        <v>399</v>
      </c>
      <c r="C21" s="14">
        <v>0.15</v>
      </c>
      <c r="D21" s="14">
        <v>0.05</v>
      </c>
      <c r="E21" s="14">
        <v>0.3</v>
      </c>
      <c r="F21" s="14">
        <v>0.11</v>
      </c>
      <c r="G21" s="14">
        <v>0.17</v>
      </c>
      <c r="H21" s="14">
        <v>0.14000000000000001</v>
      </c>
      <c r="I21" s="14">
        <v>0.13</v>
      </c>
      <c r="J21" s="14">
        <v>0.08</v>
      </c>
      <c r="K21" s="14">
        <v>0.21</v>
      </c>
      <c r="L21" s="14">
        <v>0.24</v>
      </c>
      <c r="M21" s="14">
        <v>0.26</v>
      </c>
      <c r="N21" s="14">
        <v>0.3</v>
      </c>
      <c r="O21" s="14">
        <v>0.17</v>
      </c>
      <c r="P21" s="14">
        <v>0.13</v>
      </c>
      <c r="Q21" s="14">
        <v>0.08</v>
      </c>
      <c r="R21" s="14">
        <v>0.43</v>
      </c>
      <c r="S21" s="14">
        <v>0.33</v>
      </c>
      <c r="T21" s="14">
        <v>0.26</v>
      </c>
      <c r="U21" s="14">
        <v>0.23</v>
      </c>
      <c r="V21" s="14">
        <v>0.08</v>
      </c>
      <c r="W21" s="14">
        <v>0.14000000000000001</v>
      </c>
      <c r="X21" s="14">
        <v>0.1</v>
      </c>
      <c r="Y21" s="14">
        <v>0.09</v>
      </c>
      <c r="Z21" s="14">
        <v>0.09</v>
      </c>
      <c r="AA21" s="14">
        <v>0.31</v>
      </c>
      <c r="AB21" s="14">
        <v>0.13</v>
      </c>
      <c r="AC21" s="14">
        <v>0.21</v>
      </c>
      <c r="AD21" s="14">
        <v>0.09</v>
      </c>
      <c r="AE21" s="14">
        <v>0.22</v>
      </c>
      <c r="AF21" s="14">
        <v>7.0000000000000007E-2</v>
      </c>
    </row>
    <row r="22" spans="1:32">
      <c r="A22" s="19"/>
      <c r="B22" s="11" t="s">
        <v>678</v>
      </c>
      <c r="C22" s="12">
        <v>13583</v>
      </c>
      <c r="D22" s="12">
        <v>622</v>
      </c>
      <c r="E22" s="12">
        <v>255</v>
      </c>
      <c r="F22" s="12">
        <v>633</v>
      </c>
      <c r="G22" s="12">
        <v>440</v>
      </c>
      <c r="H22" s="12">
        <v>823</v>
      </c>
      <c r="I22" s="12">
        <v>990</v>
      </c>
      <c r="J22" s="12">
        <v>167</v>
      </c>
      <c r="K22" s="12">
        <v>379</v>
      </c>
      <c r="L22" s="12">
        <v>324</v>
      </c>
      <c r="M22" s="12">
        <v>209</v>
      </c>
      <c r="N22" s="12">
        <v>241</v>
      </c>
      <c r="O22" s="12">
        <v>577</v>
      </c>
      <c r="P22" s="12">
        <v>481</v>
      </c>
      <c r="Q22" s="12">
        <v>571</v>
      </c>
      <c r="R22" s="12">
        <v>54</v>
      </c>
      <c r="S22" s="12">
        <v>459</v>
      </c>
      <c r="T22" s="12">
        <v>521</v>
      </c>
      <c r="U22" s="12">
        <v>233</v>
      </c>
      <c r="V22" s="12">
        <v>591</v>
      </c>
      <c r="W22" s="12">
        <v>176</v>
      </c>
      <c r="X22" s="12">
        <v>486</v>
      </c>
      <c r="Y22" s="12">
        <v>764</v>
      </c>
      <c r="Z22" s="12">
        <v>661</v>
      </c>
      <c r="AA22" s="12">
        <v>378</v>
      </c>
      <c r="AB22" s="12">
        <v>474</v>
      </c>
      <c r="AC22" s="12">
        <v>267</v>
      </c>
      <c r="AD22" s="12">
        <v>651</v>
      </c>
      <c r="AE22" s="12">
        <v>271</v>
      </c>
      <c r="AF22" s="12">
        <v>302</v>
      </c>
    </row>
    <row r="23" spans="1:32">
      <c r="A23" s="19"/>
      <c r="B23" s="13" t="s">
        <v>679</v>
      </c>
      <c r="C23" s="14">
        <v>0.52</v>
      </c>
      <c r="D23" s="14">
        <v>0.61</v>
      </c>
      <c r="E23" s="14">
        <v>0.25</v>
      </c>
      <c r="F23" s="14">
        <v>0.59</v>
      </c>
      <c r="G23" s="14">
        <v>0.43</v>
      </c>
      <c r="H23" s="14">
        <v>0.67</v>
      </c>
      <c r="I23" s="14">
        <v>0.64</v>
      </c>
      <c r="J23" s="14">
        <v>0.56000000000000005</v>
      </c>
      <c r="K23" s="14">
        <v>0.38</v>
      </c>
      <c r="L23" s="14">
        <v>0.32</v>
      </c>
      <c r="M23" s="14">
        <v>0.21</v>
      </c>
      <c r="N23" s="14">
        <v>0.24</v>
      </c>
      <c r="O23" s="14">
        <v>0.57000000000000006</v>
      </c>
      <c r="P23" s="14">
        <v>0.48</v>
      </c>
      <c r="Q23" s="14">
        <v>0.56000000000000005</v>
      </c>
      <c r="R23" s="14">
        <v>0.11</v>
      </c>
      <c r="S23" s="14">
        <v>0.45</v>
      </c>
      <c r="T23" s="14">
        <v>0.51</v>
      </c>
      <c r="U23" s="14">
        <v>0.46</v>
      </c>
      <c r="V23" s="14">
        <v>0.57999999999999996</v>
      </c>
      <c r="W23" s="14">
        <v>0.35</v>
      </c>
      <c r="X23" s="14">
        <v>0.48</v>
      </c>
      <c r="Y23" s="14">
        <v>0.76</v>
      </c>
      <c r="Z23" s="14">
        <v>0.65</v>
      </c>
      <c r="AA23" s="14">
        <v>0.36</v>
      </c>
      <c r="AB23" s="14">
        <v>0.46</v>
      </c>
      <c r="AC23" s="14">
        <v>0.26</v>
      </c>
      <c r="AD23" s="14">
        <v>0.64</v>
      </c>
      <c r="AE23" s="14">
        <v>0.27</v>
      </c>
      <c r="AF23" s="14">
        <v>0.28999999999999998</v>
      </c>
    </row>
    <row r="24" spans="1:32">
      <c r="A24" s="19"/>
      <c r="B24" s="11" t="s">
        <v>846</v>
      </c>
      <c r="C24" s="12">
        <v>8843</v>
      </c>
      <c r="D24" s="12">
        <v>344</v>
      </c>
      <c r="E24" s="12">
        <v>471</v>
      </c>
      <c r="F24" s="12">
        <v>317</v>
      </c>
      <c r="G24" s="12">
        <v>410</v>
      </c>
      <c r="H24" s="12">
        <v>235</v>
      </c>
      <c r="I24" s="12">
        <v>343</v>
      </c>
      <c r="J24" s="12">
        <v>108</v>
      </c>
      <c r="K24" s="12">
        <v>413</v>
      </c>
      <c r="L24" s="12">
        <v>438</v>
      </c>
      <c r="M24" s="12">
        <v>536</v>
      </c>
      <c r="N24" s="12">
        <v>469</v>
      </c>
      <c r="O24" s="12">
        <v>259</v>
      </c>
      <c r="P24" s="12">
        <v>390</v>
      </c>
      <c r="Q24" s="12">
        <v>373</v>
      </c>
      <c r="R24" s="12">
        <v>230</v>
      </c>
      <c r="S24" s="12">
        <v>215</v>
      </c>
      <c r="T24" s="12">
        <v>233</v>
      </c>
      <c r="U24" s="12">
        <v>156</v>
      </c>
      <c r="V24" s="12">
        <v>355</v>
      </c>
      <c r="W24" s="12">
        <v>255</v>
      </c>
      <c r="X24" s="12">
        <v>426</v>
      </c>
      <c r="Y24" s="12">
        <v>147</v>
      </c>
      <c r="Z24" s="12">
        <v>265</v>
      </c>
      <c r="AA24" s="12">
        <v>333</v>
      </c>
      <c r="AB24" s="12">
        <v>431</v>
      </c>
      <c r="AC24" s="12">
        <v>531</v>
      </c>
      <c r="AD24" s="12">
        <v>266</v>
      </c>
      <c r="AE24" s="12">
        <v>515</v>
      </c>
      <c r="AF24" s="12">
        <v>663</v>
      </c>
    </row>
    <row r="25" spans="1:32">
      <c r="A25" s="19"/>
      <c r="B25" s="13" t="s">
        <v>847</v>
      </c>
      <c r="C25" s="14">
        <v>0.33</v>
      </c>
      <c r="D25" s="14">
        <v>0.34</v>
      </c>
      <c r="E25" s="14">
        <v>0.45</v>
      </c>
      <c r="F25" s="14">
        <v>0.3</v>
      </c>
      <c r="G25" s="14">
        <v>0.4</v>
      </c>
      <c r="H25" s="14">
        <v>0.19</v>
      </c>
      <c r="I25" s="14">
        <v>0.23</v>
      </c>
      <c r="J25" s="14">
        <v>0.36</v>
      </c>
      <c r="K25" s="14">
        <v>0.41</v>
      </c>
      <c r="L25" s="14">
        <v>0.44</v>
      </c>
      <c r="M25" s="14">
        <v>0.53</v>
      </c>
      <c r="N25" s="14">
        <v>0.46</v>
      </c>
      <c r="O25" s="14">
        <v>0.26</v>
      </c>
      <c r="P25" s="14">
        <v>0.39</v>
      </c>
      <c r="Q25" s="14">
        <v>0.36</v>
      </c>
      <c r="R25" s="14">
        <v>0.46</v>
      </c>
      <c r="S25" s="14">
        <v>0.22</v>
      </c>
      <c r="T25" s="14">
        <v>0.23</v>
      </c>
      <c r="U25" s="14">
        <v>0.31</v>
      </c>
      <c r="V25" s="14">
        <v>0.34</v>
      </c>
      <c r="W25" s="14">
        <v>0.51</v>
      </c>
      <c r="X25" s="14">
        <v>0.42</v>
      </c>
      <c r="Y25" s="14">
        <v>0.15</v>
      </c>
      <c r="Z25" s="14">
        <v>0.26</v>
      </c>
      <c r="AA25" s="14">
        <v>0.33</v>
      </c>
      <c r="AB25" s="14">
        <v>0.41</v>
      </c>
      <c r="AC25" s="14">
        <v>0.53</v>
      </c>
      <c r="AD25" s="14">
        <v>0.27</v>
      </c>
      <c r="AE25" s="14">
        <v>0.51</v>
      </c>
      <c r="AF25" s="14">
        <v>0.64</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259</v>
      </c>
      <c r="C3" s="17"/>
      <c r="D3" s="17"/>
      <c r="E3" s="17"/>
      <c r="F3" s="17"/>
      <c r="H3" s="17" t="s">
        <v>260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1226</v>
      </c>
      <c r="C12" s="12">
        <v>3501</v>
      </c>
      <c r="D12" s="12">
        <v>118</v>
      </c>
      <c r="E12" s="12">
        <v>34</v>
      </c>
      <c r="F12" s="12">
        <v>90</v>
      </c>
      <c r="G12" s="12">
        <v>130</v>
      </c>
      <c r="H12" s="12">
        <v>191</v>
      </c>
      <c r="I12" s="12">
        <v>232</v>
      </c>
      <c r="J12" s="12">
        <v>40</v>
      </c>
      <c r="K12" s="12">
        <v>118</v>
      </c>
      <c r="L12" s="12">
        <v>149</v>
      </c>
      <c r="M12" s="12">
        <v>54</v>
      </c>
      <c r="N12" s="12">
        <v>56</v>
      </c>
      <c r="O12" s="12">
        <v>166</v>
      </c>
      <c r="P12" s="12">
        <v>100</v>
      </c>
      <c r="Q12" s="12">
        <v>145</v>
      </c>
      <c r="R12" s="12">
        <v>27</v>
      </c>
      <c r="S12" s="12">
        <v>52</v>
      </c>
      <c r="T12" s="12">
        <v>183</v>
      </c>
      <c r="U12" s="12">
        <v>66</v>
      </c>
      <c r="V12" s="12">
        <v>116</v>
      </c>
      <c r="W12" s="12">
        <v>34</v>
      </c>
      <c r="X12" s="12">
        <v>187</v>
      </c>
      <c r="Y12" s="12">
        <v>269</v>
      </c>
      <c r="Z12" s="12">
        <v>79</v>
      </c>
      <c r="AA12" s="12">
        <v>172</v>
      </c>
      <c r="AB12" s="12">
        <v>131</v>
      </c>
      <c r="AC12" s="12">
        <v>71</v>
      </c>
      <c r="AD12" s="12">
        <v>122</v>
      </c>
      <c r="AE12" s="12">
        <v>222</v>
      </c>
      <c r="AF12" s="12">
        <v>264</v>
      </c>
    </row>
    <row r="13" spans="1:32">
      <c r="A13" s="19"/>
      <c r="B13" s="13" t="s">
        <v>1227</v>
      </c>
      <c r="C13" s="14">
        <v>0.13</v>
      </c>
      <c r="D13" s="14">
        <v>0.12</v>
      </c>
      <c r="E13" s="14">
        <v>0.03</v>
      </c>
      <c r="F13" s="14">
        <v>0.08</v>
      </c>
      <c r="G13" s="14">
        <v>0.13</v>
      </c>
      <c r="H13" s="14">
        <v>0.16</v>
      </c>
      <c r="I13" s="14">
        <v>0.15</v>
      </c>
      <c r="J13" s="14">
        <v>0.14000000000000001</v>
      </c>
      <c r="K13" s="14">
        <v>0.12</v>
      </c>
      <c r="L13" s="14">
        <v>0.15</v>
      </c>
      <c r="M13" s="14">
        <v>0.05</v>
      </c>
      <c r="N13" s="14">
        <v>0.06</v>
      </c>
      <c r="O13" s="14">
        <v>0.16</v>
      </c>
      <c r="P13" s="14">
        <v>0.1</v>
      </c>
      <c r="Q13" s="14">
        <v>0.14000000000000001</v>
      </c>
      <c r="R13" s="14">
        <v>0.05</v>
      </c>
      <c r="S13" s="14">
        <v>0.05</v>
      </c>
      <c r="T13" s="14">
        <v>0.18</v>
      </c>
      <c r="U13" s="14">
        <v>0.13</v>
      </c>
      <c r="V13" s="14">
        <v>0.11</v>
      </c>
      <c r="W13" s="14">
        <v>7.0000000000000007E-2</v>
      </c>
      <c r="X13" s="14">
        <v>0.18</v>
      </c>
      <c r="Y13" s="14">
        <v>0.27</v>
      </c>
      <c r="Z13" s="14">
        <v>0.08</v>
      </c>
      <c r="AA13" s="14">
        <v>0.17</v>
      </c>
      <c r="AB13" s="14">
        <v>0.12</v>
      </c>
      <c r="AC13" s="14">
        <v>7.0000000000000007E-2</v>
      </c>
      <c r="AD13" s="14">
        <v>0.12</v>
      </c>
      <c r="AE13" s="14">
        <v>0.22</v>
      </c>
      <c r="AF13" s="14">
        <v>0.26</v>
      </c>
    </row>
    <row r="14" spans="1:32">
      <c r="A14" s="19"/>
      <c r="B14" s="11" t="s">
        <v>1228</v>
      </c>
      <c r="C14" s="12">
        <v>9345</v>
      </c>
      <c r="D14" s="12">
        <v>402</v>
      </c>
      <c r="E14" s="12">
        <v>225</v>
      </c>
      <c r="F14" s="12">
        <v>373</v>
      </c>
      <c r="G14" s="12">
        <v>323</v>
      </c>
      <c r="H14" s="12">
        <v>505</v>
      </c>
      <c r="I14" s="12">
        <v>609</v>
      </c>
      <c r="J14" s="12">
        <v>104</v>
      </c>
      <c r="K14" s="12">
        <v>338</v>
      </c>
      <c r="L14" s="12">
        <v>325</v>
      </c>
      <c r="M14" s="12">
        <v>285</v>
      </c>
      <c r="N14" s="12">
        <v>236</v>
      </c>
      <c r="O14" s="12">
        <v>315</v>
      </c>
      <c r="P14" s="12">
        <v>315</v>
      </c>
      <c r="Q14" s="12">
        <v>346</v>
      </c>
      <c r="R14" s="12">
        <v>109</v>
      </c>
      <c r="S14" s="12">
        <v>307</v>
      </c>
      <c r="T14" s="12">
        <v>389</v>
      </c>
      <c r="U14" s="12">
        <v>156</v>
      </c>
      <c r="V14" s="12">
        <v>431</v>
      </c>
      <c r="W14" s="12">
        <v>114</v>
      </c>
      <c r="X14" s="12">
        <v>463</v>
      </c>
      <c r="Y14" s="12">
        <v>428</v>
      </c>
      <c r="Z14" s="12">
        <v>506</v>
      </c>
      <c r="AA14" s="12">
        <v>300</v>
      </c>
      <c r="AB14" s="12">
        <v>310</v>
      </c>
      <c r="AC14" s="12">
        <v>352</v>
      </c>
      <c r="AD14" s="12">
        <v>454</v>
      </c>
      <c r="AE14" s="12">
        <v>385</v>
      </c>
      <c r="AF14" s="12">
        <v>403</v>
      </c>
    </row>
    <row r="15" spans="1:32">
      <c r="A15" s="19"/>
      <c r="B15" s="13" t="s">
        <v>1229</v>
      </c>
      <c r="C15" s="14">
        <v>0.35</v>
      </c>
      <c r="D15" s="14">
        <v>0.39</v>
      </c>
      <c r="E15" s="14">
        <v>0.21</v>
      </c>
      <c r="F15" s="14">
        <v>0.35</v>
      </c>
      <c r="G15" s="14">
        <v>0.32</v>
      </c>
      <c r="H15" s="14">
        <v>0.41</v>
      </c>
      <c r="I15" s="14">
        <v>0.4</v>
      </c>
      <c r="J15" s="14">
        <v>0.35</v>
      </c>
      <c r="K15" s="14">
        <v>0.33</v>
      </c>
      <c r="L15" s="14">
        <v>0.32</v>
      </c>
      <c r="M15" s="14">
        <v>0.28000000000000003</v>
      </c>
      <c r="N15" s="14">
        <v>0.23</v>
      </c>
      <c r="O15" s="14">
        <v>0.31</v>
      </c>
      <c r="P15" s="14">
        <v>0.31</v>
      </c>
      <c r="Q15" s="14">
        <v>0.33</v>
      </c>
      <c r="R15" s="14">
        <v>0.22</v>
      </c>
      <c r="S15" s="14">
        <v>0.31</v>
      </c>
      <c r="T15" s="14">
        <v>0.38</v>
      </c>
      <c r="U15" s="14">
        <v>0.31</v>
      </c>
      <c r="V15" s="14">
        <v>0.42</v>
      </c>
      <c r="W15" s="14">
        <v>0.23</v>
      </c>
      <c r="X15" s="14">
        <v>0.46</v>
      </c>
      <c r="Y15" s="14">
        <v>0.43</v>
      </c>
      <c r="Z15" s="14">
        <v>0.5</v>
      </c>
      <c r="AA15" s="14">
        <v>0.28999999999999998</v>
      </c>
      <c r="AB15" s="14">
        <v>0.3</v>
      </c>
      <c r="AC15" s="14">
        <v>0.35</v>
      </c>
      <c r="AD15" s="14">
        <v>0.45</v>
      </c>
      <c r="AE15" s="14">
        <v>0.38</v>
      </c>
      <c r="AF15" s="14">
        <v>0.39</v>
      </c>
    </row>
    <row r="16" spans="1:32">
      <c r="A16" s="19"/>
      <c r="B16" s="11" t="s">
        <v>1230</v>
      </c>
      <c r="C16" s="12">
        <v>8178</v>
      </c>
      <c r="D16" s="12">
        <v>337</v>
      </c>
      <c r="E16" s="12">
        <v>330</v>
      </c>
      <c r="F16" s="12">
        <v>346</v>
      </c>
      <c r="G16" s="12">
        <v>319</v>
      </c>
      <c r="H16" s="12">
        <v>321</v>
      </c>
      <c r="I16" s="12">
        <v>428</v>
      </c>
      <c r="J16" s="12">
        <v>107</v>
      </c>
      <c r="K16" s="12">
        <v>264</v>
      </c>
      <c r="L16" s="12">
        <v>290</v>
      </c>
      <c r="M16" s="12">
        <v>429</v>
      </c>
      <c r="N16" s="12">
        <v>320</v>
      </c>
      <c r="O16" s="12">
        <v>307</v>
      </c>
      <c r="P16" s="12">
        <v>417</v>
      </c>
      <c r="Q16" s="12">
        <v>379</v>
      </c>
      <c r="R16" s="12">
        <v>180</v>
      </c>
      <c r="S16" s="12">
        <v>301</v>
      </c>
      <c r="T16" s="12">
        <v>212</v>
      </c>
      <c r="U16" s="12">
        <v>160</v>
      </c>
      <c r="V16" s="12">
        <v>375</v>
      </c>
      <c r="W16" s="12">
        <v>158</v>
      </c>
      <c r="X16" s="12">
        <v>258</v>
      </c>
      <c r="Y16" s="12">
        <v>190</v>
      </c>
      <c r="Z16" s="12">
        <v>314</v>
      </c>
      <c r="AA16" s="12">
        <v>285</v>
      </c>
      <c r="AB16" s="12">
        <v>362</v>
      </c>
      <c r="AC16" s="12">
        <v>323</v>
      </c>
      <c r="AD16" s="12">
        <v>285</v>
      </c>
      <c r="AE16" s="12">
        <v>206</v>
      </c>
      <c r="AF16" s="12">
        <v>203</v>
      </c>
    </row>
    <row r="17" spans="1:32">
      <c r="A17" s="19"/>
      <c r="B17" s="13" t="s">
        <v>1231</v>
      </c>
      <c r="C17" s="14">
        <v>0.31</v>
      </c>
      <c r="D17" s="14">
        <v>0.33</v>
      </c>
      <c r="E17" s="14">
        <v>0.32</v>
      </c>
      <c r="F17" s="14">
        <v>0.33</v>
      </c>
      <c r="G17" s="14">
        <v>0.31</v>
      </c>
      <c r="H17" s="14">
        <v>0.26</v>
      </c>
      <c r="I17" s="14">
        <v>0.28000000000000003</v>
      </c>
      <c r="J17" s="14">
        <v>0.36</v>
      </c>
      <c r="K17" s="14">
        <v>0.26</v>
      </c>
      <c r="L17" s="14">
        <v>0.28999999999999998</v>
      </c>
      <c r="M17" s="14">
        <v>0.43</v>
      </c>
      <c r="N17" s="14">
        <v>0.32</v>
      </c>
      <c r="O17" s="14">
        <v>0.31</v>
      </c>
      <c r="P17" s="14">
        <v>0.42</v>
      </c>
      <c r="Q17" s="14">
        <v>0.37</v>
      </c>
      <c r="R17" s="14">
        <v>0.36</v>
      </c>
      <c r="S17" s="14">
        <v>0.3</v>
      </c>
      <c r="T17" s="14">
        <v>0.21</v>
      </c>
      <c r="U17" s="14">
        <v>0.32</v>
      </c>
      <c r="V17" s="14">
        <v>0.37</v>
      </c>
      <c r="W17" s="14">
        <v>0.31</v>
      </c>
      <c r="X17" s="14">
        <v>0.26</v>
      </c>
      <c r="Y17" s="14">
        <v>0.19</v>
      </c>
      <c r="Z17" s="14">
        <v>0.31</v>
      </c>
      <c r="AA17" s="14">
        <v>0.27</v>
      </c>
      <c r="AB17" s="14">
        <v>0.35</v>
      </c>
      <c r="AC17" s="14">
        <v>0.32</v>
      </c>
      <c r="AD17" s="14">
        <v>0.28999999999999998</v>
      </c>
      <c r="AE17" s="14">
        <v>0.21</v>
      </c>
      <c r="AF17" s="14">
        <v>0.2</v>
      </c>
    </row>
    <row r="18" spans="1:32">
      <c r="A18" s="19"/>
      <c r="B18" s="11" t="s">
        <v>1232</v>
      </c>
      <c r="C18" s="12">
        <v>2773</v>
      </c>
      <c r="D18" s="12">
        <v>117</v>
      </c>
      <c r="E18" s="12">
        <v>247</v>
      </c>
      <c r="F18" s="12">
        <v>150</v>
      </c>
      <c r="G18" s="12">
        <v>52</v>
      </c>
      <c r="H18" s="12">
        <v>39</v>
      </c>
      <c r="I18" s="12">
        <v>69</v>
      </c>
      <c r="J18" s="12">
        <v>30</v>
      </c>
      <c r="K18" s="12">
        <v>108</v>
      </c>
      <c r="L18" s="12">
        <v>94</v>
      </c>
      <c r="M18" s="12">
        <v>154</v>
      </c>
      <c r="N18" s="12">
        <v>284</v>
      </c>
      <c r="O18" s="12">
        <v>78</v>
      </c>
      <c r="P18" s="12">
        <v>118</v>
      </c>
      <c r="Q18" s="12">
        <v>121</v>
      </c>
      <c r="R18" s="12">
        <v>99</v>
      </c>
      <c r="S18" s="12">
        <v>106</v>
      </c>
      <c r="T18" s="12">
        <v>39</v>
      </c>
      <c r="U18" s="12">
        <v>32</v>
      </c>
      <c r="V18" s="12">
        <v>72</v>
      </c>
      <c r="W18" s="12">
        <v>109</v>
      </c>
      <c r="X18" s="12">
        <v>34</v>
      </c>
      <c r="Y18" s="12">
        <v>53</v>
      </c>
      <c r="Z18" s="12">
        <v>61</v>
      </c>
      <c r="AA18" s="12">
        <v>98</v>
      </c>
      <c r="AB18" s="12">
        <v>135</v>
      </c>
      <c r="AC18" s="12">
        <v>167</v>
      </c>
      <c r="AD18" s="12">
        <v>72</v>
      </c>
      <c r="AE18" s="12">
        <v>42</v>
      </c>
      <c r="AF18" s="12">
        <v>74</v>
      </c>
    </row>
    <row r="19" spans="1:32">
      <c r="A19" s="19"/>
      <c r="B19" s="13" t="s">
        <v>1249</v>
      </c>
      <c r="C19" s="14">
        <v>0.11</v>
      </c>
      <c r="D19" s="14">
        <v>0.11</v>
      </c>
      <c r="E19" s="14">
        <v>0.24</v>
      </c>
      <c r="F19" s="14">
        <v>0.14000000000000001</v>
      </c>
      <c r="G19" s="14">
        <v>0.05</v>
      </c>
      <c r="H19" s="14">
        <v>0.03</v>
      </c>
      <c r="I19" s="14">
        <v>0.05</v>
      </c>
      <c r="J19" s="14">
        <v>0.1</v>
      </c>
      <c r="K19" s="14">
        <v>0.11</v>
      </c>
      <c r="L19" s="14">
        <v>0.09</v>
      </c>
      <c r="M19" s="14">
        <v>0.15</v>
      </c>
      <c r="N19" s="14">
        <v>0.28000000000000003</v>
      </c>
      <c r="O19" s="14">
        <v>0.08</v>
      </c>
      <c r="P19" s="14">
        <v>0.12</v>
      </c>
      <c r="Q19" s="14">
        <v>0.12</v>
      </c>
      <c r="R19" s="14">
        <v>0.2</v>
      </c>
      <c r="S19" s="14">
        <v>0.1</v>
      </c>
      <c r="T19" s="14">
        <v>0.04</v>
      </c>
      <c r="U19" s="14">
        <v>0.06</v>
      </c>
      <c r="V19" s="14">
        <v>7.0000000000000007E-2</v>
      </c>
      <c r="W19" s="14">
        <v>0.22</v>
      </c>
      <c r="X19" s="14">
        <v>0.03</v>
      </c>
      <c r="Y19" s="14">
        <v>0.05</v>
      </c>
      <c r="Z19" s="14">
        <v>0.06</v>
      </c>
      <c r="AA19" s="14">
        <v>0.09</v>
      </c>
      <c r="AB19" s="14">
        <v>0.13</v>
      </c>
      <c r="AC19" s="14">
        <v>0.17</v>
      </c>
      <c r="AD19" s="14">
        <v>7.0000000000000007E-2</v>
      </c>
      <c r="AE19" s="14">
        <v>0.04</v>
      </c>
      <c r="AF19" s="14">
        <v>7.0000000000000007E-2</v>
      </c>
    </row>
    <row r="20" spans="1:32">
      <c r="A20" s="19"/>
      <c r="B20" s="11" t="s">
        <v>386</v>
      </c>
      <c r="C20" s="12">
        <v>2656</v>
      </c>
      <c r="D20" s="12">
        <v>46</v>
      </c>
      <c r="E20" s="12">
        <v>209</v>
      </c>
      <c r="F20" s="12">
        <v>105</v>
      </c>
      <c r="G20" s="12">
        <v>192</v>
      </c>
      <c r="H20" s="12">
        <v>174</v>
      </c>
      <c r="I20" s="12">
        <v>189</v>
      </c>
      <c r="J20" s="12">
        <v>15</v>
      </c>
      <c r="K20" s="12">
        <v>178</v>
      </c>
      <c r="L20" s="12">
        <v>149</v>
      </c>
      <c r="M20" s="12">
        <v>85</v>
      </c>
      <c r="N20" s="12">
        <v>115</v>
      </c>
      <c r="O20" s="12">
        <v>138</v>
      </c>
      <c r="P20" s="12">
        <v>52</v>
      </c>
      <c r="Q20" s="12">
        <v>41</v>
      </c>
      <c r="R20" s="12">
        <v>86</v>
      </c>
      <c r="S20" s="12">
        <v>238</v>
      </c>
      <c r="T20" s="12">
        <v>200</v>
      </c>
      <c r="U20" s="12">
        <v>93</v>
      </c>
      <c r="V20" s="12">
        <v>32</v>
      </c>
      <c r="W20" s="12">
        <v>88</v>
      </c>
      <c r="X20" s="12">
        <v>67</v>
      </c>
      <c r="Y20" s="12">
        <v>64</v>
      </c>
      <c r="Z20" s="12">
        <v>55</v>
      </c>
      <c r="AA20" s="12">
        <v>182</v>
      </c>
      <c r="AB20" s="12">
        <v>102</v>
      </c>
      <c r="AC20" s="12">
        <v>92</v>
      </c>
      <c r="AD20" s="12">
        <v>70</v>
      </c>
      <c r="AE20" s="12">
        <v>147</v>
      </c>
      <c r="AF20" s="12">
        <v>87</v>
      </c>
    </row>
    <row r="21" spans="1:32">
      <c r="A21" s="19"/>
      <c r="B21" s="13" t="s">
        <v>399</v>
      </c>
      <c r="C21" s="14">
        <v>0.1</v>
      </c>
      <c r="D21" s="14">
        <v>0.05</v>
      </c>
      <c r="E21" s="14">
        <v>0.2</v>
      </c>
      <c r="F21" s="14">
        <v>0.1</v>
      </c>
      <c r="G21" s="14">
        <v>0.19</v>
      </c>
      <c r="H21" s="14">
        <v>0.14000000000000001</v>
      </c>
      <c r="I21" s="14">
        <v>0.12</v>
      </c>
      <c r="J21" s="14">
        <v>0.05</v>
      </c>
      <c r="K21" s="14">
        <v>0.18</v>
      </c>
      <c r="L21" s="14">
        <v>0.15</v>
      </c>
      <c r="M21" s="14">
        <v>0.09</v>
      </c>
      <c r="N21" s="14">
        <v>0.11</v>
      </c>
      <c r="O21" s="14">
        <v>0.14000000000000001</v>
      </c>
      <c r="P21" s="14">
        <v>0.05</v>
      </c>
      <c r="Q21" s="14">
        <v>0.04</v>
      </c>
      <c r="R21" s="14">
        <v>0.17</v>
      </c>
      <c r="S21" s="14">
        <v>0.24</v>
      </c>
      <c r="T21" s="14">
        <v>0.19</v>
      </c>
      <c r="U21" s="14">
        <v>0.18</v>
      </c>
      <c r="V21" s="14">
        <v>0.03</v>
      </c>
      <c r="W21" s="14">
        <v>0.17</v>
      </c>
      <c r="X21" s="14">
        <v>7.0000000000000007E-2</v>
      </c>
      <c r="Y21" s="14">
        <v>0.06</v>
      </c>
      <c r="Z21" s="14">
        <v>0.05</v>
      </c>
      <c r="AA21" s="14">
        <v>0.18</v>
      </c>
      <c r="AB21" s="14">
        <v>0.1</v>
      </c>
      <c r="AC21" s="14">
        <v>0.09</v>
      </c>
      <c r="AD21" s="14">
        <v>7.0000000000000007E-2</v>
      </c>
      <c r="AE21" s="14">
        <v>0.15</v>
      </c>
      <c r="AF21" s="14">
        <v>0.08</v>
      </c>
    </row>
    <row r="22" spans="1:32">
      <c r="A22" s="19"/>
      <c r="B22" s="11" t="s">
        <v>678</v>
      </c>
      <c r="C22" s="12">
        <v>12846</v>
      </c>
      <c r="D22" s="12">
        <v>520</v>
      </c>
      <c r="E22" s="12">
        <v>259</v>
      </c>
      <c r="F22" s="12">
        <v>463</v>
      </c>
      <c r="G22" s="12">
        <v>453</v>
      </c>
      <c r="H22" s="12">
        <v>696</v>
      </c>
      <c r="I22" s="12">
        <v>841</v>
      </c>
      <c r="J22" s="12">
        <v>144</v>
      </c>
      <c r="K22" s="12">
        <v>456</v>
      </c>
      <c r="L22" s="12">
        <v>474</v>
      </c>
      <c r="M22" s="12">
        <v>339</v>
      </c>
      <c r="N22" s="12">
        <v>292</v>
      </c>
      <c r="O22" s="12">
        <v>481</v>
      </c>
      <c r="P22" s="12">
        <v>415</v>
      </c>
      <c r="Q22" s="12">
        <v>491</v>
      </c>
      <c r="R22" s="12">
        <v>136</v>
      </c>
      <c r="S22" s="12">
        <v>359</v>
      </c>
      <c r="T22" s="12">
        <v>572</v>
      </c>
      <c r="U22" s="12">
        <v>222</v>
      </c>
      <c r="V22" s="12">
        <v>547</v>
      </c>
      <c r="W22" s="12">
        <v>148</v>
      </c>
      <c r="X22" s="12">
        <v>650</v>
      </c>
      <c r="Y22" s="12">
        <v>697</v>
      </c>
      <c r="Z22" s="12">
        <v>585</v>
      </c>
      <c r="AA22" s="12">
        <v>472</v>
      </c>
      <c r="AB22" s="12">
        <v>441</v>
      </c>
      <c r="AC22" s="12">
        <v>423</v>
      </c>
      <c r="AD22" s="12">
        <v>576</v>
      </c>
      <c r="AE22" s="12">
        <v>607</v>
      </c>
      <c r="AF22" s="12">
        <v>667</v>
      </c>
    </row>
    <row r="23" spans="1:32">
      <c r="A23" s="19"/>
      <c r="B23" s="13" t="s">
        <v>679</v>
      </c>
      <c r="C23" s="14">
        <v>0.48</v>
      </c>
      <c r="D23" s="14">
        <v>0.51</v>
      </c>
      <c r="E23" s="14">
        <v>0.24</v>
      </c>
      <c r="F23" s="14">
        <v>0.43</v>
      </c>
      <c r="G23" s="14">
        <v>0.45</v>
      </c>
      <c r="H23" s="14">
        <v>0.57000000000000006</v>
      </c>
      <c r="I23" s="14">
        <v>0.55000000000000004</v>
      </c>
      <c r="J23" s="14">
        <v>0.49</v>
      </c>
      <c r="K23" s="14">
        <v>0.45</v>
      </c>
      <c r="L23" s="14">
        <v>0.47</v>
      </c>
      <c r="M23" s="14">
        <v>0.33</v>
      </c>
      <c r="N23" s="14">
        <v>0.28999999999999998</v>
      </c>
      <c r="O23" s="14">
        <v>0.47</v>
      </c>
      <c r="P23" s="14">
        <v>0.41</v>
      </c>
      <c r="Q23" s="14">
        <v>0.47</v>
      </c>
      <c r="R23" s="14">
        <v>0.27</v>
      </c>
      <c r="S23" s="14">
        <v>0.36</v>
      </c>
      <c r="T23" s="14">
        <v>0.56000000000000005</v>
      </c>
      <c r="U23" s="14">
        <v>0.44</v>
      </c>
      <c r="V23" s="14">
        <v>0.53</v>
      </c>
      <c r="W23" s="14">
        <v>0.3</v>
      </c>
      <c r="X23" s="14">
        <v>0.64</v>
      </c>
      <c r="Y23" s="14">
        <v>0.70000000000000007</v>
      </c>
      <c r="Z23" s="14">
        <v>0.57999999999999996</v>
      </c>
      <c r="AA23" s="14">
        <v>0.46</v>
      </c>
      <c r="AB23" s="14">
        <v>0.42</v>
      </c>
      <c r="AC23" s="14">
        <v>0.42</v>
      </c>
      <c r="AD23" s="14">
        <v>0.57000000000000006</v>
      </c>
      <c r="AE23" s="14">
        <v>0.6</v>
      </c>
      <c r="AF23" s="14">
        <v>0.65</v>
      </c>
    </row>
    <row r="24" spans="1:32">
      <c r="A24" s="19"/>
      <c r="B24" s="11" t="s">
        <v>846</v>
      </c>
      <c r="C24" s="12">
        <v>10951</v>
      </c>
      <c r="D24" s="12">
        <v>454</v>
      </c>
      <c r="E24" s="12">
        <v>577</v>
      </c>
      <c r="F24" s="12">
        <v>496</v>
      </c>
      <c r="G24" s="12">
        <v>371</v>
      </c>
      <c r="H24" s="12">
        <v>360</v>
      </c>
      <c r="I24" s="12">
        <v>497</v>
      </c>
      <c r="J24" s="12">
        <v>137</v>
      </c>
      <c r="K24" s="12">
        <v>372</v>
      </c>
      <c r="L24" s="12">
        <v>384</v>
      </c>
      <c r="M24" s="12">
        <v>583</v>
      </c>
      <c r="N24" s="12">
        <v>604</v>
      </c>
      <c r="O24" s="12">
        <v>385</v>
      </c>
      <c r="P24" s="12">
        <v>535</v>
      </c>
      <c r="Q24" s="12">
        <v>500</v>
      </c>
      <c r="R24" s="12">
        <v>279</v>
      </c>
      <c r="S24" s="12">
        <v>407</v>
      </c>
      <c r="T24" s="12">
        <v>251</v>
      </c>
      <c r="U24" s="12">
        <v>192</v>
      </c>
      <c r="V24" s="12">
        <v>447</v>
      </c>
      <c r="W24" s="12">
        <v>267</v>
      </c>
      <c r="X24" s="12">
        <v>292</v>
      </c>
      <c r="Y24" s="12">
        <v>243</v>
      </c>
      <c r="Z24" s="12">
        <v>375</v>
      </c>
      <c r="AA24" s="12">
        <v>383</v>
      </c>
      <c r="AB24" s="12">
        <v>497</v>
      </c>
      <c r="AC24" s="12">
        <v>490</v>
      </c>
      <c r="AD24" s="12">
        <v>357</v>
      </c>
      <c r="AE24" s="12">
        <v>248</v>
      </c>
      <c r="AF24" s="12">
        <v>277</v>
      </c>
    </row>
    <row r="25" spans="1:32">
      <c r="A25" s="19"/>
      <c r="B25" s="13" t="s">
        <v>847</v>
      </c>
      <c r="C25" s="14">
        <v>0.42</v>
      </c>
      <c r="D25" s="14">
        <v>0.44</v>
      </c>
      <c r="E25" s="14">
        <v>0.56000000000000005</v>
      </c>
      <c r="F25" s="14">
        <v>0.47</v>
      </c>
      <c r="G25" s="14">
        <v>0.36</v>
      </c>
      <c r="H25" s="14">
        <v>0.28999999999999998</v>
      </c>
      <c r="I25" s="14">
        <v>0.33</v>
      </c>
      <c r="J25" s="14">
        <v>0.46</v>
      </c>
      <c r="K25" s="14">
        <v>0.37</v>
      </c>
      <c r="L25" s="14">
        <v>0.38</v>
      </c>
      <c r="M25" s="14">
        <v>0.57999999999999996</v>
      </c>
      <c r="N25" s="14">
        <v>0.6</v>
      </c>
      <c r="O25" s="14">
        <v>0.39</v>
      </c>
      <c r="P25" s="14">
        <v>0.54</v>
      </c>
      <c r="Q25" s="14">
        <v>0.49</v>
      </c>
      <c r="R25" s="14">
        <v>0.56000000000000005</v>
      </c>
      <c r="S25" s="14">
        <v>0.4</v>
      </c>
      <c r="T25" s="14">
        <v>0.25</v>
      </c>
      <c r="U25" s="14">
        <v>0.38</v>
      </c>
      <c r="V25" s="14">
        <v>0.44</v>
      </c>
      <c r="W25" s="14">
        <v>0.53</v>
      </c>
      <c r="X25" s="14">
        <v>0.28999999999999998</v>
      </c>
      <c r="Y25" s="14">
        <v>0.24</v>
      </c>
      <c r="Z25" s="14">
        <v>0.37</v>
      </c>
      <c r="AA25" s="14">
        <v>0.36</v>
      </c>
      <c r="AB25" s="14">
        <v>0.48</v>
      </c>
      <c r="AC25" s="14">
        <v>0.49</v>
      </c>
      <c r="AD25" s="14">
        <v>0.36</v>
      </c>
      <c r="AE25" s="14">
        <v>0.25</v>
      </c>
      <c r="AF25" s="14">
        <v>0.27</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261</v>
      </c>
      <c r="C3" s="17"/>
      <c r="D3" s="17"/>
      <c r="E3" s="17"/>
      <c r="F3" s="17"/>
      <c r="H3" s="17" t="s">
        <v>262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1250</v>
      </c>
      <c r="C12" s="12">
        <v>3274</v>
      </c>
      <c r="D12" s="12">
        <v>143</v>
      </c>
      <c r="E12" s="12">
        <v>112</v>
      </c>
      <c r="F12" s="12">
        <v>129</v>
      </c>
      <c r="G12" s="12">
        <v>132</v>
      </c>
      <c r="H12" s="12">
        <v>146</v>
      </c>
      <c r="I12" s="12">
        <v>177</v>
      </c>
      <c r="J12" s="12">
        <v>31</v>
      </c>
      <c r="K12" s="12">
        <v>124</v>
      </c>
      <c r="L12" s="12">
        <v>157</v>
      </c>
      <c r="M12" s="12">
        <v>120</v>
      </c>
      <c r="N12" s="12">
        <v>126</v>
      </c>
      <c r="O12" s="12">
        <v>145</v>
      </c>
      <c r="P12" s="12">
        <v>119</v>
      </c>
      <c r="Q12" s="12">
        <v>117</v>
      </c>
      <c r="R12" s="12">
        <v>61</v>
      </c>
      <c r="S12" s="12">
        <v>120</v>
      </c>
      <c r="T12" s="12">
        <v>114</v>
      </c>
      <c r="U12" s="12">
        <v>67</v>
      </c>
      <c r="V12" s="12">
        <v>126</v>
      </c>
      <c r="W12" s="12">
        <v>55</v>
      </c>
      <c r="X12" s="12">
        <v>146</v>
      </c>
      <c r="Y12" s="12">
        <v>122</v>
      </c>
      <c r="Z12" s="12">
        <v>117</v>
      </c>
      <c r="AA12" s="12">
        <v>123</v>
      </c>
      <c r="AB12" s="12">
        <v>135</v>
      </c>
      <c r="AC12" s="12">
        <v>115</v>
      </c>
      <c r="AD12" s="12">
        <v>117</v>
      </c>
      <c r="AE12" s="12">
        <v>131</v>
      </c>
      <c r="AF12" s="12">
        <v>93</v>
      </c>
    </row>
    <row r="13" spans="1:32">
      <c r="A13" s="19"/>
      <c r="B13" s="13" t="s">
        <v>1250</v>
      </c>
      <c r="C13" s="14">
        <v>0.12</v>
      </c>
      <c r="D13" s="14">
        <v>0.14000000000000001</v>
      </c>
      <c r="E13" s="14">
        <v>0.11</v>
      </c>
      <c r="F13" s="14">
        <v>0.12</v>
      </c>
      <c r="G13" s="14">
        <v>0.13</v>
      </c>
      <c r="H13" s="14">
        <v>0.12</v>
      </c>
      <c r="I13" s="14">
        <v>0.12</v>
      </c>
      <c r="J13" s="14">
        <v>0.11</v>
      </c>
      <c r="K13" s="14">
        <v>0.12</v>
      </c>
      <c r="L13" s="14">
        <v>0.16</v>
      </c>
      <c r="M13" s="14">
        <v>0.12</v>
      </c>
      <c r="N13" s="14">
        <v>0.12</v>
      </c>
      <c r="O13" s="14">
        <v>0.14000000000000001</v>
      </c>
      <c r="P13" s="14">
        <v>0.12</v>
      </c>
      <c r="Q13" s="14">
        <v>0.11</v>
      </c>
      <c r="R13" s="14">
        <v>0.12</v>
      </c>
      <c r="S13" s="14">
        <v>0.12</v>
      </c>
      <c r="T13" s="14">
        <v>0.11</v>
      </c>
      <c r="U13" s="14">
        <v>0.13</v>
      </c>
      <c r="V13" s="14">
        <v>0.12</v>
      </c>
      <c r="W13" s="14">
        <v>0.11</v>
      </c>
      <c r="X13" s="14">
        <v>0.15</v>
      </c>
      <c r="Y13" s="14">
        <v>0.12</v>
      </c>
      <c r="Z13" s="14">
        <v>0.12</v>
      </c>
      <c r="AA13" s="14">
        <v>0.12</v>
      </c>
      <c r="AB13" s="14">
        <v>0.13</v>
      </c>
      <c r="AC13" s="14">
        <v>0.11</v>
      </c>
      <c r="AD13" s="14">
        <v>0.12</v>
      </c>
      <c r="AE13" s="14">
        <v>0.13</v>
      </c>
      <c r="AF13" s="14">
        <v>0.09</v>
      </c>
    </row>
    <row r="14" spans="1:32">
      <c r="A14" s="19"/>
      <c r="B14" s="11" t="s">
        <v>1251</v>
      </c>
      <c r="C14" s="12">
        <v>5677</v>
      </c>
      <c r="D14" s="12">
        <v>237</v>
      </c>
      <c r="E14" s="12">
        <v>201</v>
      </c>
      <c r="F14" s="12">
        <v>232</v>
      </c>
      <c r="G14" s="12">
        <v>236</v>
      </c>
      <c r="H14" s="12">
        <v>276</v>
      </c>
      <c r="I14" s="12">
        <v>337</v>
      </c>
      <c r="J14" s="12">
        <v>61</v>
      </c>
      <c r="K14" s="12">
        <v>238</v>
      </c>
      <c r="L14" s="12">
        <v>241</v>
      </c>
      <c r="M14" s="12">
        <v>189</v>
      </c>
      <c r="N14" s="12">
        <v>204</v>
      </c>
      <c r="O14" s="12">
        <v>216</v>
      </c>
      <c r="P14" s="12">
        <v>212</v>
      </c>
      <c r="Q14" s="12">
        <v>191</v>
      </c>
      <c r="R14" s="12">
        <v>139</v>
      </c>
      <c r="S14" s="12">
        <v>221</v>
      </c>
      <c r="T14" s="12">
        <v>242</v>
      </c>
      <c r="U14" s="12">
        <v>143</v>
      </c>
      <c r="V14" s="12">
        <v>225</v>
      </c>
      <c r="W14" s="12">
        <v>162</v>
      </c>
      <c r="X14" s="12">
        <v>233</v>
      </c>
      <c r="Y14" s="12">
        <v>237</v>
      </c>
      <c r="Z14" s="12">
        <v>241</v>
      </c>
      <c r="AA14" s="12">
        <v>200</v>
      </c>
      <c r="AB14" s="12">
        <v>222</v>
      </c>
      <c r="AC14" s="12">
        <v>210</v>
      </c>
      <c r="AD14" s="12">
        <v>240</v>
      </c>
      <c r="AE14" s="12">
        <v>229</v>
      </c>
      <c r="AF14" s="12">
        <v>251</v>
      </c>
    </row>
    <row r="15" spans="1:32">
      <c r="A15" s="19"/>
      <c r="B15" s="13" t="s">
        <v>1251</v>
      </c>
      <c r="C15" s="14">
        <v>0.21</v>
      </c>
      <c r="D15" s="14">
        <v>0.23</v>
      </c>
      <c r="E15" s="14">
        <v>0.19</v>
      </c>
      <c r="F15" s="14">
        <v>0.22</v>
      </c>
      <c r="G15" s="14">
        <v>0.23</v>
      </c>
      <c r="H15" s="14">
        <v>0.22</v>
      </c>
      <c r="I15" s="14">
        <v>0.22</v>
      </c>
      <c r="J15" s="14">
        <v>0.2</v>
      </c>
      <c r="K15" s="14">
        <v>0.24</v>
      </c>
      <c r="L15" s="14">
        <v>0.24</v>
      </c>
      <c r="M15" s="14">
        <v>0.19</v>
      </c>
      <c r="N15" s="14">
        <v>0.2</v>
      </c>
      <c r="O15" s="14">
        <v>0.22</v>
      </c>
      <c r="P15" s="14">
        <v>0.21</v>
      </c>
      <c r="Q15" s="14">
        <v>0.19</v>
      </c>
      <c r="R15" s="14">
        <v>0.28000000000000003</v>
      </c>
      <c r="S15" s="14">
        <v>0.22</v>
      </c>
      <c r="T15" s="14">
        <v>0.24</v>
      </c>
      <c r="U15" s="14">
        <v>0.28000000000000003</v>
      </c>
      <c r="V15" s="14">
        <v>0.22</v>
      </c>
      <c r="W15" s="14">
        <v>0.32</v>
      </c>
      <c r="X15" s="14">
        <v>0.23</v>
      </c>
      <c r="Y15" s="14">
        <v>0.24</v>
      </c>
      <c r="Z15" s="14">
        <v>0.24</v>
      </c>
      <c r="AA15" s="14">
        <v>0.19</v>
      </c>
      <c r="AB15" s="14">
        <v>0.21</v>
      </c>
      <c r="AC15" s="14">
        <v>0.21</v>
      </c>
      <c r="AD15" s="14">
        <v>0.24</v>
      </c>
      <c r="AE15" s="14">
        <v>0.23</v>
      </c>
      <c r="AF15" s="14">
        <v>0.24</v>
      </c>
    </row>
    <row r="16" spans="1:32">
      <c r="A16" s="19"/>
      <c r="B16" s="11" t="s">
        <v>1252</v>
      </c>
      <c r="C16" s="12">
        <v>6482</v>
      </c>
      <c r="D16" s="12">
        <v>237</v>
      </c>
      <c r="E16" s="12">
        <v>273</v>
      </c>
      <c r="F16" s="12">
        <v>294</v>
      </c>
      <c r="G16" s="12">
        <v>226</v>
      </c>
      <c r="H16" s="12">
        <v>272</v>
      </c>
      <c r="I16" s="12">
        <v>337</v>
      </c>
      <c r="J16" s="12">
        <v>65</v>
      </c>
      <c r="K16" s="12">
        <v>249</v>
      </c>
      <c r="L16" s="12">
        <v>275</v>
      </c>
      <c r="M16" s="12">
        <v>263</v>
      </c>
      <c r="N16" s="12">
        <v>278</v>
      </c>
      <c r="O16" s="12">
        <v>231</v>
      </c>
      <c r="P16" s="12">
        <v>238</v>
      </c>
      <c r="Q16" s="12">
        <v>255</v>
      </c>
      <c r="R16" s="12">
        <v>125</v>
      </c>
      <c r="S16" s="12">
        <v>244</v>
      </c>
      <c r="T16" s="12">
        <v>246</v>
      </c>
      <c r="U16" s="12">
        <v>131</v>
      </c>
      <c r="V16" s="12">
        <v>282</v>
      </c>
      <c r="W16" s="12">
        <v>119</v>
      </c>
      <c r="X16" s="12">
        <v>223</v>
      </c>
      <c r="Y16" s="12">
        <v>237</v>
      </c>
      <c r="Z16" s="12">
        <v>268</v>
      </c>
      <c r="AA16" s="12">
        <v>260</v>
      </c>
      <c r="AB16" s="12">
        <v>281</v>
      </c>
      <c r="AC16" s="12">
        <v>259</v>
      </c>
      <c r="AD16" s="12">
        <v>277</v>
      </c>
      <c r="AE16" s="12">
        <v>216</v>
      </c>
      <c r="AF16" s="12">
        <v>247</v>
      </c>
    </row>
    <row r="17" spans="1:32">
      <c r="A17" s="19"/>
      <c r="B17" s="13" t="s">
        <v>1252</v>
      </c>
      <c r="C17" s="14">
        <v>0.25</v>
      </c>
      <c r="D17" s="14">
        <v>0.23</v>
      </c>
      <c r="E17" s="14">
        <v>0.26</v>
      </c>
      <c r="F17" s="14">
        <v>0.28000000000000003</v>
      </c>
      <c r="G17" s="14">
        <v>0.22</v>
      </c>
      <c r="H17" s="14">
        <v>0.22</v>
      </c>
      <c r="I17" s="14">
        <v>0.22</v>
      </c>
      <c r="J17" s="14">
        <v>0.22</v>
      </c>
      <c r="K17" s="14">
        <v>0.25</v>
      </c>
      <c r="L17" s="14">
        <v>0.27</v>
      </c>
      <c r="M17" s="14">
        <v>0.26</v>
      </c>
      <c r="N17" s="14">
        <v>0.28000000000000003</v>
      </c>
      <c r="O17" s="14">
        <v>0.23</v>
      </c>
      <c r="P17" s="14">
        <v>0.24</v>
      </c>
      <c r="Q17" s="14">
        <v>0.25</v>
      </c>
      <c r="R17" s="14">
        <v>0.25</v>
      </c>
      <c r="S17" s="14">
        <v>0.24</v>
      </c>
      <c r="T17" s="14">
        <v>0.24</v>
      </c>
      <c r="U17" s="14">
        <v>0.26</v>
      </c>
      <c r="V17" s="14">
        <v>0.28000000000000003</v>
      </c>
      <c r="W17" s="14">
        <v>0.24</v>
      </c>
      <c r="X17" s="14">
        <v>0.22</v>
      </c>
      <c r="Y17" s="14">
        <v>0.24</v>
      </c>
      <c r="Z17" s="14">
        <v>0.26</v>
      </c>
      <c r="AA17" s="14">
        <v>0.25</v>
      </c>
      <c r="AB17" s="14">
        <v>0.27</v>
      </c>
      <c r="AC17" s="14">
        <v>0.26</v>
      </c>
      <c r="AD17" s="14">
        <v>0.27</v>
      </c>
      <c r="AE17" s="14">
        <v>0.22</v>
      </c>
      <c r="AF17" s="14">
        <v>0.24</v>
      </c>
    </row>
    <row r="18" spans="1:32">
      <c r="A18" s="19"/>
      <c r="B18" s="11" t="s">
        <v>1253</v>
      </c>
      <c r="C18" s="12">
        <v>11021</v>
      </c>
      <c r="D18" s="12">
        <v>404</v>
      </c>
      <c r="E18" s="12">
        <v>460</v>
      </c>
      <c r="F18" s="12">
        <v>409</v>
      </c>
      <c r="G18" s="12">
        <v>422</v>
      </c>
      <c r="H18" s="12">
        <v>535</v>
      </c>
      <c r="I18" s="12">
        <v>676</v>
      </c>
      <c r="J18" s="12">
        <v>140</v>
      </c>
      <c r="K18" s="12">
        <v>394</v>
      </c>
      <c r="L18" s="12">
        <v>334</v>
      </c>
      <c r="M18" s="12">
        <v>435</v>
      </c>
      <c r="N18" s="12">
        <v>403</v>
      </c>
      <c r="O18" s="12">
        <v>413</v>
      </c>
      <c r="P18" s="12">
        <v>435</v>
      </c>
      <c r="Q18" s="12">
        <v>468</v>
      </c>
      <c r="R18" s="12">
        <v>177</v>
      </c>
      <c r="S18" s="12">
        <v>419</v>
      </c>
      <c r="T18" s="12">
        <v>420</v>
      </c>
      <c r="U18" s="12">
        <v>167</v>
      </c>
      <c r="V18" s="12">
        <v>394</v>
      </c>
      <c r="W18" s="12">
        <v>166</v>
      </c>
      <c r="X18" s="12">
        <v>407</v>
      </c>
      <c r="Y18" s="12">
        <v>407</v>
      </c>
      <c r="Z18" s="12">
        <v>390</v>
      </c>
      <c r="AA18" s="12">
        <v>453</v>
      </c>
      <c r="AB18" s="12">
        <v>403</v>
      </c>
      <c r="AC18" s="12">
        <v>422</v>
      </c>
      <c r="AD18" s="12">
        <v>369</v>
      </c>
      <c r="AE18" s="12">
        <v>425</v>
      </c>
      <c r="AF18" s="12">
        <v>439</v>
      </c>
    </row>
    <row r="19" spans="1:32">
      <c r="A19" s="19"/>
      <c r="B19" s="13" t="s">
        <v>1253</v>
      </c>
      <c r="C19" s="14">
        <v>0.42</v>
      </c>
      <c r="D19" s="14">
        <v>0.4</v>
      </c>
      <c r="E19" s="14">
        <v>0.44</v>
      </c>
      <c r="F19" s="14">
        <v>0.38</v>
      </c>
      <c r="G19" s="14">
        <v>0.42</v>
      </c>
      <c r="H19" s="14">
        <v>0.44</v>
      </c>
      <c r="I19" s="14">
        <v>0.44</v>
      </c>
      <c r="J19" s="14">
        <v>0.47</v>
      </c>
      <c r="K19" s="14">
        <v>0.39</v>
      </c>
      <c r="L19" s="14">
        <v>0.33</v>
      </c>
      <c r="M19" s="14">
        <v>0.43</v>
      </c>
      <c r="N19" s="14">
        <v>0.4</v>
      </c>
      <c r="O19" s="14">
        <v>0.41</v>
      </c>
      <c r="P19" s="14">
        <v>0.43</v>
      </c>
      <c r="Q19" s="14">
        <v>0.45</v>
      </c>
      <c r="R19" s="14">
        <v>0.35</v>
      </c>
      <c r="S19" s="14">
        <v>0.42</v>
      </c>
      <c r="T19" s="14">
        <v>0.41</v>
      </c>
      <c r="U19" s="14">
        <v>0.33</v>
      </c>
      <c r="V19" s="14">
        <v>0.38</v>
      </c>
      <c r="W19" s="14">
        <v>0.33</v>
      </c>
      <c r="X19" s="14">
        <v>0.4</v>
      </c>
      <c r="Y19" s="14">
        <v>0.4</v>
      </c>
      <c r="Z19" s="14">
        <v>0.38</v>
      </c>
      <c r="AA19" s="14">
        <v>0.44</v>
      </c>
      <c r="AB19" s="14">
        <v>0.39</v>
      </c>
      <c r="AC19" s="14">
        <v>0.42</v>
      </c>
      <c r="AD19" s="14">
        <v>0.37</v>
      </c>
      <c r="AE19" s="14">
        <v>0.42</v>
      </c>
      <c r="AF19" s="14">
        <v>0.43</v>
      </c>
    </row>
    <row r="20" spans="1:32">
      <c r="A20" s="19"/>
      <c r="B20" s="11" t="s">
        <v>1254</v>
      </c>
      <c r="C20" s="12">
        <v>49.28</v>
      </c>
      <c r="D20" s="12">
        <v>48.14</v>
      </c>
      <c r="E20" s="12">
        <v>50.38</v>
      </c>
      <c r="F20" s="12">
        <v>48.4</v>
      </c>
      <c r="G20" s="12">
        <v>49.8</v>
      </c>
      <c r="H20" s="12">
        <v>49.71</v>
      </c>
      <c r="I20" s="12">
        <v>50.02</v>
      </c>
      <c r="J20" s="12">
        <v>51.33</v>
      </c>
      <c r="K20" s="12">
        <v>48.27</v>
      </c>
      <c r="L20" s="12">
        <v>46.22</v>
      </c>
      <c r="M20" s="12">
        <v>49.95</v>
      </c>
      <c r="N20" s="12">
        <v>49.13</v>
      </c>
      <c r="O20" s="12">
        <v>48.7</v>
      </c>
      <c r="P20" s="12">
        <v>49.15</v>
      </c>
      <c r="Q20" s="12">
        <v>50.48</v>
      </c>
      <c r="R20" s="12">
        <v>47.02</v>
      </c>
      <c r="S20" s="12">
        <v>49.48</v>
      </c>
      <c r="T20" s="12">
        <v>49.44</v>
      </c>
      <c r="U20" s="12">
        <v>45.97</v>
      </c>
      <c r="V20" s="12">
        <v>48.71</v>
      </c>
      <c r="W20" s="12">
        <v>46.61</v>
      </c>
      <c r="X20" s="12">
        <v>48.01</v>
      </c>
      <c r="Y20" s="12">
        <v>48.68</v>
      </c>
      <c r="Z20" s="12">
        <v>48.44</v>
      </c>
      <c r="AA20" s="12">
        <v>50.56</v>
      </c>
      <c r="AB20" s="12">
        <v>48.06</v>
      </c>
      <c r="AC20" s="12">
        <v>49.66</v>
      </c>
      <c r="AD20" s="12">
        <v>47.62</v>
      </c>
      <c r="AE20" s="12">
        <v>49.53</v>
      </c>
      <c r="AF20" s="12">
        <v>51.18</v>
      </c>
    </row>
    <row r="21" spans="1:32">
      <c r="A21" s="19"/>
      <c r="B21" s="13" t="s">
        <v>1255</v>
      </c>
      <c r="C21" s="15" t="s">
        <v>375</v>
      </c>
      <c r="D21" s="15" t="s">
        <v>375</v>
      </c>
      <c r="E21" s="15" t="s">
        <v>375</v>
      </c>
      <c r="F21" s="15" t="s">
        <v>375</v>
      </c>
      <c r="G21" s="15" t="s">
        <v>375</v>
      </c>
      <c r="H21" s="15" t="s">
        <v>375</v>
      </c>
      <c r="I21" s="15" t="s">
        <v>375</v>
      </c>
      <c r="J21" s="15" t="s">
        <v>375</v>
      </c>
      <c r="K21" s="15" t="s">
        <v>375</v>
      </c>
      <c r="L21" s="15" t="s">
        <v>375</v>
      </c>
      <c r="M21" s="15" t="s">
        <v>375</v>
      </c>
      <c r="N21" s="15" t="s">
        <v>375</v>
      </c>
      <c r="O21" s="15" t="s">
        <v>375</v>
      </c>
      <c r="P21" s="15" t="s">
        <v>375</v>
      </c>
      <c r="Q21" s="15" t="s">
        <v>375</v>
      </c>
      <c r="R21" s="15" t="s">
        <v>375</v>
      </c>
      <c r="S21" s="15" t="s">
        <v>375</v>
      </c>
      <c r="T21" s="15" t="s">
        <v>375</v>
      </c>
      <c r="U21" s="15" t="s">
        <v>375</v>
      </c>
      <c r="V21" s="15" t="s">
        <v>375</v>
      </c>
      <c r="W21" s="15" t="s">
        <v>375</v>
      </c>
      <c r="X21" s="15" t="s">
        <v>375</v>
      </c>
      <c r="Y21" s="15" t="s">
        <v>375</v>
      </c>
      <c r="Z21" s="15" t="s">
        <v>375</v>
      </c>
      <c r="AA21" s="15" t="s">
        <v>375</v>
      </c>
      <c r="AB21" s="15" t="s">
        <v>375</v>
      </c>
      <c r="AC21" s="15" t="s">
        <v>375</v>
      </c>
      <c r="AD21" s="15" t="s">
        <v>375</v>
      </c>
      <c r="AE21" s="15" t="s">
        <v>375</v>
      </c>
      <c r="AF21" s="15" t="s">
        <v>375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263</v>
      </c>
      <c r="C3" s="17"/>
      <c r="D3" s="17"/>
      <c r="E3" s="17"/>
      <c r="F3" s="17"/>
      <c r="H3" s="17" t="s">
        <v>264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1250</v>
      </c>
      <c r="C12" s="12">
        <v>3274</v>
      </c>
      <c r="D12" s="12">
        <v>143</v>
      </c>
      <c r="E12" s="12">
        <v>112</v>
      </c>
      <c r="F12" s="12">
        <v>129</v>
      </c>
      <c r="G12" s="12">
        <v>132</v>
      </c>
      <c r="H12" s="12">
        <v>146</v>
      </c>
      <c r="I12" s="12">
        <v>177</v>
      </c>
      <c r="J12" s="12">
        <v>31</v>
      </c>
      <c r="K12" s="12">
        <v>124</v>
      </c>
      <c r="L12" s="12">
        <v>157</v>
      </c>
      <c r="M12" s="12">
        <v>120</v>
      </c>
      <c r="N12" s="12">
        <v>126</v>
      </c>
      <c r="O12" s="12">
        <v>145</v>
      </c>
      <c r="P12" s="12">
        <v>119</v>
      </c>
      <c r="Q12" s="12">
        <v>117</v>
      </c>
      <c r="R12" s="12">
        <v>61</v>
      </c>
      <c r="S12" s="12">
        <v>120</v>
      </c>
      <c r="T12" s="12">
        <v>114</v>
      </c>
      <c r="U12" s="12">
        <v>67</v>
      </c>
      <c r="V12" s="12">
        <v>126</v>
      </c>
      <c r="W12" s="12">
        <v>55</v>
      </c>
      <c r="X12" s="12">
        <v>146</v>
      </c>
      <c r="Y12" s="12">
        <v>122</v>
      </c>
      <c r="Z12" s="12">
        <v>117</v>
      </c>
      <c r="AA12" s="12">
        <v>123</v>
      </c>
      <c r="AB12" s="12">
        <v>135</v>
      </c>
      <c r="AC12" s="12">
        <v>115</v>
      </c>
      <c r="AD12" s="12">
        <v>117</v>
      </c>
      <c r="AE12" s="12">
        <v>131</v>
      </c>
      <c r="AF12" s="12">
        <v>93</v>
      </c>
    </row>
    <row r="13" spans="1:32">
      <c r="A13" s="19"/>
      <c r="B13" s="13" t="s">
        <v>1250</v>
      </c>
      <c r="C13" s="14">
        <v>0.12</v>
      </c>
      <c r="D13" s="14">
        <v>0.14000000000000001</v>
      </c>
      <c r="E13" s="14">
        <v>0.11</v>
      </c>
      <c r="F13" s="14">
        <v>0.12</v>
      </c>
      <c r="G13" s="14">
        <v>0.13</v>
      </c>
      <c r="H13" s="14">
        <v>0.12</v>
      </c>
      <c r="I13" s="14">
        <v>0.12</v>
      </c>
      <c r="J13" s="14">
        <v>0.1</v>
      </c>
      <c r="K13" s="14">
        <v>0.12</v>
      </c>
      <c r="L13" s="14">
        <v>0.16</v>
      </c>
      <c r="M13" s="14">
        <v>0.12</v>
      </c>
      <c r="N13" s="14">
        <v>0.13</v>
      </c>
      <c r="O13" s="14">
        <v>0.14000000000000001</v>
      </c>
      <c r="P13" s="14">
        <v>0.12</v>
      </c>
      <c r="Q13" s="14">
        <v>0.11</v>
      </c>
      <c r="R13" s="14">
        <v>0.12</v>
      </c>
      <c r="S13" s="14">
        <v>0.12</v>
      </c>
      <c r="T13" s="14">
        <v>0.11</v>
      </c>
      <c r="U13" s="14">
        <v>0.13</v>
      </c>
      <c r="V13" s="14">
        <v>0.12</v>
      </c>
      <c r="W13" s="14">
        <v>0.11</v>
      </c>
      <c r="X13" s="14">
        <v>0.14000000000000001</v>
      </c>
      <c r="Y13" s="14">
        <v>0.12</v>
      </c>
      <c r="Z13" s="14">
        <v>0.12</v>
      </c>
      <c r="AA13" s="14">
        <v>0.12</v>
      </c>
      <c r="AB13" s="14">
        <v>0.13</v>
      </c>
      <c r="AC13" s="14">
        <v>0.12</v>
      </c>
      <c r="AD13" s="14">
        <v>0.12</v>
      </c>
      <c r="AE13" s="14">
        <v>0.13</v>
      </c>
      <c r="AF13" s="14">
        <v>0.09</v>
      </c>
    </row>
    <row r="14" spans="1:32">
      <c r="A14" s="19"/>
      <c r="B14" s="11" t="s">
        <v>1256</v>
      </c>
      <c r="C14" s="12">
        <v>3459</v>
      </c>
      <c r="D14" s="12">
        <v>153</v>
      </c>
      <c r="E14" s="12">
        <v>127</v>
      </c>
      <c r="F14" s="12">
        <v>135</v>
      </c>
      <c r="G14" s="12">
        <v>120</v>
      </c>
      <c r="H14" s="12">
        <v>180</v>
      </c>
      <c r="I14" s="12">
        <v>211</v>
      </c>
      <c r="J14" s="12">
        <v>31</v>
      </c>
      <c r="K14" s="12">
        <v>136</v>
      </c>
      <c r="L14" s="12">
        <v>128</v>
      </c>
      <c r="M14" s="12">
        <v>115</v>
      </c>
      <c r="N14" s="12">
        <v>137</v>
      </c>
      <c r="O14" s="12">
        <v>151</v>
      </c>
      <c r="P14" s="12">
        <v>133</v>
      </c>
      <c r="Q14" s="12">
        <v>99</v>
      </c>
      <c r="R14" s="12">
        <v>96</v>
      </c>
      <c r="S14" s="12">
        <v>136</v>
      </c>
      <c r="T14" s="12">
        <v>157</v>
      </c>
      <c r="U14" s="12">
        <v>84</v>
      </c>
      <c r="V14" s="12">
        <v>133</v>
      </c>
      <c r="W14" s="12">
        <v>91</v>
      </c>
      <c r="X14" s="12">
        <v>152</v>
      </c>
      <c r="Y14" s="12">
        <v>135</v>
      </c>
      <c r="Z14" s="12">
        <v>124</v>
      </c>
      <c r="AA14" s="12">
        <v>110</v>
      </c>
      <c r="AB14" s="12">
        <v>127</v>
      </c>
      <c r="AC14" s="12">
        <v>133</v>
      </c>
      <c r="AD14" s="12">
        <v>148</v>
      </c>
      <c r="AE14" s="12">
        <v>152</v>
      </c>
      <c r="AF14" s="12">
        <v>137</v>
      </c>
    </row>
    <row r="15" spans="1:32">
      <c r="A15" s="19"/>
      <c r="B15" s="13" t="s">
        <v>1256</v>
      </c>
      <c r="C15" s="14">
        <v>0.13</v>
      </c>
      <c r="D15" s="14">
        <v>0.15</v>
      </c>
      <c r="E15" s="14">
        <v>0.12</v>
      </c>
      <c r="F15" s="14">
        <v>0.13</v>
      </c>
      <c r="G15" s="14">
        <v>0.12</v>
      </c>
      <c r="H15" s="14">
        <v>0.15</v>
      </c>
      <c r="I15" s="14">
        <v>0.14000000000000001</v>
      </c>
      <c r="J15" s="14">
        <v>0.11</v>
      </c>
      <c r="K15" s="14">
        <v>0.14000000000000001</v>
      </c>
      <c r="L15" s="14">
        <v>0.13</v>
      </c>
      <c r="M15" s="14">
        <v>0.12</v>
      </c>
      <c r="N15" s="14">
        <v>0.14000000000000001</v>
      </c>
      <c r="O15" s="14">
        <v>0.15</v>
      </c>
      <c r="P15" s="14">
        <v>0.13</v>
      </c>
      <c r="Q15" s="14">
        <v>0.1</v>
      </c>
      <c r="R15" s="14">
        <v>0.19</v>
      </c>
      <c r="S15" s="14">
        <v>0.14000000000000001</v>
      </c>
      <c r="T15" s="14">
        <v>0.16</v>
      </c>
      <c r="U15" s="14">
        <v>0.17</v>
      </c>
      <c r="V15" s="14">
        <v>0.13</v>
      </c>
      <c r="W15" s="14">
        <v>0.18</v>
      </c>
      <c r="X15" s="14">
        <v>0.15</v>
      </c>
      <c r="Y15" s="14">
        <v>0.13</v>
      </c>
      <c r="Z15" s="14">
        <v>0.12</v>
      </c>
      <c r="AA15" s="14">
        <v>0.11</v>
      </c>
      <c r="AB15" s="14">
        <v>0.12</v>
      </c>
      <c r="AC15" s="14">
        <v>0.13</v>
      </c>
      <c r="AD15" s="14">
        <v>0.15</v>
      </c>
      <c r="AE15" s="14">
        <v>0.15</v>
      </c>
      <c r="AF15" s="14">
        <v>0.13</v>
      </c>
    </row>
    <row r="16" spans="1:32">
      <c r="A16" s="19"/>
      <c r="B16" s="11" t="s">
        <v>1257</v>
      </c>
      <c r="C16" s="12">
        <v>4207</v>
      </c>
      <c r="D16" s="12">
        <v>151</v>
      </c>
      <c r="E16" s="12">
        <v>148</v>
      </c>
      <c r="F16" s="12">
        <v>174</v>
      </c>
      <c r="G16" s="12">
        <v>178</v>
      </c>
      <c r="H16" s="12">
        <v>187</v>
      </c>
      <c r="I16" s="12">
        <v>241</v>
      </c>
      <c r="J16" s="12">
        <v>54</v>
      </c>
      <c r="K16" s="12">
        <v>191</v>
      </c>
      <c r="L16" s="12">
        <v>213</v>
      </c>
      <c r="M16" s="12">
        <v>160</v>
      </c>
      <c r="N16" s="12">
        <v>140</v>
      </c>
      <c r="O16" s="12">
        <v>135</v>
      </c>
      <c r="P16" s="12">
        <v>166</v>
      </c>
      <c r="Q16" s="12">
        <v>165</v>
      </c>
      <c r="R16" s="12">
        <v>81</v>
      </c>
      <c r="S16" s="12">
        <v>166</v>
      </c>
      <c r="T16" s="12">
        <v>154</v>
      </c>
      <c r="U16" s="12">
        <v>114</v>
      </c>
      <c r="V16" s="12">
        <v>158</v>
      </c>
      <c r="W16" s="12">
        <v>109</v>
      </c>
      <c r="X16" s="12">
        <v>151</v>
      </c>
      <c r="Y16" s="12">
        <v>175</v>
      </c>
      <c r="Z16" s="12">
        <v>211</v>
      </c>
      <c r="AA16" s="12">
        <v>158</v>
      </c>
      <c r="AB16" s="12">
        <v>193</v>
      </c>
      <c r="AC16" s="12">
        <v>172</v>
      </c>
      <c r="AD16" s="12">
        <v>184</v>
      </c>
      <c r="AE16" s="12">
        <v>153</v>
      </c>
      <c r="AF16" s="12">
        <v>179</v>
      </c>
    </row>
    <row r="17" spans="1:32">
      <c r="A17" s="19"/>
      <c r="B17" s="13" t="s">
        <v>1257</v>
      </c>
      <c r="C17" s="14">
        <v>0.16</v>
      </c>
      <c r="D17" s="14">
        <v>0.15</v>
      </c>
      <c r="E17" s="14">
        <v>0.14000000000000001</v>
      </c>
      <c r="F17" s="14">
        <v>0.16</v>
      </c>
      <c r="G17" s="14">
        <v>0.17</v>
      </c>
      <c r="H17" s="14">
        <v>0.15</v>
      </c>
      <c r="I17" s="14">
        <v>0.16</v>
      </c>
      <c r="J17" s="14">
        <v>0.18</v>
      </c>
      <c r="K17" s="14">
        <v>0.19</v>
      </c>
      <c r="L17" s="14">
        <v>0.21</v>
      </c>
      <c r="M17" s="14">
        <v>0.16</v>
      </c>
      <c r="N17" s="14">
        <v>0.14000000000000001</v>
      </c>
      <c r="O17" s="14">
        <v>0.14000000000000001</v>
      </c>
      <c r="P17" s="14">
        <v>0.16</v>
      </c>
      <c r="Q17" s="14">
        <v>0.16</v>
      </c>
      <c r="R17" s="14">
        <v>0.16</v>
      </c>
      <c r="S17" s="14">
        <v>0.17</v>
      </c>
      <c r="T17" s="14">
        <v>0.15</v>
      </c>
      <c r="U17" s="14">
        <v>0.22</v>
      </c>
      <c r="V17" s="14">
        <v>0.15</v>
      </c>
      <c r="W17" s="14">
        <v>0.22</v>
      </c>
      <c r="X17" s="14">
        <v>0.15</v>
      </c>
      <c r="Y17" s="14">
        <v>0.18</v>
      </c>
      <c r="Z17" s="14">
        <v>0.21</v>
      </c>
      <c r="AA17" s="14">
        <v>0.15</v>
      </c>
      <c r="AB17" s="14">
        <v>0.19</v>
      </c>
      <c r="AC17" s="14">
        <v>0.17</v>
      </c>
      <c r="AD17" s="14">
        <v>0.18</v>
      </c>
      <c r="AE17" s="14">
        <v>0.16</v>
      </c>
      <c r="AF17" s="14">
        <v>0.17</v>
      </c>
    </row>
    <row r="18" spans="1:32">
      <c r="A18" s="19"/>
      <c r="B18" s="11" t="s">
        <v>1258</v>
      </c>
      <c r="C18" s="12">
        <v>4492</v>
      </c>
      <c r="D18" s="12">
        <v>170</v>
      </c>
      <c r="E18" s="12">
        <v>199</v>
      </c>
      <c r="F18" s="12">
        <v>217</v>
      </c>
      <c r="G18" s="12">
        <v>163</v>
      </c>
      <c r="H18" s="12">
        <v>182</v>
      </c>
      <c r="I18" s="12">
        <v>222</v>
      </c>
      <c r="J18" s="12">
        <v>41</v>
      </c>
      <c r="K18" s="12">
        <v>161</v>
      </c>
      <c r="L18" s="12">
        <v>175</v>
      </c>
      <c r="M18" s="12">
        <v>176</v>
      </c>
      <c r="N18" s="12">
        <v>205</v>
      </c>
      <c r="O18" s="12">
        <v>160</v>
      </c>
      <c r="P18" s="12">
        <v>151</v>
      </c>
      <c r="Q18" s="12">
        <v>183</v>
      </c>
      <c r="R18" s="12">
        <v>86</v>
      </c>
      <c r="S18" s="12">
        <v>163</v>
      </c>
      <c r="T18" s="12">
        <v>177</v>
      </c>
      <c r="U18" s="12">
        <v>76</v>
      </c>
      <c r="V18" s="12">
        <v>215</v>
      </c>
      <c r="W18" s="12">
        <v>81</v>
      </c>
      <c r="X18" s="12">
        <v>153</v>
      </c>
      <c r="Y18" s="12">
        <v>165</v>
      </c>
      <c r="Z18" s="12">
        <v>174</v>
      </c>
      <c r="AA18" s="12">
        <v>193</v>
      </c>
      <c r="AB18" s="12">
        <v>183</v>
      </c>
      <c r="AC18" s="12">
        <v>164</v>
      </c>
      <c r="AD18" s="12">
        <v>185</v>
      </c>
      <c r="AE18" s="12">
        <v>140</v>
      </c>
      <c r="AF18" s="12">
        <v>183</v>
      </c>
    </row>
    <row r="19" spans="1:32">
      <c r="A19" s="19"/>
      <c r="B19" s="13" t="s">
        <v>1258</v>
      </c>
      <c r="C19" s="14">
        <v>0.17</v>
      </c>
      <c r="D19" s="14">
        <v>0.16</v>
      </c>
      <c r="E19" s="14">
        <v>0.19</v>
      </c>
      <c r="F19" s="14">
        <v>0.2</v>
      </c>
      <c r="G19" s="14">
        <v>0.16</v>
      </c>
      <c r="H19" s="14">
        <v>0.15</v>
      </c>
      <c r="I19" s="14">
        <v>0.14000000000000001</v>
      </c>
      <c r="J19" s="14">
        <v>0.14000000000000001</v>
      </c>
      <c r="K19" s="14">
        <v>0.16</v>
      </c>
      <c r="L19" s="14">
        <v>0.17</v>
      </c>
      <c r="M19" s="14">
        <v>0.17</v>
      </c>
      <c r="N19" s="14">
        <v>0.2</v>
      </c>
      <c r="O19" s="14">
        <v>0.16</v>
      </c>
      <c r="P19" s="14">
        <v>0.15</v>
      </c>
      <c r="Q19" s="14">
        <v>0.18</v>
      </c>
      <c r="R19" s="14">
        <v>0.17</v>
      </c>
      <c r="S19" s="14">
        <v>0.16</v>
      </c>
      <c r="T19" s="14">
        <v>0.17</v>
      </c>
      <c r="U19" s="14">
        <v>0.15</v>
      </c>
      <c r="V19" s="14">
        <v>0.21</v>
      </c>
      <c r="W19" s="14">
        <v>0.16</v>
      </c>
      <c r="X19" s="14">
        <v>0.15</v>
      </c>
      <c r="Y19" s="14">
        <v>0.16</v>
      </c>
      <c r="Z19" s="14">
        <v>0.17</v>
      </c>
      <c r="AA19" s="14">
        <v>0.18</v>
      </c>
      <c r="AB19" s="14">
        <v>0.18</v>
      </c>
      <c r="AC19" s="14">
        <v>0.16</v>
      </c>
      <c r="AD19" s="14">
        <v>0.18</v>
      </c>
      <c r="AE19" s="14">
        <v>0.14000000000000001</v>
      </c>
      <c r="AF19" s="14">
        <v>0.18</v>
      </c>
    </row>
    <row r="20" spans="1:32">
      <c r="A20" s="19"/>
      <c r="B20" s="11" t="s">
        <v>1259</v>
      </c>
      <c r="C20" s="12">
        <v>4306</v>
      </c>
      <c r="D20" s="12">
        <v>161</v>
      </c>
      <c r="E20" s="12">
        <v>170</v>
      </c>
      <c r="F20" s="12">
        <v>150</v>
      </c>
      <c r="G20" s="12">
        <v>158</v>
      </c>
      <c r="H20" s="12">
        <v>224</v>
      </c>
      <c r="I20" s="12">
        <v>278</v>
      </c>
      <c r="J20" s="12">
        <v>54</v>
      </c>
      <c r="K20" s="12">
        <v>149</v>
      </c>
      <c r="L20" s="12">
        <v>142</v>
      </c>
      <c r="M20" s="12">
        <v>165</v>
      </c>
      <c r="N20" s="12">
        <v>165</v>
      </c>
      <c r="O20" s="12">
        <v>153</v>
      </c>
      <c r="P20" s="12">
        <v>166</v>
      </c>
      <c r="Q20" s="12">
        <v>182</v>
      </c>
      <c r="R20" s="12">
        <v>72</v>
      </c>
      <c r="S20" s="12">
        <v>165</v>
      </c>
      <c r="T20" s="12">
        <v>177</v>
      </c>
      <c r="U20" s="12">
        <v>77</v>
      </c>
      <c r="V20" s="12">
        <v>145</v>
      </c>
      <c r="W20" s="12">
        <v>60</v>
      </c>
      <c r="X20" s="12">
        <v>164</v>
      </c>
      <c r="Y20" s="12">
        <v>175</v>
      </c>
      <c r="Z20" s="12">
        <v>145</v>
      </c>
      <c r="AA20" s="12">
        <v>167</v>
      </c>
      <c r="AB20" s="12">
        <v>155</v>
      </c>
      <c r="AC20" s="12">
        <v>165</v>
      </c>
      <c r="AD20" s="12">
        <v>150</v>
      </c>
      <c r="AE20" s="12">
        <v>151</v>
      </c>
      <c r="AF20" s="12">
        <v>160</v>
      </c>
    </row>
    <row r="21" spans="1:32">
      <c r="A21" s="19"/>
      <c r="B21" s="13" t="s">
        <v>1259</v>
      </c>
      <c r="C21" s="14">
        <v>0.16</v>
      </c>
      <c r="D21" s="14">
        <v>0.16</v>
      </c>
      <c r="E21" s="14">
        <v>0.16</v>
      </c>
      <c r="F21" s="14">
        <v>0.14000000000000001</v>
      </c>
      <c r="G21" s="14">
        <v>0.16</v>
      </c>
      <c r="H21" s="14">
        <v>0.18</v>
      </c>
      <c r="I21" s="14">
        <v>0.18</v>
      </c>
      <c r="J21" s="14">
        <v>0.18</v>
      </c>
      <c r="K21" s="14">
        <v>0.15</v>
      </c>
      <c r="L21" s="14">
        <v>0.14000000000000001</v>
      </c>
      <c r="M21" s="14">
        <v>0.16</v>
      </c>
      <c r="N21" s="14">
        <v>0.16</v>
      </c>
      <c r="O21" s="14">
        <v>0.15</v>
      </c>
      <c r="P21" s="14">
        <v>0.17</v>
      </c>
      <c r="Q21" s="14">
        <v>0.18</v>
      </c>
      <c r="R21" s="14">
        <v>0.15</v>
      </c>
      <c r="S21" s="14">
        <v>0.16</v>
      </c>
      <c r="T21" s="14">
        <v>0.17</v>
      </c>
      <c r="U21" s="14">
        <v>0.15</v>
      </c>
      <c r="V21" s="14">
        <v>0.14000000000000001</v>
      </c>
      <c r="W21" s="14">
        <v>0.12</v>
      </c>
      <c r="X21" s="14">
        <v>0.16</v>
      </c>
      <c r="Y21" s="14">
        <v>0.17</v>
      </c>
      <c r="Z21" s="14">
        <v>0.14000000000000001</v>
      </c>
      <c r="AA21" s="14">
        <v>0.16</v>
      </c>
      <c r="AB21" s="14">
        <v>0.15</v>
      </c>
      <c r="AC21" s="14">
        <v>0.16</v>
      </c>
      <c r="AD21" s="14">
        <v>0.15</v>
      </c>
      <c r="AE21" s="14">
        <v>0.15</v>
      </c>
      <c r="AF21" s="14">
        <v>0.16</v>
      </c>
    </row>
    <row r="22" spans="1:32">
      <c r="A22" s="19"/>
      <c r="B22" s="11" t="s">
        <v>1260</v>
      </c>
      <c r="C22" s="12">
        <v>4154</v>
      </c>
      <c r="D22" s="12">
        <v>161</v>
      </c>
      <c r="E22" s="12">
        <v>212</v>
      </c>
      <c r="F22" s="12">
        <v>190</v>
      </c>
      <c r="G22" s="12">
        <v>144</v>
      </c>
      <c r="H22" s="12">
        <v>165</v>
      </c>
      <c r="I22" s="12">
        <v>223</v>
      </c>
      <c r="J22" s="12">
        <v>58</v>
      </c>
      <c r="K22" s="12">
        <v>152</v>
      </c>
      <c r="L22" s="12">
        <v>123</v>
      </c>
      <c r="M22" s="12">
        <v>154</v>
      </c>
      <c r="N22" s="12">
        <v>146</v>
      </c>
      <c r="O22" s="12">
        <v>156</v>
      </c>
      <c r="P22" s="12">
        <v>207</v>
      </c>
      <c r="Q22" s="12">
        <v>188</v>
      </c>
      <c r="R22" s="12">
        <v>61</v>
      </c>
      <c r="S22" s="12">
        <v>134</v>
      </c>
      <c r="T22" s="12">
        <v>124</v>
      </c>
      <c r="U22" s="12">
        <v>58</v>
      </c>
      <c r="V22" s="12">
        <v>169</v>
      </c>
      <c r="W22" s="12">
        <v>67</v>
      </c>
      <c r="X22" s="12">
        <v>168</v>
      </c>
      <c r="Y22" s="12">
        <v>147</v>
      </c>
      <c r="Z22" s="12">
        <v>161</v>
      </c>
      <c r="AA22" s="12">
        <v>156</v>
      </c>
      <c r="AB22" s="12">
        <v>172</v>
      </c>
      <c r="AC22" s="12">
        <v>157</v>
      </c>
      <c r="AD22" s="12">
        <v>159</v>
      </c>
      <c r="AE22" s="12">
        <v>162</v>
      </c>
      <c r="AF22" s="12">
        <v>126</v>
      </c>
    </row>
    <row r="23" spans="1:32">
      <c r="A23" s="19"/>
      <c r="B23" s="13" t="s">
        <v>1260</v>
      </c>
      <c r="C23" s="14">
        <v>0.16</v>
      </c>
      <c r="D23" s="14">
        <v>0.16</v>
      </c>
      <c r="E23" s="14">
        <v>0.2</v>
      </c>
      <c r="F23" s="14">
        <v>0.18</v>
      </c>
      <c r="G23" s="14">
        <v>0.14000000000000001</v>
      </c>
      <c r="H23" s="14">
        <v>0.13</v>
      </c>
      <c r="I23" s="14">
        <v>0.15</v>
      </c>
      <c r="J23" s="14">
        <v>0.19</v>
      </c>
      <c r="K23" s="14">
        <v>0.15</v>
      </c>
      <c r="L23" s="14">
        <v>0.12</v>
      </c>
      <c r="M23" s="14">
        <v>0.15</v>
      </c>
      <c r="N23" s="14">
        <v>0.14000000000000001</v>
      </c>
      <c r="O23" s="14">
        <v>0.16</v>
      </c>
      <c r="P23" s="14">
        <v>0.21</v>
      </c>
      <c r="Q23" s="14">
        <v>0.18</v>
      </c>
      <c r="R23" s="14">
        <v>0.12</v>
      </c>
      <c r="S23" s="14">
        <v>0.13</v>
      </c>
      <c r="T23" s="14">
        <v>0.12</v>
      </c>
      <c r="U23" s="14">
        <v>0.12</v>
      </c>
      <c r="V23" s="14">
        <v>0.17</v>
      </c>
      <c r="W23" s="14">
        <v>0.13</v>
      </c>
      <c r="X23" s="14">
        <v>0.17</v>
      </c>
      <c r="Y23" s="14">
        <v>0.15</v>
      </c>
      <c r="Z23" s="14">
        <v>0.16</v>
      </c>
      <c r="AA23" s="14">
        <v>0.15</v>
      </c>
      <c r="AB23" s="14">
        <v>0.16</v>
      </c>
      <c r="AC23" s="14">
        <v>0.16</v>
      </c>
      <c r="AD23" s="14">
        <v>0.16</v>
      </c>
      <c r="AE23" s="14">
        <v>0.16</v>
      </c>
      <c r="AF23" s="14">
        <v>0.12</v>
      </c>
    </row>
    <row r="24" spans="1:32">
      <c r="A24" s="19"/>
      <c r="B24" s="11" t="s">
        <v>1261</v>
      </c>
      <c r="C24" s="12">
        <v>2561</v>
      </c>
      <c r="D24" s="12">
        <v>82</v>
      </c>
      <c r="E24" s="12">
        <v>77</v>
      </c>
      <c r="F24" s="12">
        <v>70</v>
      </c>
      <c r="G24" s="12">
        <v>119</v>
      </c>
      <c r="H24" s="12">
        <v>146</v>
      </c>
      <c r="I24" s="12">
        <v>175</v>
      </c>
      <c r="J24" s="12">
        <v>29</v>
      </c>
      <c r="K24" s="12">
        <v>93</v>
      </c>
      <c r="L24" s="12">
        <v>68</v>
      </c>
      <c r="M24" s="12">
        <v>116</v>
      </c>
      <c r="N24" s="12">
        <v>92</v>
      </c>
      <c r="O24" s="12">
        <v>103</v>
      </c>
      <c r="P24" s="12">
        <v>61</v>
      </c>
      <c r="Q24" s="12">
        <v>98</v>
      </c>
      <c r="R24" s="12">
        <v>44</v>
      </c>
      <c r="S24" s="12">
        <v>120</v>
      </c>
      <c r="T24" s="12">
        <v>120</v>
      </c>
      <c r="U24" s="12">
        <v>32</v>
      </c>
      <c r="V24" s="12">
        <v>79</v>
      </c>
      <c r="W24" s="12">
        <v>38</v>
      </c>
      <c r="X24" s="12">
        <v>75</v>
      </c>
      <c r="Y24" s="12">
        <v>86</v>
      </c>
      <c r="Z24" s="12">
        <v>85</v>
      </c>
      <c r="AA24" s="12">
        <v>131</v>
      </c>
      <c r="AB24" s="12">
        <v>76</v>
      </c>
      <c r="AC24" s="12">
        <v>100</v>
      </c>
      <c r="AD24" s="12">
        <v>60</v>
      </c>
      <c r="AE24" s="12">
        <v>112</v>
      </c>
      <c r="AF24" s="12">
        <v>153</v>
      </c>
    </row>
    <row r="25" spans="1:32">
      <c r="A25" s="19"/>
      <c r="B25" s="13" t="s">
        <v>1261</v>
      </c>
      <c r="C25" s="14">
        <v>0.1</v>
      </c>
      <c r="D25" s="14">
        <v>0.08</v>
      </c>
      <c r="E25" s="14">
        <v>0.08</v>
      </c>
      <c r="F25" s="14">
        <v>7.0000000000000007E-2</v>
      </c>
      <c r="G25" s="14">
        <v>0.12</v>
      </c>
      <c r="H25" s="14">
        <v>0.12</v>
      </c>
      <c r="I25" s="14">
        <v>0.11</v>
      </c>
      <c r="J25" s="14">
        <v>0.1</v>
      </c>
      <c r="K25" s="14">
        <v>0.09</v>
      </c>
      <c r="L25" s="14">
        <v>7.0000000000000007E-2</v>
      </c>
      <c r="M25" s="14">
        <v>0.12</v>
      </c>
      <c r="N25" s="14">
        <v>0.09</v>
      </c>
      <c r="O25" s="14">
        <v>0.1</v>
      </c>
      <c r="P25" s="14">
        <v>0.06</v>
      </c>
      <c r="Q25" s="14">
        <v>0.09</v>
      </c>
      <c r="R25" s="14">
        <v>0.09</v>
      </c>
      <c r="S25" s="14">
        <v>0.12</v>
      </c>
      <c r="T25" s="14">
        <v>0.12</v>
      </c>
      <c r="U25" s="14">
        <v>0.06</v>
      </c>
      <c r="V25" s="14">
        <v>0.08</v>
      </c>
      <c r="W25" s="14">
        <v>0.08</v>
      </c>
      <c r="X25" s="14">
        <v>0.08</v>
      </c>
      <c r="Y25" s="14">
        <v>0.09</v>
      </c>
      <c r="Z25" s="14">
        <v>0.08</v>
      </c>
      <c r="AA25" s="14">
        <v>0.13</v>
      </c>
      <c r="AB25" s="14">
        <v>7.0000000000000007E-2</v>
      </c>
      <c r="AC25" s="14">
        <v>0.1</v>
      </c>
      <c r="AD25" s="14">
        <v>0.06</v>
      </c>
      <c r="AE25" s="14">
        <v>0.11</v>
      </c>
      <c r="AF25" s="14">
        <v>0.15</v>
      </c>
    </row>
    <row r="26" spans="1:32">
      <c r="A26" s="19"/>
      <c r="B26" s="11" t="s">
        <v>1254</v>
      </c>
      <c r="C26" s="12">
        <v>49.28</v>
      </c>
      <c r="D26" s="12">
        <v>48.14</v>
      </c>
      <c r="E26" s="12">
        <v>50.38</v>
      </c>
      <c r="F26" s="12">
        <v>48.4</v>
      </c>
      <c r="G26" s="12">
        <v>49.8</v>
      </c>
      <c r="H26" s="12">
        <v>49.71</v>
      </c>
      <c r="I26" s="12">
        <v>50.02</v>
      </c>
      <c r="J26" s="12">
        <v>51.33</v>
      </c>
      <c r="K26" s="12">
        <v>48.27</v>
      </c>
      <c r="L26" s="12">
        <v>46.22</v>
      </c>
      <c r="M26" s="12">
        <v>49.95</v>
      </c>
      <c r="N26" s="12">
        <v>49.13</v>
      </c>
      <c r="O26" s="12">
        <v>48.7</v>
      </c>
      <c r="P26" s="12">
        <v>49.15</v>
      </c>
      <c r="Q26" s="12">
        <v>50.48</v>
      </c>
      <c r="R26" s="12">
        <v>47.02</v>
      </c>
      <c r="S26" s="12">
        <v>49.48</v>
      </c>
      <c r="T26" s="12">
        <v>49.44</v>
      </c>
      <c r="U26" s="12">
        <v>45.97</v>
      </c>
      <c r="V26" s="12">
        <v>48.71</v>
      </c>
      <c r="W26" s="12">
        <v>46.61</v>
      </c>
      <c r="X26" s="12">
        <v>48.01</v>
      </c>
      <c r="Y26" s="12">
        <v>48.68</v>
      </c>
      <c r="Z26" s="12">
        <v>48.44</v>
      </c>
      <c r="AA26" s="12">
        <v>50.56</v>
      </c>
      <c r="AB26" s="12">
        <v>48.06</v>
      </c>
      <c r="AC26" s="12">
        <v>49.66</v>
      </c>
      <c r="AD26" s="12">
        <v>47.62</v>
      </c>
      <c r="AE26" s="12">
        <v>49.53</v>
      </c>
      <c r="AF26" s="12">
        <v>51.18</v>
      </c>
    </row>
    <row r="27" spans="1:32">
      <c r="A27" s="19"/>
      <c r="B27" s="13" t="s">
        <v>1255</v>
      </c>
      <c r="C27" s="15" t="s">
        <v>375</v>
      </c>
      <c r="D27" s="15" t="s">
        <v>375</v>
      </c>
      <c r="E27" s="15" t="s">
        <v>375</v>
      </c>
      <c r="F27" s="15" t="s">
        <v>375</v>
      </c>
      <c r="G27" s="15" t="s">
        <v>375</v>
      </c>
      <c r="H27" s="15" t="s">
        <v>375</v>
      </c>
      <c r="I27" s="15" t="s">
        <v>375</v>
      </c>
      <c r="J27" s="15" t="s">
        <v>375</v>
      </c>
      <c r="K27" s="15" t="s">
        <v>375</v>
      </c>
      <c r="L27" s="15" t="s">
        <v>375</v>
      </c>
      <c r="M27" s="15" t="s">
        <v>375</v>
      </c>
      <c r="N27" s="15" t="s">
        <v>375</v>
      </c>
      <c r="O27" s="15" t="s">
        <v>375</v>
      </c>
      <c r="P27" s="15" t="s">
        <v>375</v>
      </c>
      <c r="Q27" s="15" t="s">
        <v>375</v>
      </c>
      <c r="R27" s="15" t="s">
        <v>375</v>
      </c>
      <c r="S27" s="15" t="s">
        <v>375</v>
      </c>
      <c r="T27" s="15" t="s">
        <v>375</v>
      </c>
      <c r="U27" s="15" t="s">
        <v>375</v>
      </c>
      <c r="V27" s="15" t="s">
        <v>375</v>
      </c>
      <c r="W27" s="15" t="s">
        <v>375</v>
      </c>
      <c r="X27" s="15" t="s">
        <v>375</v>
      </c>
      <c r="Y27" s="15" t="s">
        <v>375</v>
      </c>
      <c r="Z27" s="15" t="s">
        <v>375</v>
      </c>
      <c r="AA27" s="15" t="s">
        <v>375</v>
      </c>
      <c r="AB27" s="15" t="s">
        <v>375</v>
      </c>
      <c r="AC27" s="15" t="s">
        <v>375</v>
      </c>
      <c r="AD27" s="15" t="s">
        <v>375</v>
      </c>
      <c r="AE27" s="15" t="s">
        <v>375</v>
      </c>
      <c r="AF27" s="15" t="s">
        <v>375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265</v>
      </c>
      <c r="C3" s="17"/>
      <c r="D3" s="17"/>
      <c r="E3" s="17"/>
      <c r="F3" s="17"/>
      <c r="H3" s="17" t="s">
        <v>266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1262</v>
      </c>
      <c r="C12" s="12">
        <v>5313</v>
      </c>
      <c r="D12" s="12">
        <v>216</v>
      </c>
      <c r="E12" s="12">
        <v>173</v>
      </c>
      <c r="F12" s="12">
        <v>198</v>
      </c>
      <c r="G12" s="12">
        <v>191</v>
      </c>
      <c r="H12" s="12">
        <v>278</v>
      </c>
      <c r="I12" s="12">
        <v>328</v>
      </c>
      <c r="J12" s="12">
        <v>50</v>
      </c>
      <c r="K12" s="12">
        <v>202</v>
      </c>
      <c r="L12" s="12">
        <v>221</v>
      </c>
      <c r="M12" s="12">
        <v>193</v>
      </c>
      <c r="N12" s="12">
        <v>203</v>
      </c>
      <c r="O12" s="12">
        <v>235</v>
      </c>
      <c r="P12" s="12">
        <v>193</v>
      </c>
      <c r="Q12" s="12">
        <v>178</v>
      </c>
      <c r="R12" s="12">
        <v>106</v>
      </c>
      <c r="S12" s="12">
        <v>197</v>
      </c>
      <c r="T12" s="12">
        <v>192</v>
      </c>
      <c r="U12" s="12">
        <v>101</v>
      </c>
      <c r="V12" s="12">
        <v>201</v>
      </c>
      <c r="W12" s="12">
        <v>94</v>
      </c>
      <c r="X12" s="12">
        <v>234</v>
      </c>
      <c r="Y12" s="12">
        <v>191</v>
      </c>
      <c r="Z12" s="12">
        <v>182</v>
      </c>
      <c r="AA12" s="12">
        <v>179</v>
      </c>
      <c r="AB12" s="12">
        <v>213</v>
      </c>
      <c r="AC12" s="12">
        <v>183</v>
      </c>
      <c r="AD12" s="12">
        <v>196</v>
      </c>
      <c r="AE12" s="12">
        <v>202</v>
      </c>
      <c r="AF12" s="12">
        <v>150</v>
      </c>
    </row>
    <row r="13" spans="1:32">
      <c r="A13" s="19"/>
      <c r="B13" s="13" t="s">
        <v>1262</v>
      </c>
      <c r="C13" s="14">
        <v>0.2</v>
      </c>
      <c r="D13" s="14">
        <v>0.21</v>
      </c>
      <c r="E13" s="14">
        <v>0.16</v>
      </c>
      <c r="F13" s="14">
        <v>0.19</v>
      </c>
      <c r="G13" s="14">
        <v>0.19</v>
      </c>
      <c r="H13" s="14">
        <v>0.23</v>
      </c>
      <c r="I13" s="14">
        <v>0.22</v>
      </c>
      <c r="J13" s="14">
        <v>0.17</v>
      </c>
      <c r="K13" s="14">
        <v>0.2</v>
      </c>
      <c r="L13" s="14">
        <v>0.22</v>
      </c>
      <c r="M13" s="14">
        <v>0.19</v>
      </c>
      <c r="N13" s="14">
        <v>0.2</v>
      </c>
      <c r="O13" s="14">
        <v>0.23</v>
      </c>
      <c r="P13" s="14">
        <v>0.19</v>
      </c>
      <c r="Q13" s="14">
        <v>0.17</v>
      </c>
      <c r="R13" s="14">
        <v>0.21</v>
      </c>
      <c r="S13" s="14">
        <v>0.2</v>
      </c>
      <c r="T13" s="14">
        <v>0.19</v>
      </c>
      <c r="U13" s="14">
        <v>0.2</v>
      </c>
      <c r="V13" s="14">
        <v>0.2</v>
      </c>
      <c r="W13" s="14">
        <v>0.19</v>
      </c>
      <c r="X13" s="14">
        <v>0.23</v>
      </c>
      <c r="Y13" s="14">
        <v>0.19</v>
      </c>
      <c r="Z13" s="14">
        <v>0.18</v>
      </c>
      <c r="AA13" s="14">
        <v>0.17</v>
      </c>
      <c r="AB13" s="14">
        <v>0.2</v>
      </c>
      <c r="AC13" s="14">
        <v>0.18</v>
      </c>
      <c r="AD13" s="14">
        <v>0.19</v>
      </c>
      <c r="AE13" s="14">
        <v>0.2</v>
      </c>
      <c r="AF13" s="14">
        <v>0.15</v>
      </c>
    </row>
    <row r="14" spans="1:32">
      <c r="A14" s="19"/>
      <c r="B14" s="11" t="s">
        <v>1263</v>
      </c>
      <c r="C14" s="12">
        <v>14425</v>
      </c>
      <c r="D14" s="12">
        <v>562</v>
      </c>
      <c r="E14" s="12">
        <v>584</v>
      </c>
      <c r="F14" s="12">
        <v>606</v>
      </c>
      <c r="G14" s="12">
        <v>562</v>
      </c>
      <c r="H14" s="12">
        <v>641</v>
      </c>
      <c r="I14" s="12">
        <v>801</v>
      </c>
      <c r="J14" s="12">
        <v>160</v>
      </c>
      <c r="K14" s="12">
        <v>558</v>
      </c>
      <c r="L14" s="12">
        <v>593</v>
      </c>
      <c r="M14" s="12">
        <v>544</v>
      </c>
      <c r="N14" s="12">
        <v>570</v>
      </c>
      <c r="O14" s="12">
        <v>510</v>
      </c>
      <c r="P14" s="12">
        <v>541</v>
      </c>
      <c r="Q14" s="12">
        <v>567</v>
      </c>
      <c r="R14" s="12">
        <v>290</v>
      </c>
      <c r="S14" s="12">
        <v>553</v>
      </c>
      <c r="T14" s="12">
        <v>588</v>
      </c>
      <c r="U14" s="12">
        <v>316</v>
      </c>
      <c r="V14" s="12">
        <v>577</v>
      </c>
      <c r="W14" s="12">
        <v>303</v>
      </c>
      <c r="X14" s="12">
        <v>532</v>
      </c>
      <c r="Y14" s="12">
        <v>580</v>
      </c>
      <c r="Z14" s="12">
        <v>589</v>
      </c>
      <c r="AA14" s="12">
        <v>572</v>
      </c>
      <c r="AB14" s="12">
        <v>580</v>
      </c>
      <c r="AC14" s="12">
        <v>565</v>
      </c>
      <c r="AD14" s="12">
        <v>588</v>
      </c>
      <c r="AE14" s="12">
        <v>525</v>
      </c>
      <c r="AF14" s="12">
        <v>602</v>
      </c>
    </row>
    <row r="15" spans="1:32">
      <c r="A15" s="19"/>
      <c r="B15" s="13" t="s">
        <v>1263</v>
      </c>
      <c r="C15" s="14">
        <v>0.55000000000000004</v>
      </c>
      <c r="D15" s="14">
        <v>0.55000000000000004</v>
      </c>
      <c r="E15" s="14">
        <v>0.56000000000000005</v>
      </c>
      <c r="F15" s="14">
        <v>0.57000000000000006</v>
      </c>
      <c r="G15" s="14">
        <v>0.55000000000000004</v>
      </c>
      <c r="H15" s="14">
        <v>0.52</v>
      </c>
      <c r="I15" s="14">
        <v>0.52</v>
      </c>
      <c r="J15" s="14">
        <v>0.54</v>
      </c>
      <c r="K15" s="14">
        <v>0.56000000000000005</v>
      </c>
      <c r="L15" s="14">
        <v>0.59</v>
      </c>
      <c r="M15" s="14">
        <v>0.54</v>
      </c>
      <c r="N15" s="14">
        <v>0.56000000000000005</v>
      </c>
      <c r="O15" s="14">
        <v>0.51</v>
      </c>
      <c r="P15" s="14">
        <v>0.54</v>
      </c>
      <c r="Q15" s="14">
        <v>0.55000000000000004</v>
      </c>
      <c r="R15" s="14">
        <v>0.57999999999999996</v>
      </c>
      <c r="S15" s="14">
        <v>0.55000000000000004</v>
      </c>
      <c r="T15" s="14">
        <v>0.57000000000000006</v>
      </c>
      <c r="U15" s="14">
        <v>0.62</v>
      </c>
      <c r="V15" s="14">
        <v>0.56000000000000005</v>
      </c>
      <c r="W15" s="14">
        <v>0.6</v>
      </c>
      <c r="X15" s="14">
        <v>0.53</v>
      </c>
      <c r="Y15" s="14">
        <v>0.57999999999999996</v>
      </c>
      <c r="Z15" s="14">
        <v>0.57999999999999996</v>
      </c>
      <c r="AA15" s="14">
        <v>0.55000000000000004</v>
      </c>
      <c r="AB15" s="14">
        <v>0.56000000000000005</v>
      </c>
      <c r="AC15" s="14">
        <v>0.56000000000000005</v>
      </c>
      <c r="AD15" s="14">
        <v>0.59</v>
      </c>
      <c r="AE15" s="14">
        <v>0.52</v>
      </c>
      <c r="AF15" s="14">
        <v>0.57999999999999996</v>
      </c>
    </row>
    <row r="16" spans="1:32">
      <c r="A16" s="19"/>
      <c r="B16" s="11" t="s">
        <v>1264</v>
      </c>
      <c r="C16" s="12">
        <v>6715</v>
      </c>
      <c r="D16" s="12">
        <v>243</v>
      </c>
      <c r="E16" s="12">
        <v>289</v>
      </c>
      <c r="F16" s="12">
        <v>260</v>
      </c>
      <c r="G16" s="12">
        <v>263</v>
      </c>
      <c r="H16" s="12">
        <v>311</v>
      </c>
      <c r="I16" s="12">
        <v>398</v>
      </c>
      <c r="J16" s="12">
        <v>86</v>
      </c>
      <c r="K16" s="12">
        <v>245</v>
      </c>
      <c r="L16" s="12">
        <v>192</v>
      </c>
      <c r="M16" s="12">
        <v>270</v>
      </c>
      <c r="N16" s="12">
        <v>238</v>
      </c>
      <c r="O16" s="12">
        <v>259</v>
      </c>
      <c r="P16" s="12">
        <v>269</v>
      </c>
      <c r="Q16" s="12">
        <v>286</v>
      </c>
      <c r="R16" s="12">
        <v>105</v>
      </c>
      <c r="S16" s="12">
        <v>254</v>
      </c>
      <c r="T16" s="12">
        <v>243</v>
      </c>
      <c r="U16" s="12">
        <v>91</v>
      </c>
      <c r="V16" s="12">
        <v>248</v>
      </c>
      <c r="W16" s="12">
        <v>105</v>
      </c>
      <c r="X16" s="12">
        <v>244</v>
      </c>
      <c r="Y16" s="12">
        <v>232</v>
      </c>
      <c r="Z16" s="12">
        <v>245</v>
      </c>
      <c r="AA16" s="12">
        <v>287</v>
      </c>
      <c r="AB16" s="12">
        <v>248</v>
      </c>
      <c r="AC16" s="12">
        <v>257</v>
      </c>
      <c r="AD16" s="12">
        <v>219</v>
      </c>
      <c r="AE16" s="12">
        <v>275</v>
      </c>
      <c r="AF16" s="12">
        <v>279</v>
      </c>
    </row>
    <row r="17" spans="1:32">
      <c r="A17" s="19"/>
      <c r="B17" s="13" t="s">
        <v>1264</v>
      </c>
      <c r="C17" s="14">
        <v>0.25</v>
      </c>
      <c r="D17" s="14">
        <v>0.24</v>
      </c>
      <c r="E17" s="14">
        <v>0.28000000000000003</v>
      </c>
      <c r="F17" s="14">
        <v>0.24</v>
      </c>
      <c r="G17" s="14">
        <v>0.26</v>
      </c>
      <c r="H17" s="14">
        <v>0.25</v>
      </c>
      <c r="I17" s="14">
        <v>0.26</v>
      </c>
      <c r="J17" s="14">
        <v>0.28999999999999998</v>
      </c>
      <c r="K17" s="14">
        <v>0.24</v>
      </c>
      <c r="L17" s="14">
        <v>0.19</v>
      </c>
      <c r="M17" s="14">
        <v>0.27</v>
      </c>
      <c r="N17" s="14">
        <v>0.24</v>
      </c>
      <c r="O17" s="14">
        <v>0.26</v>
      </c>
      <c r="P17" s="14">
        <v>0.27</v>
      </c>
      <c r="Q17" s="14">
        <v>0.28000000000000003</v>
      </c>
      <c r="R17" s="14">
        <v>0.21</v>
      </c>
      <c r="S17" s="14">
        <v>0.25</v>
      </c>
      <c r="T17" s="14">
        <v>0.24</v>
      </c>
      <c r="U17" s="14">
        <v>0.18</v>
      </c>
      <c r="V17" s="14">
        <v>0.24</v>
      </c>
      <c r="W17" s="14">
        <v>0.21</v>
      </c>
      <c r="X17" s="14">
        <v>0.24</v>
      </c>
      <c r="Y17" s="14">
        <v>0.23</v>
      </c>
      <c r="Z17" s="14">
        <v>0.24</v>
      </c>
      <c r="AA17" s="14">
        <v>0.28000000000000003</v>
      </c>
      <c r="AB17" s="14">
        <v>0.24</v>
      </c>
      <c r="AC17" s="14">
        <v>0.26</v>
      </c>
      <c r="AD17" s="14">
        <v>0.22</v>
      </c>
      <c r="AE17" s="14">
        <v>0.28000000000000003</v>
      </c>
      <c r="AF17" s="14">
        <v>0.27</v>
      </c>
    </row>
    <row r="18" spans="1:32">
      <c r="A18" s="19"/>
      <c r="B18" s="11" t="s">
        <v>1254</v>
      </c>
      <c r="C18" s="12">
        <v>49.28</v>
      </c>
      <c r="D18" s="12">
        <v>48.14</v>
      </c>
      <c r="E18" s="12">
        <v>50.38</v>
      </c>
      <c r="F18" s="12">
        <v>48.4</v>
      </c>
      <c r="G18" s="12">
        <v>49.8</v>
      </c>
      <c r="H18" s="12">
        <v>49.71</v>
      </c>
      <c r="I18" s="12">
        <v>50.02</v>
      </c>
      <c r="J18" s="12">
        <v>51.33</v>
      </c>
      <c r="K18" s="12">
        <v>48.27</v>
      </c>
      <c r="L18" s="12">
        <v>46.22</v>
      </c>
      <c r="M18" s="12">
        <v>49.95</v>
      </c>
      <c r="N18" s="12">
        <v>49.13</v>
      </c>
      <c r="O18" s="12">
        <v>48.7</v>
      </c>
      <c r="P18" s="12">
        <v>49.15</v>
      </c>
      <c r="Q18" s="12">
        <v>50.48</v>
      </c>
      <c r="R18" s="12">
        <v>47.02</v>
      </c>
      <c r="S18" s="12">
        <v>49.48</v>
      </c>
      <c r="T18" s="12">
        <v>49.44</v>
      </c>
      <c r="U18" s="12">
        <v>45.97</v>
      </c>
      <c r="V18" s="12">
        <v>48.71</v>
      </c>
      <c r="W18" s="12">
        <v>46.61</v>
      </c>
      <c r="X18" s="12">
        <v>48.01</v>
      </c>
      <c r="Y18" s="12">
        <v>48.68</v>
      </c>
      <c r="Z18" s="12">
        <v>48.44</v>
      </c>
      <c r="AA18" s="12">
        <v>50.56</v>
      </c>
      <c r="AB18" s="12">
        <v>48.06</v>
      </c>
      <c r="AC18" s="12">
        <v>49.66</v>
      </c>
      <c r="AD18" s="12">
        <v>47.62</v>
      </c>
      <c r="AE18" s="12">
        <v>49.53</v>
      </c>
      <c r="AF18" s="12">
        <v>51.18</v>
      </c>
    </row>
    <row r="19" spans="1:32">
      <c r="A19" s="19"/>
      <c r="B19" s="13" t="s">
        <v>1255</v>
      </c>
      <c r="C19" s="15" t="s">
        <v>375</v>
      </c>
      <c r="D19" s="15" t="s">
        <v>375</v>
      </c>
      <c r="E19" s="15" t="s">
        <v>375</v>
      </c>
      <c r="F19" s="15" t="s">
        <v>375</v>
      </c>
      <c r="G19" s="15" t="s">
        <v>375</v>
      </c>
      <c r="H19" s="15" t="s">
        <v>375</v>
      </c>
      <c r="I19" s="15" t="s">
        <v>375</v>
      </c>
      <c r="J19" s="15" t="s">
        <v>375</v>
      </c>
      <c r="K19" s="15" t="s">
        <v>375</v>
      </c>
      <c r="L19" s="15" t="s">
        <v>375</v>
      </c>
      <c r="M19" s="15" t="s">
        <v>375</v>
      </c>
      <c r="N19" s="15" t="s">
        <v>375</v>
      </c>
      <c r="O19" s="15" t="s">
        <v>375</v>
      </c>
      <c r="P19" s="15" t="s">
        <v>375</v>
      </c>
      <c r="Q19" s="15" t="s">
        <v>375</v>
      </c>
      <c r="R19" s="15" t="s">
        <v>375</v>
      </c>
      <c r="S19" s="15" t="s">
        <v>375</v>
      </c>
      <c r="T19" s="15" t="s">
        <v>375</v>
      </c>
      <c r="U19" s="15" t="s">
        <v>375</v>
      </c>
      <c r="V19" s="15" t="s">
        <v>375</v>
      </c>
      <c r="W19" s="15" t="s">
        <v>375</v>
      </c>
      <c r="X19" s="15" t="s">
        <v>375</v>
      </c>
      <c r="Y19" s="15" t="s">
        <v>375</v>
      </c>
      <c r="Z19" s="15" t="s">
        <v>375</v>
      </c>
      <c r="AA19" s="15" t="s">
        <v>375</v>
      </c>
      <c r="AB19" s="15" t="s">
        <v>375</v>
      </c>
      <c r="AC19" s="15" t="s">
        <v>375</v>
      </c>
      <c r="AD19" s="15" t="s">
        <v>375</v>
      </c>
      <c r="AE19" s="15" t="s">
        <v>375</v>
      </c>
      <c r="AF19" s="15" t="s">
        <v>375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267</v>
      </c>
      <c r="C3" s="17"/>
      <c r="D3" s="17"/>
      <c r="E3" s="17"/>
      <c r="F3" s="17"/>
      <c r="H3" s="17" t="s">
        <v>268</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1265</v>
      </c>
      <c r="C12" s="12">
        <v>1170</v>
      </c>
      <c r="D12" s="12">
        <v>38</v>
      </c>
      <c r="E12" s="12">
        <v>31</v>
      </c>
      <c r="F12" s="12">
        <v>23</v>
      </c>
      <c r="G12" s="12">
        <v>58</v>
      </c>
      <c r="H12" s="12">
        <v>86</v>
      </c>
      <c r="I12" s="12">
        <v>100</v>
      </c>
      <c r="J12" s="12">
        <v>14</v>
      </c>
      <c r="K12" s="12">
        <v>49</v>
      </c>
      <c r="L12" s="12">
        <v>33</v>
      </c>
      <c r="M12" s="12">
        <v>51</v>
      </c>
      <c r="N12" s="12">
        <v>48</v>
      </c>
      <c r="O12" s="12">
        <v>48</v>
      </c>
      <c r="P12" s="12">
        <v>26</v>
      </c>
      <c r="Q12" s="12">
        <v>36</v>
      </c>
      <c r="R12" s="12">
        <v>17</v>
      </c>
      <c r="S12" s="12">
        <v>62</v>
      </c>
      <c r="T12" s="12">
        <v>65</v>
      </c>
      <c r="U12" s="12">
        <v>17</v>
      </c>
      <c r="V12" s="12">
        <v>35</v>
      </c>
      <c r="W12" s="12">
        <v>12</v>
      </c>
      <c r="X12" s="12">
        <v>15</v>
      </c>
      <c r="Y12" s="12">
        <v>35</v>
      </c>
      <c r="Z12" s="12">
        <v>28</v>
      </c>
      <c r="AA12" s="12">
        <v>54</v>
      </c>
      <c r="AB12" s="12">
        <v>33</v>
      </c>
      <c r="AC12" s="12">
        <v>39</v>
      </c>
      <c r="AD12" s="12">
        <v>15</v>
      </c>
      <c r="AE12" s="12">
        <v>58</v>
      </c>
      <c r="AF12" s="12">
        <v>78</v>
      </c>
    </row>
    <row r="13" spans="1:32">
      <c r="A13" s="19"/>
      <c r="B13" s="13" t="s">
        <v>1266</v>
      </c>
      <c r="C13" s="14">
        <v>0.05</v>
      </c>
      <c r="D13" s="14">
        <v>0.04</v>
      </c>
      <c r="E13" s="14">
        <v>0.03</v>
      </c>
      <c r="F13" s="14">
        <v>0.02</v>
      </c>
      <c r="G13" s="14">
        <v>0.06</v>
      </c>
      <c r="H13" s="14">
        <v>7.0000000000000007E-2</v>
      </c>
      <c r="I13" s="14">
        <v>7.0000000000000007E-2</v>
      </c>
      <c r="J13" s="14">
        <v>0.05</v>
      </c>
      <c r="K13" s="14">
        <v>0.05</v>
      </c>
      <c r="L13" s="14">
        <v>0.03</v>
      </c>
      <c r="M13" s="14">
        <v>0.05</v>
      </c>
      <c r="N13" s="14">
        <v>0.05</v>
      </c>
      <c r="O13" s="14">
        <v>0.05</v>
      </c>
      <c r="P13" s="14">
        <v>0.03</v>
      </c>
      <c r="Q13" s="14">
        <v>0.03</v>
      </c>
      <c r="R13" s="14">
        <v>0.03</v>
      </c>
      <c r="S13" s="14">
        <v>0.06</v>
      </c>
      <c r="T13" s="14">
        <v>0.06</v>
      </c>
      <c r="U13" s="14">
        <v>0.03</v>
      </c>
      <c r="V13" s="14">
        <v>0.03</v>
      </c>
      <c r="W13" s="14">
        <v>0.02</v>
      </c>
      <c r="X13" s="14">
        <v>0.02</v>
      </c>
      <c r="Y13" s="14">
        <v>0.03</v>
      </c>
      <c r="Z13" s="14">
        <v>0.03</v>
      </c>
      <c r="AA13" s="14">
        <v>0.05</v>
      </c>
      <c r="AB13" s="14">
        <v>0.03</v>
      </c>
      <c r="AC13" s="14">
        <v>0.04</v>
      </c>
      <c r="AD13" s="14">
        <v>0.01</v>
      </c>
      <c r="AE13" s="14">
        <v>0.06</v>
      </c>
      <c r="AF13" s="14">
        <v>7.0000000000000007E-2</v>
      </c>
    </row>
    <row r="14" spans="1:32">
      <c r="A14" s="19"/>
      <c r="B14" s="11" t="s">
        <v>1267</v>
      </c>
      <c r="C14" s="12">
        <v>7192</v>
      </c>
      <c r="D14" s="12">
        <v>273</v>
      </c>
      <c r="E14" s="12">
        <v>318</v>
      </c>
      <c r="F14" s="12">
        <v>282</v>
      </c>
      <c r="G14" s="12">
        <v>279</v>
      </c>
      <c r="H14" s="12">
        <v>308</v>
      </c>
      <c r="I14" s="12">
        <v>410</v>
      </c>
      <c r="J14" s="12">
        <v>103</v>
      </c>
      <c r="K14" s="12">
        <v>243</v>
      </c>
      <c r="L14" s="12">
        <v>215</v>
      </c>
      <c r="M14" s="12">
        <v>278</v>
      </c>
      <c r="N14" s="12">
        <v>255</v>
      </c>
      <c r="O14" s="12">
        <v>282</v>
      </c>
      <c r="P14" s="12">
        <v>303</v>
      </c>
      <c r="Q14" s="12">
        <v>310</v>
      </c>
      <c r="R14" s="12">
        <v>110</v>
      </c>
      <c r="S14" s="12">
        <v>251</v>
      </c>
      <c r="T14" s="12">
        <v>249</v>
      </c>
      <c r="U14" s="12">
        <v>106</v>
      </c>
      <c r="V14" s="12">
        <v>266</v>
      </c>
      <c r="W14" s="12">
        <v>121</v>
      </c>
      <c r="X14" s="12">
        <v>303</v>
      </c>
      <c r="Y14" s="12">
        <v>261</v>
      </c>
      <c r="Z14" s="12">
        <v>269</v>
      </c>
      <c r="AA14" s="12">
        <v>279</v>
      </c>
      <c r="AB14" s="12">
        <v>251</v>
      </c>
      <c r="AC14" s="12">
        <v>284</v>
      </c>
      <c r="AD14" s="12">
        <v>263</v>
      </c>
      <c r="AE14" s="12">
        <v>275</v>
      </c>
      <c r="AF14" s="12">
        <v>268</v>
      </c>
    </row>
    <row r="15" spans="1:32">
      <c r="A15" s="19"/>
      <c r="B15" s="13" t="s">
        <v>1267</v>
      </c>
      <c r="C15" s="14">
        <v>0.27</v>
      </c>
      <c r="D15" s="14">
        <v>0.27</v>
      </c>
      <c r="E15" s="14">
        <v>0.3</v>
      </c>
      <c r="F15" s="14">
        <v>0.26</v>
      </c>
      <c r="G15" s="14">
        <v>0.28000000000000003</v>
      </c>
      <c r="H15" s="14">
        <v>0.25</v>
      </c>
      <c r="I15" s="14">
        <v>0.27</v>
      </c>
      <c r="J15" s="14">
        <v>0.34</v>
      </c>
      <c r="K15" s="14">
        <v>0.24</v>
      </c>
      <c r="L15" s="14">
        <v>0.21</v>
      </c>
      <c r="M15" s="14">
        <v>0.28000000000000003</v>
      </c>
      <c r="N15" s="14">
        <v>0.25</v>
      </c>
      <c r="O15" s="14">
        <v>0.28000000000000003</v>
      </c>
      <c r="P15" s="14">
        <v>0.3</v>
      </c>
      <c r="Q15" s="14">
        <v>0.3</v>
      </c>
      <c r="R15" s="14">
        <v>0.22</v>
      </c>
      <c r="S15" s="14">
        <v>0.25</v>
      </c>
      <c r="T15" s="14">
        <v>0.24</v>
      </c>
      <c r="U15" s="14">
        <v>0.21</v>
      </c>
      <c r="V15" s="14">
        <v>0.26</v>
      </c>
      <c r="W15" s="14">
        <v>0.24</v>
      </c>
      <c r="X15" s="14">
        <v>0.3</v>
      </c>
      <c r="Y15" s="14">
        <v>0.26</v>
      </c>
      <c r="Z15" s="14">
        <v>0.26</v>
      </c>
      <c r="AA15" s="14">
        <v>0.27</v>
      </c>
      <c r="AB15" s="14">
        <v>0.24</v>
      </c>
      <c r="AC15" s="14">
        <v>0.28000000000000003</v>
      </c>
      <c r="AD15" s="14">
        <v>0.26</v>
      </c>
      <c r="AE15" s="14">
        <v>0.27</v>
      </c>
      <c r="AF15" s="14">
        <v>0.26</v>
      </c>
    </row>
    <row r="16" spans="1:32">
      <c r="A16" s="19"/>
      <c r="B16" s="11" t="s">
        <v>1268</v>
      </c>
      <c r="C16" s="12">
        <v>7151</v>
      </c>
      <c r="D16" s="12">
        <v>263</v>
      </c>
      <c r="E16" s="12">
        <v>310</v>
      </c>
      <c r="F16" s="12">
        <v>322</v>
      </c>
      <c r="G16" s="12">
        <v>248</v>
      </c>
      <c r="H16" s="12">
        <v>323</v>
      </c>
      <c r="I16" s="12">
        <v>387</v>
      </c>
      <c r="J16" s="12">
        <v>64</v>
      </c>
      <c r="K16" s="12">
        <v>263</v>
      </c>
      <c r="L16" s="12">
        <v>261</v>
      </c>
      <c r="M16" s="12">
        <v>281</v>
      </c>
      <c r="N16" s="12">
        <v>305</v>
      </c>
      <c r="O16" s="12">
        <v>243</v>
      </c>
      <c r="P16" s="12">
        <v>257</v>
      </c>
      <c r="Q16" s="12">
        <v>305</v>
      </c>
      <c r="R16" s="12">
        <v>136</v>
      </c>
      <c r="S16" s="12">
        <v>269</v>
      </c>
      <c r="T16" s="12">
        <v>284</v>
      </c>
      <c r="U16" s="12">
        <v>120</v>
      </c>
      <c r="V16" s="12">
        <v>307</v>
      </c>
      <c r="W16" s="12">
        <v>114</v>
      </c>
      <c r="X16" s="12">
        <v>242</v>
      </c>
      <c r="Y16" s="12">
        <v>277</v>
      </c>
      <c r="Z16" s="12">
        <v>267</v>
      </c>
      <c r="AA16" s="12">
        <v>313</v>
      </c>
      <c r="AB16" s="12">
        <v>302</v>
      </c>
      <c r="AC16" s="12">
        <v>263</v>
      </c>
      <c r="AD16" s="12">
        <v>277</v>
      </c>
      <c r="AE16" s="12">
        <v>233</v>
      </c>
      <c r="AF16" s="12">
        <v>277</v>
      </c>
    </row>
    <row r="17" spans="1:32">
      <c r="A17" s="19"/>
      <c r="B17" s="13" t="s">
        <v>1268</v>
      </c>
      <c r="C17" s="14">
        <v>0.27</v>
      </c>
      <c r="D17" s="14">
        <v>0.26</v>
      </c>
      <c r="E17" s="14">
        <v>0.3</v>
      </c>
      <c r="F17" s="14">
        <v>0.3</v>
      </c>
      <c r="G17" s="14">
        <v>0.24</v>
      </c>
      <c r="H17" s="14">
        <v>0.26</v>
      </c>
      <c r="I17" s="14">
        <v>0.25</v>
      </c>
      <c r="J17" s="14">
        <v>0.22</v>
      </c>
      <c r="K17" s="14">
        <v>0.26</v>
      </c>
      <c r="L17" s="14">
        <v>0.26</v>
      </c>
      <c r="M17" s="14">
        <v>0.28000000000000003</v>
      </c>
      <c r="N17" s="14">
        <v>0.3</v>
      </c>
      <c r="O17" s="14">
        <v>0.24</v>
      </c>
      <c r="P17" s="14">
        <v>0.26</v>
      </c>
      <c r="Q17" s="14">
        <v>0.3</v>
      </c>
      <c r="R17" s="14">
        <v>0.27</v>
      </c>
      <c r="S17" s="14">
        <v>0.27</v>
      </c>
      <c r="T17" s="14">
        <v>0.28000000000000003</v>
      </c>
      <c r="U17" s="14">
        <v>0.24</v>
      </c>
      <c r="V17" s="14">
        <v>0.3</v>
      </c>
      <c r="W17" s="14">
        <v>0.23</v>
      </c>
      <c r="X17" s="14">
        <v>0.24</v>
      </c>
      <c r="Y17" s="14">
        <v>0.28000000000000003</v>
      </c>
      <c r="Z17" s="14">
        <v>0.26</v>
      </c>
      <c r="AA17" s="14">
        <v>0.3</v>
      </c>
      <c r="AB17" s="14">
        <v>0.28999999999999998</v>
      </c>
      <c r="AC17" s="14">
        <v>0.26</v>
      </c>
      <c r="AD17" s="14">
        <v>0.28000000000000003</v>
      </c>
      <c r="AE17" s="14">
        <v>0.23</v>
      </c>
      <c r="AF17" s="14">
        <v>0.27</v>
      </c>
    </row>
    <row r="18" spans="1:32">
      <c r="A18" s="19"/>
      <c r="B18" s="11" t="s">
        <v>1269</v>
      </c>
      <c r="C18" s="12">
        <v>6333</v>
      </c>
      <c r="D18" s="12">
        <v>261</v>
      </c>
      <c r="E18" s="12">
        <v>244</v>
      </c>
      <c r="F18" s="12">
        <v>260</v>
      </c>
      <c r="G18" s="12">
        <v>265</v>
      </c>
      <c r="H18" s="12">
        <v>274</v>
      </c>
      <c r="I18" s="12">
        <v>348</v>
      </c>
      <c r="J18" s="12">
        <v>74</v>
      </c>
      <c r="K18" s="12">
        <v>269</v>
      </c>
      <c r="L18" s="12">
        <v>299</v>
      </c>
      <c r="M18" s="12">
        <v>226</v>
      </c>
      <c r="N18" s="12">
        <v>234</v>
      </c>
      <c r="O18" s="12">
        <v>228</v>
      </c>
      <c r="P18" s="12">
        <v>252</v>
      </c>
      <c r="Q18" s="12">
        <v>216</v>
      </c>
      <c r="R18" s="12">
        <v>153</v>
      </c>
      <c r="S18" s="12">
        <v>253</v>
      </c>
      <c r="T18" s="12">
        <v>266</v>
      </c>
      <c r="U18" s="12">
        <v>172</v>
      </c>
      <c r="V18" s="12">
        <v>242</v>
      </c>
      <c r="W18" s="12">
        <v>177</v>
      </c>
      <c r="X18" s="12">
        <v>245</v>
      </c>
      <c r="Y18" s="12">
        <v>279</v>
      </c>
      <c r="Z18" s="12">
        <v>294</v>
      </c>
      <c r="AA18" s="12">
        <v>237</v>
      </c>
      <c r="AB18" s="12">
        <v>270</v>
      </c>
      <c r="AC18" s="12">
        <v>264</v>
      </c>
      <c r="AD18" s="12">
        <v>283</v>
      </c>
      <c r="AE18" s="12">
        <v>256</v>
      </c>
      <c r="AF18" s="12">
        <v>277</v>
      </c>
    </row>
    <row r="19" spans="1:32">
      <c r="A19" s="19"/>
      <c r="B19" s="13" t="s">
        <v>1269</v>
      </c>
      <c r="C19" s="14">
        <v>0.24</v>
      </c>
      <c r="D19" s="14">
        <v>0.25</v>
      </c>
      <c r="E19" s="14">
        <v>0.23</v>
      </c>
      <c r="F19" s="14">
        <v>0.25</v>
      </c>
      <c r="G19" s="14">
        <v>0.26</v>
      </c>
      <c r="H19" s="14">
        <v>0.22</v>
      </c>
      <c r="I19" s="14">
        <v>0.23</v>
      </c>
      <c r="J19" s="14">
        <v>0.25</v>
      </c>
      <c r="K19" s="14">
        <v>0.27</v>
      </c>
      <c r="L19" s="14">
        <v>0.3</v>
      </c>
      <c r="M19" s="14">
        <v>0.22</v>
      </c>
      <c r="N19" s="14">
        <v>0.23</v>
      </c>
      <c r="O19" s="14">
        <v>0.23</v>
      </c>
      <c r="P19" s="14">
        <v>0.25</v>
      </c>
      <c r="Q19" s="14">
        <v>0.21</v>
      </c>
      <c r="R19" s="14">
        <v>0.31</v>
      </c>
      <c r="S19" s="14">
        <v>0.25</v>
      </c>
      <c r="T19" s="14">
        <v>0.26</v>
      </c>
      <c r="U19" s="14">
        <v>0.34</v>
      </c>
      <c r="V19" s="14">
        <v>0.24</v>
      </c>
      <c r="W19" s="14">
        <v>0.35</v>
      </c>
      <c r="X19" s="14">
        <v>0.24</v>
      </c>
      <c r="Y19" s="14">
        <v>0.28000000000000003</v>
      </c>
      <c r="Z19" s="14">
        <v>0.28999999999999998</v>
      </c>
      <c r="AA19" s="14">
        <v>0.23</v>
      </c>
      <c r="AB19" s="14">
        <v>0.26</v>
      </c>
      <c r="AC19" s="14">
        <v>0.26</v>
      </c>
      <c r="AD19" s="14">
        <v>0.28000000000000003</v>
      </c>
      <c r="AE19" s="14">
        <v>0.26</v>
      </c>
      <c r="AF19" s="14">
        <v>0.27</v>
      </c>
    </row>
    <row r="20" spans="1:32">
      <c r="A20" s="19"/>
      <c r="B20" s="11" t="s">
        <v>1270</v>
      </c>
      <c r="C20" s="12">
        <v>4607</v>
      </c>
      <c r="D20" s="12">
        <v>186</v>
      </c>
      <c r="E20" s="12">
        <v>143</v>
      </c>
      <c r="F20" s="12">
        <v>177</v>
      </c>
      <c r="G20" s="12">
        <v>166</v>
      </c>
      <c r="H20" s="12">
        <v>239</v>
      </c>
      <c r="I20" s="12">
        <v>282</v>
      </c>
      <c r="J20" s="12">
        <v>42</v>
      </c>
      <c r="K20" s="12">
        <v>181</v>
      </c>
      <c r="L20" s="12">
        <v>199</v>
      </c>
      <c r="M20" s="12">
        <v>170</v>
      </c>
      <c r="N20" s="12">
        <v>169</v>
      </c>
      <c r="O20" s="12">
        <v>203</v>
      </c>
      <c r="P20" s="12">
        <v>165</v>
      </c>
      <c r="Q20" s="12">
        <v>164</v>
      </c>
      <c r="R20" s="12">
        <v>85</v>
      </c>
      <c r="S20" s="12">
        <v>169</v>
      </c>
      <c r="T20" s="12">
        <v>160</v>
      </c>
      <c r="U20" s="12">
        <v>93</v>
      </c>
      <c r="V20" s="12">
        <v>175</v>
      </c>
      <c r="W20" s="12">
        <v>78</v>
      </c>
      <c r="X20" s="12">
        <v>204</v>
      </c>
      <c r="Y20" s="12">
        <v>152</v>
      </c>
      <c r="Z20" s="12">
        <v>158</v>
      </c>
      <c r="AA20" s="12">
        <v>154</v>
      </c>
      <c r="AB20" s="12">
        <v>186</v>
      </c>
      <c r="AC20" s="12">
        <v>155</v>
      </c>
      <c r="AD20" s="12">
        <v>166</v>
      </c>
      <c r="AE20" s="12">
        <v>179</v>
      </c>
      <c r="AF20" s="12">
        <v>132</v>
      </c>
    </row>
    <row r="21" spans="1:32">
      <c r="A21" s="19"/>
      <c r="B21" s="13" t="s">
        <v>1271</v>
      </c>
      <c r="C21" s="14">
        <v>0.17</v>
      </c>
      <c r="D21" s="14">
        <v>0.18</v>
      </c>
      <c r="E21" s="14">
        <v>0.14000000000000001</v>
      </c>
      <c r="F21" s="14">
        <v>0.17</v>
      </c>
      <c r="G21" s="14">
        <v>0.16</v>
      </c>
      <c r="H21" s="14">
        <v>0.2</v>
      </c>
      <c r="I21" s="14">
        <v>0.18</v>
      </c>
      <c r="J21" s="14">
        <v>0.14000000000000001</v>
      </c>
      <c r="K21" s="14">
        <v>0.18</v>
      </c>
      <c r="L21" s="14">
        <v>0.2</v>
      </c>
      <c r="M21" s="14">
        <v>0.17</v>
      </c>
      <c r="N21" s="14">
        <v>0.17</v>
      </c>
      <c r="O21" s="14">
        <v>0.2</v>
      </c>
      <c r="P21" s="14">
        <v>0.16</v>
      </c>
      <c r="Q21" s="14">
        <v>0.16</v>
      </c>
      <c r="R21" s="14">
        <v>0.17</v>
      </c>
      <c r="S21" s="14">
        <v>0.17</v>
      </c>
      <c r="T21" s="14">
        <v>0.16</v>
      </c>
      <c r="U21" s="14">
        <v>0.18</v>
      </c>
      <c r="V21" s="14">
        <v>0.17</v>
      </c>
      <c r="W21" s="14">
        <v>0.16</v>
      </c>
      <c r="X21" s="14">
        <v>0.2</v>
      </c>
      <c r="Y21" s="14">
        <v>0.15</v>
      </c>
      <c r="Z21" s="14">
        <v>0.16</v>
      </c>
      <c r="AA21" s="14">
        <v>0.15</v>
      </c>
      <c r="AB21" s="14">
        <v>0.18</v>
      </c>
      <c r="AC21" s="14">
        <v>0.16</v>
      </c>
      <c r="AD21" s="14">
        <v>0.17</v>
      </c>
      <c r="AE21" s="14">
        <v>0.18</v>
      </c>
      <c r="AF21" s="14">
        <v>0.13</v>
      </c>
    </row>
    <row r="22" spans="1:32">
      <c r="A22" s="19"/>
      <c r="B22" s="11" t="s">
        <v>1254</v>
      </c>
      <c r="C22" s="12">
        <v>49.28</v>
      </c>
      <c r="D22" s="12">
        <v>48.14</v>
      </c>
      <c r="E22" s="12">
        <v>50.38</v>
      </c>
      <c r="F22" s="12">
        <v>48.4</v>
      </c>
      <c r="G22" s="12">
        <v>49.8</v>
      </c>
      <c r="H22" s="12">
        <v>49.71</v>
      </c>
      <c r="I22" s="12">
        <v>50.02</v>
      </c>
      <c r="J22" s="12">
        <v>51.33</v>
      </c>
      <c r="K22" s="12">
        <v>48.27</v>
      </c>
      <c r="L22" s="12">
        <v>46.22</v>
      </c>
      <c r="M22" s="12">
        <v>49.95</v>
      </c>
      <c r="N22" s="12">
        <v>49.13</v>
      </c>
      <c r="O22" s="12">
        <v>48.7</v>
      </c>
      <c r="P22" s="12">
        <v>49.15</v>
      </c>
      <c r="Q22" s="12">
        <v>50.48</v>
      </c>
      <c r="R22" s="12">
        <v>47.02</v>
      </c>
      <c r="S22" s="12">
        <v>49.48</v>
      </c>
      <c r="T22" s="12">
        <v>49.44</v>
      </c>
      <c r="U22" s="12">
        <v>45.97</v>
      </c>
      <c r="V22" s="12">
        <v>48.71</v>
      </c>
      <c r="W22" s="12">
        <v>46.61</v>
      </c>
      <c r="X22" s="12">
        <v>48.01</v>
      </c>
      <c r="Y22" s="12">
        <v>48.68</v>
      </c>
      <c r="Z22" s="12">
        <v>48.44</v>
      </c>
      <c r="AA22" s="12">
        <v>50.56</v>
      </c>
      <c r="AB22" s="12">
        <v>48.06</v>
      </c>
      <c r="AC22" s="12">
        <v>49.66</v>
      </c>
      <c r="AD22" s="12">
        <v>47.62</v>
      </c>
      <c r="AE22" s="12">
        <v>49.53</v>
      </c>
      <c r="AF22" s="12">
        <v>51.18</v>
      </c>
    </row>
    <row r="23" spans="1:32">
      <c r="A23" s="19"/>
      <c r="B23" s="13" t="s">
        <v>1255</v>
      </c>
      <c r="C23" s="15" t="s">
        <v>375</v>
      </c>
      <c r="D23" s="15" t="s">
        <v>375</v>
      </c>
      <c r="E23" s="15" t="s">
        <v>375</v>
      </c>
      <c r="F23" s="15" t="s">
        <v>375</v>
      </c>
      <c r="G23" s="15" t="s">
        <v>375</v>
      </c>
      <c r="H23" s="15" t="s">
        <v>375</v>
      </c>
      <c r="I23" s="15" t="s">
        <v>375</v>
      </c>
      <c r="J23" s="15" t="s">
        <v>375</v>
      </c>
      <c r="K23" s="15" t="s">
        <v>375</v>
      </c>
      <c r="L23" s="15" t="s">
        <v>375</v>
      </c>
      <c r="M23" s="15" t="s">
        <v>375</v>
      </c>
      <c r="N23" s="15" t="s">
        <v>375</v>
      </c>
      <c r="O23" s="15" t="s">
        <v>375</v>
      </c>
      <c r="P23" s="15" t="s">
        <v>375</v>
      </c>
      <c r="Q23" s="15" t="s">
        <v>375</v>
      </c>
      <c r="R23" s="15" t="s">
        <v>375</v>
      </c>
      <c r="S23" s="15" t="s">
        <v>375</v>
      </c>
      <c r="T23" s="15" t="s">
        <v>375</v>
      </c>
      <c r="U23" s="15" t="s">
        <v>375</v>
      </c>
      <c r="V23" s="15" t="s">
        <v>375</v>
      </c>
      <c r="W23" s="15" t="s">
        <v>375</v>
      </c>
      <c r="X23" s="15" t="s">
        <v>375</v>
      </c>
      <c r="Y23" s="15" t="s">
        <v>375</v>
      </c>
      <c r="Z23" s="15" t="s">
        <v>375</v>
      </c>
      <c r="AA23" s="15" t="s">
        <v>375</v>
      </c>
      <c r="AB23" s="15" t="s">
        <v>375</v>
      </c>
      <c r="AC23" s="15" t="s">
        <v>375</v>
      </c>
      <c r="AD23" s="15" t="s">
        <v>375</v>
      </c>
      <c r="AE23" s="15" t="s">
        <v>375</v>
      </c>
      <c r="AF23" s="15" t="s">
        <v>375</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269</v>
      </c>
      <c r="C3" s="17"/>
      <c r="D3" s="17"/>
      <c r="E3" s="17"/>
      <c r="F3" s="17"/>
      <c r="H3" s="17" t="s">
        <v>270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1272</v>
      </c>
      <c r="C12" s="12">
        <v>3084</v>
      </c>
      <c r="D12" s="12">
        <v>50</v>
      </c>
      <c r="E12" s="12">
        <v>90</v>
      </c>
      <c r="F12" s="12">
        <v>45</v>
      </c>
      <c r="G12" s="12">
        <v>25</v>
      </c>
      <c r="H12" s="12">
        <v>108</v>
      </c>
      <c r="I12" s="12">
        <v>126</v>
      </c>
      <c r="J12" s="12">
        <v>18</v>
      </c>
      <c r="K12" s="12">
        <v>45</v>
      </c>
      <c r="L12" s="12">
        <v>101</v>
      </c>
      <c r="M12" s="12">
        <v>239</v>
      </c>
      <c r="N12" s="12">
        <v>225</v>
      </c>
      <c r="O12" s="12">
        <v>83</v>
      </c>
      <c r="P12" s="12">
        <v>96</v>
      </c>
      <c r="Q12" s="12">
        <v>214</v>
      </c>
      <c r="R12" s="12">
        <v>59</v>
      </c>
      <c r="S12" s="12">
        <v>55</v>
      </c>
      <c r="T12" s="12">
        <v>34</v>
      </c>
      <c r="U12" s="12">
        <v>36</v>
      </c>
      <c r="V12" s="12">
        <v>91</v>
      </c>
      <c r="W12" s="12">
        <v>52</v>
      </c>
      <c r="X12" s="12">
        <v>29</v>
      </c>
      <c r="Y12" s="12">
        <v>164</v>
      </c>
      <c r="Z12" s="12">
        <v>37</v>
      </c>
      <c r="AA12" s="12">
        <v>394</v>
      </c>
      <c r="AB12" s="12">
        <v>97</v>
      </c>
      <c r="AC12" s="12">
        <v>95</v>
      </c>
      <c r="AD12" s="12">
        <v>22</v>
      </c>
      <c r="AE12" s="12">
        <v>38</v>
      </c>
      <c r="AF12" s="12">
        <v>22</v>
      </c>
    </row>
    <row r="13" spans="1:32">
      <c r="A13" s="19"/>
      <c r="B13" s="13" t="s">
        <v>1272</v>
      </c>
      <c r="C13" s="14">
        <v>0.12</v>
      </c>
      <c r="D13" s="14">
        <v>0.05</v>
      </c>
      <c r="E13" s="14">
        <v>0.09</v>
      </c>
      <c r="F13" s="14">
        <v>0.04</v>
      </c>
      <c r="G13" s="14">
        <v>0.02</v>
      </c>
      <c r="H13" s="14">
        <v>0.09</v>
      </c>
      <c r="I13" s="14">
        <v>0.08</v>
      </c>
      <c r="J13" s="14">
        <v>0.06</v>
      </c>
      <c r="K13" s="14">
        <v>0.05</v>
      </c>
      <c r="L13" s="14">
        <v>0.1</v>
      </c>
      <c r="M13" s="14">
        <v>0.24</v>
      </c>
      <c r="N13" s="14">
        <v>0.22</v>
      </c>
      <c r="O13" s="14">
        <v>0.08</v>
      </c>
      <c r="P13" s="14">
        <v>0.1</v>
      </c>
      <c r="Q13" s="14">
        <v>0.21</v>
      </c>
      <c r="R13" s="14">
        <v>0.12</v>
      </c>
      <c r="S13" s="14">
        <v>0.06</v>
      </c>
      <c r="T13" s="14">
        <v>0.03</v>
      </c>
      <c r="U13" s="14">
        <v>7.0000000000000007E-2</v>
      </c>
      <c r="V13" s="14">
        <v>0.09</v>
      </c>
      <c r="W13" s="14">
        <v>0.1</v>
      </c>
      <c r="X13" s="14">
        <v>0.03</v>
      </c>
      <c r="Y13" s="14">
        <v>0.16</v>
      </c>
      <c r="Z13" s="14">
        <v>0.04</v>
      </c>
      <c r="AA13" s="14">
        <v>0.38</v>
      </c>
      <c r="AB13" s="14">
        <v>0.09</v>
      </c>
      <c r="AC13" s="14">
        <v>0.1</v>
      </c>
      <c r="AD13" s="14">
        <v>0.02</v>
      </c>
      <c r="AE13" s="14">
        <v>0.04</v>
      </c>
      <c r="AF13" s="14">
        <v>0.02</v>
      </c>
    </row>
    <row r="14" spans="1:32">
      <c r="A14" s="19"/>
      <c r="B14" s="11" t="s">
        <v>1273</v>
      </c>
      <c r="C14" s="12">
        <v>12097</v>
      </c>
      <c r="D14" s="12">
        <v>339</v>
      </c>
      <c r="E14" s="12">
        <v>644</v>
      </c>
      <c r="F14" s="12">
        <v>639</v>
      </c>
      <c r="G14" s="12">
        <v>128</v>
      </c>
      <c r="H14" s="12">
        <v>589</v>
      </c>
      <c r="I14" s="12">
        <v>768</v>
      </c>
      <c r="J14" s="12">
        <v>179</v>
      </c>
      <c r="K14" s="12">
        <v>435</v>
      </c>
      <c r="L14" s="12">
        <v>380</v>
      </c>
      <c r="M14" s="12">
        <v>400</v>
      </c>
      <c r="N14" s="12">
        <v>392</v>
      </c>
      <c r="O14" s="12">
        <v>429</v>
      </c>
      <c r="P14" s="12">
        <v>732</v>
      </c>
      <c r="Q14" s="12">
        <v>518</v>
      </c>
      <c r="R14" s="12">
        <v>162</v>
      </c>
      <c r="S14" s="12">
        <v>507</v>
      </c>
      <c r="T14" s="12">
        <v>440</v>
      </c>
      <c r="U14" s="12">
        <v>133</v>
      </c>
      <c r="V14" s="12">
        <v>641</v>
      </c>
      <c r="W14" s="12">
        <v>227</v>
      </c>
      <c r="X14" s="12">
        <v>260</v>
      </c>
      <c r="Y14" s="12">
        <v>516</v>
      </c>
      <c r="Z14" s="12">
        <v>526</v>
      </c>
      <c r="AA14" s="12">
        <v>340</v>
      </c>
      <c r="AB14" s="12">
        <v>678</v>
      </c>
      <c r="AC14" s="12">
        <v>494</v>
      </c>
      <c r="AD14" s="12">
        <v>632</v>
      </c>
      <c r="AE14" s="12">
        <v>213</v>
      </c>
      <c r="AF14" s="12">
        <v>205</v>
      </c>
    </row>
    <row r="15" spans="1:32">
      <c r="A15" s="19"/>
      <c r="B15" s="13" t="s">
        <v>1273</v>
      </c>
      <c r="C15" s="14">
        <v>0.46</v>
      </c>
      <c r="D15" s="14">
        <v>0.33</v>
      </c>
      <c r="E15" s="14">
        <v>0.62</v>
      </c>
      <c r="F15" s="14">
        <v>0.6</v>
      </c>
      <c r="G15" s="14">
        <v>0.13</v>
      </c>
      <c r="H15" s="14">
        <v>0.48</v>
      </c>
      <c r="I15" s="14">
        <v>0.5</v>
      </c>
      <c r="J15" s="14">
        <v>0.6</v>
      </c>
      <c r="K15" s="14">
        <v>0.43</v>
      </c>
      <c r="L15" s="14">
        <v>0.38</v>
      </c>
      <c r="M15" s="14">
        <v>0.4</v>
      </c>
      <c r="N15" s="14">
        <v>0.39</v>
      </c>
      <c r="O15" s="14">
        <v>0.43</v>
      </c>
      <c r="P15" s="14">
        <v>0.73</v>
      </c>
      <c r="Q15" s="14">
        <v>0.5</v>
      </c>
      <c r="R15" s="14">
        <v>0.32</v>
      </c>
      <c r="S15" s="14">
        <v>0.5</v>
      </c>
      <c r="T15" s="14">
        <v>0.43</v>
      </c>
      <c r="U15" s="14">
        <v>0.26</v>
      </c>
      <c r="V15" s="14">
        <v>0.62</v>
      </c>
      <c r="W15" s="14">
        <v>0.45</v>
      </c>
      <c r="X15" s="14">
        <v>0.26</v>
      </c>
      <c r="Y15" s="14">
        <v>0.52</v>
      </c>
      <c r="Z15" s="14">
        <v>0.52</v>
      </c>
      <c r="AA15" s="14">
        <v>0.33</v>
      </c>
      <c r="AB15" s="14">
        <v>0.65</v>
      </c>
      <c r="AC15" s="14">
        <v>0.49</v>
      </c>
      <c r="AD15" s="14">
        <v>0.63</v>
      </c>
      <c r="AE15" s="14">
        <v>0.21</v>
      </c>
      <c r="AF15" s="14">
        <v>0.2</v>
      </c>
    </row>
    <row r="16" spans="1:32">
      <c r="A16" s="19"/>
      <c r="B16" s="11" t="s">
        <v>1274</v>
      </c>
      <c r="C16" s="12">
        <v>9295</v>
      </c>
      <c r="D16" s="12">
        <v>532</v>
      </c>
      <c r="E16" s="12">
        <v>284</v>
      </c>
      <c r="F16" s="12">
        <v>326</v>
      </c>
      <c r="G16" s="12">
        <v>787</v>
      </c>
      <c r="H16" s="12">
        <v>427</v>
      </c>
      <c r="I16" s="12">
        <v>519</v>
      </c>
      <c r="J16" s="12">
        <v>92</v>
      </c>
      <c r="K16" s="12">
        <v>437</v>
      </c>
      <c r="L16" s="12">
        <v>460</v>
      </c>
      <c r="M16" s="12">
        <v>301</v>
      </c>
      <c r="N16" s="12">
        <v>354</v>
      </c>
      <c r="O16" s="12">
        <v>398</v>
      </c>
      <c r="P16" s="12">
        <v>145</v>
      </c>
      <c r="Q16" s="12">
        <v>197</v>
      </c>
      <c r="R16" s="12">
        <v>269</v>
      </c>
      <c r="S16" s="12">
        <v>387</v>
      </c>
      <c r="T16" s="12">
        <v>450</v>
      </c>
      <c r="U16" s="12">
        <v>289</v>
      </c>
      <c r="V16" s="12">
        <v>231</v>
      </c>
      <c r="W16" s="12">
        <v>189</v>
      </c>
      <c r="X16" s="12">
        <v>610</v>
      </c>
      <c r="Y16" s="12">
        <v>248</v>
      </c>
      <c r="Z16" s="12">
        <v>408</v>
      </c>
      <c r="AA16" s="12">
        <v>196</v>
      </c>
      <c r="AB16" s="12">
        <v>195</v>
      </c>
      <c r="AC16" s="12">
        <v>323</v>
      </c>
      <c r="AD16" s="12">
        <v>275</v>
      </c>
      <c r="AE16" s="12">
        <v>646</v>
      </c>
      <c r="AF16" s="12">
        <v>756</v>
      </c>
    </row>
    <row r="17" spans="1:32">
      <c r="A17" s="19"/>
      <c r="B17" s="13" t="s">
        <v>1274</v>
      </c>
      <c r="C17" s="14">
        <v>0.35</v>
      </c>
      <c r="D17" s="14">
        <v>0.52</v>
      </c>
      <c r="E17" s="14">
        <v>0.27</v>
      </c>
      <c r="F17" s="14">
        <v>0.31</v>
      </c>
      <c r="G17" s="14">
        <v>0.77</v>
      </c>
      <c r="H17" s="14">
        <v>0.35</v>
      </c>
      <c r="I17" s="14">
        <v>0.34</v>
      </c>
      <c r="J17" s="14">
        <v>0.31</v>
      </c>
      <c r="K17" s="14">
        <v>0.44</v>
      </c>
      <c r="L17" s="14">
        <v>0.46</v>
      </c>
      <c r="M17" s="14">
        <v>0.3</v>
      </c>
      <c r="N17" s="14">
        <v>0.35</v>
      </c>
      <c r="O17" s="14">
        <v>0.4</v>
      </c>
      <c r="P17" s="14">
        <v>0.14000000000000001</v>
      </c>
      <c r="Q17" s="14">
        <v>0.19</v>
      </c>
      <c r="R17" s="14">
        <v>0.54</v>
      </c>
      <c r="S17" s="14">
        <v>0.39</v>
      </c>
      <c r="T17" s="14">
        <v>0.44</v>
      </c>
      <c r="U17" s="14">
        <v>0.57000000000000006</v>
      </c>
      <c r="V17" s="14">
        <v>0.23</v>
      </c>
      <c r="W17" s="14">
        <v>0.38</v>
      </c>
      <c r="X17" s="14">
        <v>0.6</v>
      </c>
      <c r="Y17" s="14">
        <v>0.25</v>
      </c>
      <c r="Z17" s="14">
        <v>0.4</v>
      </c>
      <c r="AA17" s="14">
        <v>0.19</v>
      </c>
      <c r="AB17" s="14">
        <v>0.19</v>
      </c>
      <c r="AC17" s="14">
        <v>0.32</v>
      </c>
      <c r="AD17" s="14">
        <v>0.28000000000000003</v>
      </c>
      <c r="AE17" s="14">
        <v>0.65</v>
      </c>
      <c r="AF17" s="14">
        <v>0.73</v>
      </c>
    </row>
    <row r="18" spans="1:32">
      <c r="A18" s="19"/>
      <c r="B18" s="11" t="s">
        <v>1275</v>
      </c>
      <c r="C18" s="12">
        <v>1812</v>
      </c>
      <c r="D18" s="12">
        <v>91</v>
      </c>
      <c r="E18" s="12">
        <v>24</v>
      </c>
      <c r="F18" s="12">
        <v>43</v>
      </c>
      <c r="G18" s="12">
        <v>46</v>
      </c>
      <c r="H18" s="12">
        <v>104</v>
      </c>
      <c r="I18" s="12">
        <v>112</v>
      </c>
      <c r="J18" s="12">
        <v>9</v>
      </c>
      <c r="K18" s="12">
        <v>82</v>
      </c>
      <c r="L18" s="12">
        <v>61</v>
      </c>
      <c r="M18" s="12">
        <v>55</v>
      </c>
      <c r="N18" s="12">
        <v>33</v>
      </c>
      <c r="O18" s="12">
        <v>90</v>
      </c>
      <c r="P18" s="12">
        <v>26</v>
      </c>
      <c r="Q18" s="12">
        <v>87</v>
      </c>
      <c r="R18" s="12">
        <v>11</v>
      </c>
      <c r="S18" s="12">
        <v>49</v>
      </c>
      <c r="T18" s="12">
        <v>91</v>
      </c>
      <c r="U18" s="12">
        <v>37</v>
      </c>
      <c r="V18" s="12">
        <v>59</v>
      </c>
      <c r="W18" s="12">
        <v>33</v>
      </c>
      <c r="X18" s="12">
        <v>105</v>
      </c>
      <c r="Y18" s="12">
        <v>72</v>
      </c>
      <c r="Z18" s="12">
        <v>43</v>
      </c>
      <c r="AA18" s="12">
        <v>98</v>
      </c>
      <c r="AB18" s="12">
        <v>69</v>
      </c>
      <c r="AC18" s="12">
        <v>89</v>
      </c>
      <c r="AD18" s="12">
        <v>69</v>
      </c>
      <c r="AE18" s="12">
        <v>103</v>
      </c>
      <c r="AF18" s="12">
        <v>47</v>
      </c>
    </row>
    <row r="19" spans="1:32">
      <c r="A19" s="19"/>
      <c r="B19" s="13" t="s">
        <v>1276</v>
      </c>
      <c r="C19" s="14">
        <v>7.0000000000000007E-2</v>
      </c>
      <c r="D19" s="14">
        <v>0.09</v>
      </c>
      <c r="E19" s="14">
        <v>0.02</v>
      </c>
      <c r="F19" s="14">
        <v>0.04</v>
      </c>
      <c r="G19" s="14">
        <v>0.05</v>
      </c>
      <c r="H19" s="14">
        <v>0.08</v>
      </c>
      <c r="I19" s="14">
        <v>0.08</v>
      </c>
      <c r="J19" s="14">
        <v>0.03</v>
      </c>
      <c r="K19" s="14">
        <v>0.08</v>
      </c>
      <c r="L19" s="14">
        <v>0.06</v>
      </c>
      <c r="M19" s="14">
        <v>0.05</v>
      </c>
      <c r="N19" s="14">
        <v>0.03</v>
      </c>
      <c r="O19" s="14">
        <v>0.09</v>
      </c>
      <c r="P19" s="14">
        <v>0.03</v>
      </c>
      <c r="Q19" s="14">
        <v>0.09</v>
      </c>
      <c r="R19" s="14">
        <v>0.02</v>
      </c>
      <c r="S19" s="14">
        <v>0.05</v>
      </c>
      <c r="T19" s="14">
        <v>0.09</v>
      </c>
      <c r="U19" s="14">
        <v>7.0000000000000007E-2</v>
      </c>
      <c r="V19" s="14">
        <v>0.06</v>
      </c>
      <c r="W19" s="14">
        <v>7.0000000000000007E-2</v>
      </c>
      <c r="X19" s="14">
        <v>0.1</v>
      </c>
      <c r="Y19" s="14">
        <v>7.0000000000000007E-2</v>
      </c>
      <c r="Z19" s="14">
        <v>0.04</v>
      </c>
      <c r="AA19" s="14">
        <v>0.09</v>
      </c>
      <c r="AB19" s="14">
        <v>7.0000000000000007E-2</v>
      </c>
      <c r="AC19" s="14">
        <v>0.09</v>
      </c>
      <c r="AD19" s="14">
        <v>7.0000000000000007E-2</v>
      </c>
      <c r="AE19" s="14">
        <v>0.1</v>
      </c>
      <c r="AF19" s="14">
        <v>0.05</v>
      </c>
    </row>
    <row r="20" spans="1:32">
      <c r="A20" s="19"/>
      <c r="B20" s="11" t="s">
        <v>1277</v>
      </c>
      <c r="C20" s="12">
        <v>56</v>
      </c>
      <c r="D20" s="12">
        <v>3</v>
      </c>
      <c r="E20" s="12">
        <v>1</v>
      </c>
      <c r="F20" s="12">
        <v>1</v>
      </c>
      <c r="G20" s="12">
        <v>31</v>
      </c>
      <c r="H20" s="12">
        <v>0</v>
      </c>
      <c r="I20" s="12">
        <v>0</v>
      </c>
      <c r="J20" s="12">
        <v>0</v>
      </c>
      <c r="K20" s="12">
        <v>0</v>
      </c>
      <c r="L20" s="12">
        <v>2</v>
      </c>
      <c r="M20" s="12">
        <v>13</v>
      </c>
      <c r="N20" s="12">
        <v>8</v>
      </c>
      <c r="O20" s="12">
        <v>0</v>
      </c>
      <c r="P20" s="12">
        <v>3</v>
      </c>
      <c r="Q20" s="12">
        <v>0</v>
      </c>
      <c r="R20" s="12">
        <v>0</v>
      </c>
      <c r="S20" s="12">
        <v>1</v>
      </c>
      <c r="T20" s="12">
        <v>0</v>
      </c>
      <c r="U20" s="12">
        <v>13</v>
      </c>
      <c r="V20" s="12">
        <v>1</v>
      </c>
      <c r="W20" s="12">
        <v>1</v>
      </c>
      <c r="X20" s="12">
        <v>0</v>
      </c>
      <c r="Y20" s="12">
        <v>1</v>
      </c>
      <c r="Z20" s="12">
        <v>0</v>
      </c>
      <c r="AA20" s="12">
        <v>5</v>
      </c>
      <c r="AB20" s="12">
        <v>2</v>
      </c>
      <c r="AC20" s="12">
        <v>4</v>
      </c>
      <c r="AD20" s="12">
        <v>0</v>
      </c>
      <c r="AE20" s="12">
        <v>0</v>
      </c>
      <c r="AF20" s="12">
        <v>2</v>
      </c>
    </row>
    <row r="21" spans="1:32">
      <c r="A21" s="19"/>
      <c r="B21" s="13" t="s">
        <v>1278</v>
      </c>
      <c r="C21" s="15" t="s">
        <v>375</v>
      </c>
      <c r="D21" s="15" t="s">
        <v>375</v>
      </c>
      <c r="E21" s="15" t="s">
        <v>375</v>
      </c>
      <c r="F21" s="15" t="s">
        <v>375</v>
      </c>
      <c r="G21" s="14">
        <v>0.03</v>
      </c>
      <c r="H21" s="15" t="s">
        <v>375</v>
      </c>
      <c r="I21" s="15" t="s">
        <v>375</v>
      </c>
      <c r="J21" s="15" t="s">
        <v>375</v>
      </c>
      <c r="K21" s="15" t="s">
        <v>375</v>
      </c>
      <c r="L21" s="15" t="s">
        <v>375</v>
      </c>
      <c r="M21" s="14">
        <v>0.01</v>
      </c>
      <c r="N21" s="14">
        <v>0.01</v>
      </c>
      <c r="O21" s="15" t="s">
        <v>375</v>
      </c>
      <c r="P21" s="15" t="s">
        <v>375</v>
      </c>
      <c r="Q21" s="15" t="s">
        <v>375</v>
      </c>
      <c r="R21" s="15" t="s">
        <v>375</v>
      </c>
      <c r="S21" s="15" t="s">
        <v>375</v>
      </c>
      <c r="T21" s="15" t="s">
        <v>375</v>
      </c>
      <c r="U21" s="14">
        <v>0.03</v>
      </c>
      <c r="V21" s="15" t="s">
        <v>375</v>
      </c>
      <c r="W21" s="15" t="s">
        <v>375</v>
      </c>
      <c r="X21" s="15" t="s">
        <v>375</v>
      </c>
      <c r="Y21" s="15" t="s">
        <v>375</v>
      </c>
      <c r="Z21" s="15" t="s">
        <v>375</v>
      </c>
      <c r="AA21" s="15" t="s">
        <v>375</v>
      </c>
      <c r="AB21" s="15" t="s">
        <v>375</v>
      </c>
      <c r="AC21" s="15" t="s">
        <v>375</v>
      </c>
      <c r="AD21" s="15" t="s">
        <v>375</v>
      </c>
      <c r="AE21" s="15" t="s">
        <v>375</v>
      </c>
      <c r="AF21" s="15" t="s">
        <v>375</v>
      </c>
    </row>
    <row r="22" spans="1:32">
      <c r="A22" s="19"/>
      <c r="B22" s="11" t="s">
        <v>1094</v>
      </c>
      <c r="C22" s="12">
        <v>57</v>
      </c>
      <c r="D22" s="12">
        <v>1</v>
      </c>
      <c r="E22" s="12">
        <v>1</v>
      </c>
      <c r="F22" s="12">
        <v>3</v>
      </c>
      <c r="G22" s="12">
        <v>0</v>
      </c>
      <c r="H22" s="12">
        <v>1</v>
      </c>
      <c r="I22" s="12">
        <v>1</v>
      </c>
      <c r="J22" s="12">
        <v>0</v>
      </c>
      <c r="K22" s="12">
        <v>3</v>
      </c>
      <c r="L22" s="12">
        <v>0</v>
      </c>
      <c r="M22" s="12">
        <v>0</v>
      </c>
      <c r="N22" s="12">
        <v>0</v>
      </c>
      <c r="O22" s="12">
        <v>1</v>
      </c>
      <c r="P22" s="12">
        <v>1</v>
      </c>
      <c r="Q22" s="12">
        <v>13</v>
      </c>
      <c r="R22" s="12">
        <v>0</v>
      </c>
      <c r="S22" s="12">
        <v>1</v>
      </c>
      <c r="T22" s="12">
        <v>0</v>
      </c>
      <c r="U22" s="12">
        <v>0</v>
      </c>
      <c r="V22" s="12">
        <v>1</v>
      </c>
      <c r="W22" s="12">
        <v>0</v>
      </c>
      <c r="X22" s="12">
        <v>1</v>
      </c>
      <c r="Y22" s="12">
        <v>1</v>
      </c>
      <c r="Z22" s="12">
        <v>0</v>
      </c>
      <c r="AA22" s="12">
        <v>0</v>
      </c>
      <c r="AB22" s="12">
        <v>0</v>
      </c>
      <c r="AC22" s="12">
        <v>0</v>
      </c>
      <c r="AD22" s="12">
        <v>2</v>
      </c>
      <c r="AE22" s="12">
        <v>0</v>
      </c>
      <c r="AF22" s="12">
        <v>0</v>
      </c>
    </row>
    <row r="23" spans="1:32">
      <c r="A23" s="19"/>
      <c r="B23" s="13" t="s">
        <v>1095</v>
      </c>
      <c r="C23" s="15" t="s">
        <v>375</v>
      </c>
      <c r="D23" s="15" t="s">
        <v>375</v>
      </c>
      <c r="E23" s="15" t="s">
        <v>375</v>
      </c>
      <c r="F23" s="15" t="s">
        <v>375</v>
      </c>
      <c r="G23" s="15" t="s">
        <v>375</v>
      </c>
      <c r="H23" s="15" t="s">
        <v>375</v>
      </c>
      <c r="I23" s="15" t="s">
        <v>375</v>
      </c>
      <c r="J23" s="15" t="s">
        <v>375</v>
      </c>
      <c r="K23" s="15" t="s">
        <v>375</v>
      </c>
      <c r="L23" s="15" t="s">
        <v>375</v>
      </c>
      <c r="M23" s="15" t="s">
        <v>375</v>
      </c>
      <c r="N23" s="15" t="s">
        <v>375</v>
      </c>
      <c r="O23" s="15" t="s">
        <v>375</v>
      </c>
      <c r="P23" s="15" t="s">
        <v>375</v>
      </c>
      <c r="Q23" s="14">
        <v>0.01</v>
      </c>
      <c r="R23" s="15" t="s">
        <v>375</v>
      </c>
      <c r="S23" s="15" t="s">
        <v>375</v>
      </c>
      <c r="T23" s="15" t="s">
        <v>375</v>
      </c>
      <c r="U23" s="15" t="s">
        <v>375</v>
      </c>
      <c r="V23" s="15" t="s">
        <v>375</v>
      </c>
      <c r="W23" s="15" t="s">
        <v>375</v>
      </c>
      <c r="X23" s="15" t="s">
        <v>375</v>
      </c>
      <c r="Y23" s="15" t="s">
        <v>375</v>
      </c>
      <c r="Z23" s="15" t="s">
        <v>375</v>
      </c>
      <c r="AA23" s="15" t="s">
        <v>375</v>
      </c>
      <c r="AB23" s="15" t="s">
        <v>375</v>
      </c>
      <c r="AC23" s="15" t="s">
        <v>375</v>
      </c>
      <c r="AD23" s="15" t="s">
        <v>375</v>
      </c>
      <c r="AE23" s="15" t="s">
        <v>375</v>
      </c>
      <c r="AF23" s="15" t="s">
        <v>375</v>
      </c>
    </row>
    <row r="24" spans="1:32">
      <c r="A24" s="19"/>
      <c r="B24" s="11" t="s">
        <v>386</v>
      </c>
      <c r="C24" s="12">
        <v>53</v>
      </c>
      <c r="D24" s="12">
        <v>5</v>
      </c>
      <c r="E24" s="12">
        <v>2</v>
      </c>
      <c r="F24" s="12">
        <v>7</v>
      </c>
      <c r="G24" s="12">
        <v>0</v>
      </c>
      <c r="H24" s="12">
        <v>1</v>
      </c>
      <c r="I24" s="12">
        <v>1</v>
      </c>
      <c r="J24" s="12">
        <v>0</v>
      </c>
      <c r="K24" s="12">
        <v>4</v>
      </c>
      <c r="L24" s="12">
        <v>2</v>
      </c>
      <c r="M24" s="12">
        <v>0</v>
      </c>
      <c r="N24" s="12">
        <v>0</v>
      </c>
      <c r="O24" s="12">
        <v>4</v>
      </c>
      <c r="P24" s="12">
        <v>0</v>
      </c>
      <c r="Q24" s="12">
        <v>2</v>
      </c>
      <c r="R24" s="12">
        <v>1</v>
      </c>
      <c r="S24" s="12">
        <v>4</v>
      </c>
      <c r="T24" s="12">
        <v>8</v>
      </c>
      <c r="U24" s="12">
        <v>0</v>
      </c>
      <c r="V24" s="12">
        <v>1</v>
      </c>
      <c r="W24" s="12">
        <v>0</v>
      </c>
      <c r="X24" s="12">
        <v>5</v>
      </c>
      <c r="Y24" s="12">
        <v>2</v>
      </c>
      <c r="Z24" s="12">
        <v>1</v>
      </c>
      <c r="AA24" s="12">
        <v>5</v>
      </c>
      <c r="AB24" s="12">
        <v>1</v>
      </c>
      <c r="AC24" s="12">
        <v>1</v>
      </c>
      <c r="AD24" s="12">
        <v>3</v>
      </c>
      <c r="AE24" s="12">
        <v>1</v>
      </c>
      <c r="AF24" s="12">
        <v>0</v>
      </c>
    </row>
    <row r="25" spans="1:32">
      <c r="A25" s="19"/>
      <c r="B25" s="13" t="s">
        <v>399</v>
      </c>
      <c r="C25" s="15" t="s">
        <v>375</v>
      </c>
      <c r="D25" s="14">
        <v>0.01</v>
      </c>
      <c r="E25" s="15" t="s">
        <v>375</v>
      </c>
      <c r="F25" s="14">
        <v>0.01</v>
      </c>
      <c r="G25" s="15" t="s">
        <v>375</v>
      </c>
      <c r="H25" s="15" t="s">
        <v>375</v>
      </c>
      <c r="I25" s="15" t="s">
        <v>375</v>
      </c>
      <c r="J25" s="15" t="s">
        <v>375</v>
      </c>
      <c r="K25" s="15" t="s">
        <v>375</v>
      </c>
      <c r="L25" s="15" t="s">
        <v>375</v>
      </c>
      <c r="M25" s="15" t="s">
        <v>375</v>
      </c>
      <c r="N25" s="15" t="s">
        <v>375</v>
      </c>
      <c r="O25" s="15" t="s">
        <v>375</v>
      </c>
      <c r="P25" s="15" t="s">
        <v>375</v>
      </c>
      <c r="Q25" s="15" t="s">
        <v>375</v>
      </c>
      <c r="R25" s="15" t="s">
        <v>375</v>
      </c>
      <c r="S25" s="15" t="s">
        <v>375</v>
      </c>
      <c r="T25" s="14">
        <v>0.01</v>
      </c>
      <c r="U25" s="15" t="s">
        <v>375</v>
      </c>
      <c r="V25" s="15" t="s">
        <v>375</v>
      </c>
      <c r="W25" s="15" t="s">
        <v>375</v>
      </c>
      <c r="X25" s="14">
        <v>0.01</v>
      </c>
      <c r="Y25" s="15" t="s">
        <v>375</v>
      </c>
      <c r="Z25" s="15" t="s">
        <v>375</v>
      </c>
      <c r="AA25" s="14">
        <v>0.01</v>
      </c>
      <c r="AB25" s="15" t="s">
        <v>375</v>
      </c>
      <c r="AC25" s="15" t="s">
        <v>375</v>
      </c>
      <c r="AD25" s="15" t="s">
        <v>375</v>
      </c>
      <c r="AE25" s="15" t="s">
        <v>375</v>
      </c>
      <c r="AF25" s="15" t="s">
        <v>375</v>
      </c>
    </row>
    <row r="26" spans="1:32">
      <c r="A26" s="19"/>
      <c r="B26" s="11" t="s">
        <v>1254</v>
      </c>
      <c r="C26" s="12">
        <v>19.57</v>
      </c>
      <c r="D26" s="12">
        <v>20.62</v>
      </c>
      <c r="E26" s="12">
        <v>19.559999999999999</v>
      </c>
      <c r="F26" s="12">
        <v>19.7</v>
      </c>
      <c r="G26" s="12">
        <v>24.88</v>
      </c>
      <c r="H26" s="12">
        <v>19.899999999999999</v>
      </c>
      <c r="I26" s="12">
        <v>19.739999999999998</v>
      </c>
      <c r="J26" s="12">
        <v>19.09</v>
      </c>
      <c r="K26" s="12">
        <v>20.27</v>
      </c>
      <c r="L26" s="12">
        <v>19.850000000000001</v>
      </c>
      <c r="M26" s="12">
        <v>18.3</v>
      </c>
      <c r="N26" s="12">
        <v>18.53</v>
      </c>
      <c r="O26" s="12">
        <v>19.440000000000001</v>
      </c>
      <c r="P26" s="12">
        <v>18.440000000000001</v>
      </c>
      <c r="Q26" s="12">
        <v>18.39</v>
      </c>
      <c r="R26" s="12">
        <v>20.63</v>
      </c>
      <c r="S26" s="12">
        <v>20.23</v>
      </c>
      <c r="T26" s="12">
        <v>20.13</v>
      </c>
      <c r="U26" s="12">
        <v>21.05</v>
      </c>
      <c r="V26" s="12">
        <v>18.600000000000001</v>
      </c>
      <c r="W26" s="12">
        <v>19.36</v>
      </c>
      <c r="X26" s="12">
        <v>22.05</v>
      </c>
      <c r="Y26" s="12">
        <v>18.91</v>
      </c>
      <c r="Z26" s="12">
        <v>19.91</v>
      </c>
      <c r="AA26" s="12">
        <v>16.57</v>
      </c>
      <c r="AB26" s="12">
        <v>18.79</v>
      </c>
      <c r="AC26" s="12">
        <v>19.93</v>
      </c>
      <c r="AD26" s="12">
        <v>19.64</v>
      </c>
      <c r="AE26" s="12">
        <v>24.1</v>
      </c>
      <c r="AF26" s="12">
        <v>25.87</v>
      </c>
    </row>
    <row r="27" spans="1:32">
      <c r="A27" s="19"/>
      <c r="B27" s="13" t="s">
        <v>1255</v>
      </c>
      <c r="C27" s="15" t="s">
        <v>375</v>
      </c>
      <c r="D27" s="15" t="s">
        <v>375</v>
      </c>
      <c r="E27" s="15" t="s">
        <v>375</v>
      </c>
      <c r="F27" s="15" t="s">
        <v>375</v>
      </c>
      <c r="G27" s="15" t="s">
        <v>375</v>
      </c>
      <c r="H27" s="15" t="s">
        <v>375</v>
      </c>
      <c r="I27" s="15" t="s">
        <v>375</v>
      </c>
      <c r="J27" s="15" t="s">
        <v>375</v>
      </c>
      <c r="K27" s="15" t="s">
        <v>375</v>
      </c>
      <c r="L27" s="15" t="s">
        <v>375</v>
      </c>
      <c r="M27" s="15" t="s">
        <v>375</v>
      </c>
      <c r="N27" s="15" t="s">
        <v>375</v>
      </c>
      <c r="O27" s="15" t="s">
        <v>375</v>
      </c>
      <c r="P27" s="15" t="s">
        <v>375</v>
      </c>
      <c r="Q27" s="15" t="s">
        <v>375</v>
      </c>
      <c r="R27" s="15" t="s">
        <v>375</v>
      </c>
      <c r="S27" s="15" t="s">
        <v>375</v>
      </c>
      <c r="T27" s="15" t="s">
        <v>375</v>
      </c>
      <c r="U27" s="15" t="s">
        <v>375</v>
      </c>
      <c r="V27" s="15" t="s">
        <v>375</v>
      </c>
      <c r="W27" s="15" t="s">
        <v>375</v>
      </c>
      <c r="X27" s="15" t="s">
        <v>375</v>
      </c>
      <c r="Y27" s="15" t="s">
        <v>375</v>
      </c>
      <c r="Z27" s="15" t="s">
        <v>375</v>
      </c>
      <c r="AA27" s="15" t="s">
        <v>375</v>
      </c>
      <c r="AB27" s="15" t="s">
        <v>375</v>
      </c>
      <c r="AC27" s="15" t="s">
        <v>375</v>
      </c>
      <c r="AD27" s="15" t="s">
        <v>375</v>
      </c>
      <c r="AE27" s="15" t="s">
        <v>375</v>
      </c>
      <c r="AF27" s="15" t="s">
        <v>375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4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271</v>
      </c>
      <c r="C3" s="17"/>
      <c r="D3" s="17"/>
      <c r="E3" s="17"/>
      <c r="F3" s="17"/>
      <c r="H3" s="17" t="s">
        <v>272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1279</v>
      </c>
      <c r="C12" s="12">
        <v>208</v>
      </c>
      <c r="D12" s="12">
        <v>13</v>
      </c>
      <c r="E12" s="12">
        <v>7</v>
      </c>
      <c r="F12" s="12">
        <v>1</v>
      </c>
      <c r="G12" s="12">
        <v>3</v>
      </c>
      <c r="H12" s="12">
        <v>1</v>
      </c>
      <c r="I12" s="12">
        <v>2</v>
      </c>
      <c r="J12" s="12">
        <v>0</v>
      </c>
      <c r="K12" s="12">
        <v>0</v>
      </c>
      <c r="L12" s="12">
        <v>8</v>
      </c>
      <c r="M12" s="12">
        <v>23</v>
      </c>
      <c r="N12" s="12">
        <v>36</v>
      </c>
      <c r="O12" s="12">
        <v>3</v>
      </c>
      <c r="P12" s="12">
        <v>7</v>
      </c>
      <c r="Q12" s="12">
        <v>3</v>
      </c>
      <c r="R12" s="12">
        <v>2</v>
      </c>
      <c r="S12" s="12">
        <v>2</v>
      </c>
      <c r="T12" s="12">
        <v>2</v>
      </c>
      <c r="U12" s="12">
        <v>1</v>
      </c>
      <c r="V12" s="12">
        <v>0</v>
      </c>
      <c r="W12" s="12">
        <v>1</v>
      </c>
      <c r="X12" s="12">
        <v>3</v>
      </c>
      <c r="Y12" s="12">
        <v>0</v>
      </c>
      <c r="Z12" s="12">
        <v>3</v>
      </c>
      <c r="AA12" s="12">
        <v>45</v>
      </c>
      <c r="AB12" s="12">
        <v>7</v>
      </c>
      <c r="AC12" s="12">
        <v>0</v>
      </c>
      <c r="AD12" s="12">
        <v>4</v>
      </c>
      <c r="AE12" s="12">
        <v>1</v>
      </c>
      <c r="AF12" s="12">
        <v>4</v>
      </c>
    </row>
    <row r="13" spans="1:32">
      <c r="A13" s="19"/>
      <c r="B13" s="13" t="s">
        <v>1280</v>
      </c>
      <c r="C13" s="14">
        <v>0.01</v>
      </c>
      <c r="D13" s="14">
        <v>0.01</v>
      </c>
      <c r="E13" s="14">
        <v>0.01</v>
      </c>
      <c r="F13" s="15" t="s">
        <v>375</v>
      </c>
      <c r="G13" s="15" t="s">
        <v>375</v>
      </c>
      <c r="H13" s="15" t="s">
        <v>375</v>
      </c>
      <c r="I13" s="15" t="s">
        <v>375</v>
      </c>
      <c r="J13" s="15" t="s">
        <v>375</v>
      </c>
      <c r="K13" s="15" t="s">
        <v>375</v>
      </c>
      <c r="L13" s="14">
        <v>0.01</v>
      </c>
      <c r="M13" s="14">
        <v>0.02</v>
      </c>
      <c r="N13" s="14">
        <v>0.04</v>
      </c>
      <c r="O13" s="15" t="s">
        <v>375</v>
      </c>
      <c r="P13" s="14">
        <v>0.01</v>
      </c>
      <c r="Q13" s="15" t="s">
        <v>375</v>
      </c>
      <c r="R13" s="15" t="s">
        <v>375</v>
      </c>
      <c r="S13" s="15" t="s">
        <v>375</v>
      </c>
      <c r="T13" s="15" t="s">
        <v>375</v>
      </c>
      <c r="U13" s="15" t="s">
        <v>375</v>
      </c>
      <c r="V13" s="15" t="s">
        <v>375</v>
      </c>
      <c r="W13" s="15" t="s">
        <v>375</v>
      </c>
      <c r="X13" s="15" t="s">
        <v>375</v>
      </c>
      <c r="Y13" s="15" t="s">
        <v>375</v>
      </c>
      <c r="Z13" s="15" t="s">
        <v>375</v>
      </c>
      <c r="AA13" s="14">
        <v>0.04</v>
      </c>
      <c r="AB13" s="14">
        <v>0.01</v>
      </c>
      <c r="AC13" s="15" t="s">
        <v>375</v>
      </c>
      <c r="AD13" s="15" t="s">
        <v>375</v>
      </c>
      <c r="AE13" s="15" t="s">
        <v>375</v>
      </c>
      <c r="AF13" s="15" t="s">
        <v>375</v>
      </c>
    </row>
    <row r="14" spans="1:32">
      <c r="A14" s="19"/>
      <c r="B14" s="11" t="s">
        <v>1281</v>
      </c>
      <c r="C14" s="12">
        <v>1068</v>
      </c>
      <c r="D14" s="12">
        <v>29</v>
      </c>
      <c r="E14" s="12">
        <v>15</v>
      </c>
      <c r="F14" s="12">
        <v>4</v>
      </c>
      <c r="G14" s="12">
        <v>0</v>
      </c>
      <c r="H14" s="12">
        <v>20</v>
      </c>
      <c r="I14" s="12">
        <v>23</v>
      </c>
      <c r="J14" s="12">
        <v>3</v>
      </c>
      <c r="K14" s="12">
        <v>18</v>
      </c>
      <c r="L14" s="12">
        <v>54</v>
      </c>
      <c r="M14" s="12">
        <v>135</v>
      </c>
      <c r="N14" s="12">
        <v>64</v>
      </c>
      <c r="O14" s="12">
        <v>59</v>
      </c>
      <c r="P14" s="12">
        <v>11</v>
      </c>
      <c r="Q14" s="12">
        <v>47</v>
      </c>
      <c r="R14" s="12">
        <v>45</v>
      </c>
      <c r="S14" s="12">
        <v>12</v>
      </c>
      <c r="T14" s="12">
        <v>25</v>
      </c>
      <c r="U14" s="12">
        <v>33</v>
      </c>
      <c r="V14" s="12">
        <v>3</v>
      </c>
      <c r="W14" s="12">
        <v>31</v>
      </c>
      <c r="X14" s="12">
        <v>13</v>
      </c>
      <c r="Y14" s="12">
        <v>2</v>
      </c>
      <c r="Z14" s="12">
        <v>5</v>
      </c>
      <c r="AA14" s="12">
        <v>283</v>
      </c>
      <c r="AB14" s="12">
        <v>34</v>
      </c>
      <c r="AC14" s="12">
        <v>8</v>
      </c>
      <c r="AD14" s="12">
        <v>57</v>
      </c>
      <c r="AE14" s="12">
        <v>27</v>
      </c>
      <c r="AF14" s="12">
        <v>8</v>
      </c>
    </row>
    <row r="15" spans="1:32">
      <c r="A15" s="19"/>
      <c r="B15" s="13" t="s">
        <v>1282</v>
      </c>
      <c r="C15" s="14">
        <v>0.04</v>
      </c>
      <c r="D15" s="14">
        <v>0.03</v>
      </c>
      <c r="E15" s="14">
        <v>0.01</v>
      </c>
      <c r="F15" s="15" t="s">
        <v>375</v>
      </c>
      <c r="G15" s="15" t="s">
        <v>375</v>
      </c>
      <c r="H15" s="14">
        <v>0.02</v>
      </c>
      <c r="I15" s="14">
        <v>0.02</v>
      </c>
      <c r="J15" s="14">
        <v>0.01</v>
      </c>
      <c r="K15" s="14">
        <v>0.02</v>
      </c>
      <c r="L15" s="14">
        <v>0.05</v>
      </c>
      <c r="M15" s="14">
        <v>0.14000000000000001</v>
      </c>
      <c r="N15" s="14">
        <v>0.06</v>
      </c>
      <c r="O15" s="14">
        <v>0.06</v>
      </c>
      <c r="P15" s="14">
        <v>0.01</v>
      </c>
      <c r="Q15" s="14">
        <v>0.05</v>
      </c>
      <c r="R15" s="14">
        <v>0.09</v>
      </c>
      <c r="S15" s="14">
        <v>0.01</v>
      </c>
      <c r="T15" s="14">
        <v>0.03</v>
      </c>
      <c r="U15" s="14">
        <v>7.0000000000000007E-2</v>
      </c>
      <c r="V15" s="15" t="s">
        <v>375</v>
      </c>
      <c r="W15" s="14">
        <v>0.06</v>
      </c>
      <c r="X15" s="14">
        <v>0.01</v>
      </c>
      <c r="Y15" s="15" t="s">
        <v>375</v>
      </c>
      <c r="Z15" s="14">
        <v>0.01</v>
      </c>
      <c r="AA15" s="14">
        <v>0.27</v>
      </c>
      <c r="AB15" s="14">
        <v>0.03</v>
      </c>
      <c r="AC15" s="14">
        <v>0.01</v>
      </c>
      <c r="AD15" s="14">
        <v>0.06</v>
      </c>
      <c r="AE15" s="14">
        <v>0.03</v>
      </c>
      <c r="AF15" s="14">
        <v>0.01</v>
      </c>
    </row>
    <row r="16" spans="1:32">
      <c r="A16" s="19"/>
      <c r="B16" s="11" t="s">
        <v>1283</v>
      </c>
      <c r="C16" s="12">
        <v>5615</v>
      </c>
      <c r="D16" s="12">
        <v>155</v>
      </c>
      <c r="E16" s="12">
        <v>102</v>
      </c>
      <c r="F16" s="12">
        <v>93</v>
      </c>
      <c r="G16" s="12">
        <v>107</v>
      </c>
      <c r="H16" s="12">
        <v>438</v>
      </c>
      <c r="I16" s="12">
        <v>518</v>
      </c>
      <c r="J16" s="12">
        <v>80</v>
      </c>
      <c r="K16" s="12">
        <v>144</v>
      </c>
      <c r="L16" s="12">
        <v>116</v>
      </c>
      <c r="M16" s="12">
        <v>129</v>
      </c>
      <c r="N16" s="12">
        <v>162</v>
      </c>
      <c r="O16" s="12">
        <v>284</v>
      </c>
      <c r="P16" s="12">
        <v>78</v>
      </c>
      <c r="Q16" s="12">
        <v>268</v>
      </c>
      <c r="R16" s="12">
        <v>22</v>
      </c>
      <c r="S16" s="12">
        <v>100</v>
      </c>
      <c r="T16" s="12">
        <v>151</v>
      </c>
      <c r="U16" s="12">
        <v>51</v>
      </c>
      <c r="V16" s="12">
        <v>370</v>
      </c>
      <c r="W16" s="12">
        <v>96</v>
      </c>
      <c r="X16" s="12">
        <v>98</v>
      </c>
      <c r="Y16" s="12">
        <v>74</v>
      </c>
      <c r="Z16" s="12">
        <v>85</v>
      </c>
      <c r="AA16" s="12">
        <v>205</v>
      </c>
      <c r="AB16" s="12">
        <v>148</v>
      </c>
      <c r="AC16" s="12">
        <v>352</v>
      </c>
      <c r="AD16" s="12">
        <v>221</v>
      </c>
      <c r="AE16" s="12">
        <v>132</v>
      </c>
      <c r="AF16" s="12">
        <v>67</v>
      </c>
    </row>
    <row r="17" spans="1:32">
      <c r="A17" s="19"/>
      <c r="B17" s="13" t="s">
        <v>1284</v>
      </c>
      <c r="C17" s="14">
        <v>0.21</v>
      </c>
      <c r="D17" s="14">
        <v>0.15</v>
      </c>
      <c r="E17" s="14">
        <v>0.1</v>
      </c>
      <c r="F17" s="14">
        <v>0.09</v>
      </c>
      <c r="G17" s="14">
        <v>0.11</v>
      </c>
      <c r="H17" s="14">
        <v>0.36</v>
      </c>
      <c r="I17" s="14">
        <v>0.34</v>
      </c>
      <c r="J17" s="14">
        <v>0.27</v>
      </c>
      <c r="K17" s="14">
        <v>0.14000000000000001</v>
      </c>
      <c r="L17" s="14">
        <v>0.12</v>
      </c>
      <c r="M17" s="14">
        <v>0.13</v>
      </c>
      <c r="N17" s="14">
        <v>0.16</v>
      </c>
      <c r="O17" s="14">
        <v>0.28000000000000003</v>
      </c>
      <c r="P17" s="14">
        <v>0.08</v>
      </c>
      <c r="Q17" s="14">
        <v>0.26</v>
      </c>
      <c r="R17" s="14">
        <v>0.04</v>
      </c>
      <c r="S17" s="14">
        <v>0.1</v>
      </c>
      <c r="T17" s="14">
        <v>0.15</v>
      </c>
      <c r="U17" s="14">
        <v>0.1</v>
      </c>
      <c r="V17" s="14">
        <v>0.36</v>
      </c>
      <c r="W17" s="14">
        <v>0.19</v>
      </c>
      <c r="X17" s="14">
        <v>0.1</v>
      </c>
      <c r="Y17" s="14">
        <v>7.0000000000000007E-2</v>
      </c>
      <c r="Z17" s="14">
        <v>0.09</v>
      </c>
      <c r="AA17" s="14">
        <v>0.2</v>
      </c>
      <c r="AB17" s="14">
        <v>0.14000000000000001</v>
      </c>
      <c r="AC17" s="14">
        <v>0.35</v>
      </c>
      <c r="AD17" s="14">
        <v>0.22</v>
      </c>
      <c r="AE17" s="14">
        <v>0.13</v>
      </c>
      <c r="AF17" s="14">
        <v>7.0000000000000007E-2</v>
      </c>
    </row>
    <row r="18" spans="1:32">
      <c r="A18" s="19"/>
      <c r="B18" s="11" t="s">
        <v>1285</v>
      </c>
      <c r="C18" s="12">
        <v>9787</v>
      </c>
      <c r="D18" s="12">
        <v>342</v>
      </c>
      <c r="E18" s="12">
        <v>652</v>
      </c>
      <c r="F18" s="12">
        <v>698</v>
      </c>
      <c r="G18" s="12">
        <v>281</v>
      </c>
      <c r="H18" s="12">
        <v>388</v>
      </c>
      <c r="I18" s="12">
        <v>511</v>
      </c>
      <c r="J18" s="12">
        <v>123</v>
      </c>
      <c r="K18" s="12">
        <v>363</v>
      </c>
      <c r="L18" s="12">
        <v>270</v>
      </c>
      <c r="M18" s="12">
        <v>423</v>
      </c>
      <c r="N18" s="12">
        <v>130</v>
      </c>
      <c r="O18" s="12">
        <v>240</v>
      </c>
      <c r="P18" s="12">
        <v>696</v>
      </c>
      <c r="Q18" s="12">
        <v>538</v>
      </c>
      <c r="R18" s="12">
        <v>158</v>
      </c>
      <c r="S18" s="12">
        <v>435</v>
      </c>
      <c r="T18" s="12">
        <v>310</v>
      </c>
      <c r="U18" s="12">
        <v>91</v>
      </c>
      <c r="V18" s="12">
        <v>395</v>
      </c>
      <c r="W18" s="12">
        <v>59</v>
      </c>
      <c r="X18" s="12">
        <v>323</v>
      </c>
      <c r="Y18" s="12">
        <v>72</v>
      </c>
      <c r="Z18" s="12">
        <v>692</v>
      </c>
      <c r="AA18" s="12">
        <v>309</v>
      </c>
      <c r="AB18" s="12">
        <v>657</v>
      </c>
      <c r="AC18" s="12">
        <v>314</v>
      </c>
      <c r="AD18" s="12">
        <v>451</v>
      </c>
      <c r="AE18" s="12">
        <v>232</v>
      </c>
      <c r="AF18" s="12">
        <v>208</v>
      </c>
    </row>
    <row r="19" spans="1:32">
      <c r="A19" s="19"/>
      <c r="B19" s="13" t="s">
        <v>1286</v>
      </c>
      <c r="C19" s="14">
        <v>0.37</v>
      </c>
      <c r="D19" s="14">
        <v>0.34</v>
      </c>
      <c r="E19" s="14">
        <v>0.62</v>
      </c>
      <c r="F19" s="14">
        <v>0.66</v>
      </c>
      <c r="G19" s="14">
        <v>0.28000000000000003</v>
      </c>
      <c r="H19" s="14">
        <v>0.32</v>
      </c>
      <c r="I19" s="14">
        <v>0.33</v>
      </c>
      <c r="J19" s="14">
        <v>0.41</v>
      </c>
      <c r="K19" s="14">
        <v>0.36</v>
      </c>
      <c r="L19" s="14">
        <v>0.27</v>
      </c>
      <c r="M19" s="14">
        <v>0.42</v>
      </c>
      <c r="N19" s="14">
        <v>0.13</v>
      </c>
      <c r="O19" s="14">
        <v>0.24</v>
      </c>
      <c r="P19" s="14">
        <v>0.69000000000000006</v>
      </c>
      <c r="Q19" s="14">
        <v>0.52</v>
      </c>
      <c r="R19" s="14">
        <v>0.32</v>
      </c>
      <c r="S19" s="14">
        <v>0.43</v>
      </c>
      <c r="T19" s="14">
        <v>0.3</v>
      </c>
      <c r="U19" s="14">
        <v>0.18</v>
      </c>
      <c r="V19" s="14">
        <v>0.39</v>
      </c>
      <c r="W19" s="14">
        <v>0.12</v>
      </c>
      <c r="X19" s="14">
        <v>0.32</v>
      </c>
      <c r="Y19" s="14">
        <v>7.0000000000000007E-2</v>
      </c>
      <c r="Z19" s="14">
        <v>0.68</v>
      </c>
      <c r="AA19" s="14">
        <v>0.3</v>
      </c>
      <c r="AB19" s="14">
        <v>0.63</v>
      </c>
      <c r="AC19" s="14">
        <v>0.31</v>
      </c>
      <c r="AD19" s="14">
        <v>0.45</v>
      </c>
      <c r="AE19" s="14">
        <v>0.23</v>
      </c>
      <c r="AF19" s="14">
        <v>0.2</v>
      </c>
    </row>
    <row r="20" spans="1:32">
      <c r="A20" s="19"/>
      <c r="B20" s="11" t="s">
        <v>1287</v>
      </c>
      <c r="C20" s="12">
        <v>2106</v>
      </c>
      <c r="D20" s="12">
        <v>53</v>
      </c>
      <c r="E20" s="12">
        <v>0</v>
      </c>
      <c r="F20" s="12">
        <v>34</v>
      </c>
      <c r="G20" s="12">
        <v>126</v>
      </c>
      <c r="H20" s="12">
        <v>80</v>
      </c>
      <c r="I20" s="12">
        <v>101</v>
      </c>
      <c r="J20" s="12">
        <v>21</v>
      </c>
      <c r="K20" s="12">
        <v>94</v>
      </c>
      <c r="L20" s="12">
        <v>78</v>
      </c>
      <c r="M20" s="12">
        <v>81</v>
      </c>
      <c r="N20" s="12">
        <v>318</v>
      </c>
      <c r="O20" s="12">
        <v>26</v>
      </c>
      <c r="P20" s="12">
        <v>12</v>
      </c>
      <c r="Q20" s="12">
        <v>9</v>
      </c>
      <c r="R20" s="12">
        <v>2</v>
      </c>
      <c r="S20" s="12">
        <v>126</v>
      </c>
      <c r="T20" s="12">
        <v>96</v>
      </c>
      <c r="U20" s="12">
        <v>80</v>
      </c>
      <c r="V20" s="12">
        <v>61</v>
      </c>
      <c r="W20" s="12">
        <v>99</v>
      </c>
      <c r="X20" s="12">
        <v>9</v>
      </c>
      <c r="Y20" s="12">
        <v>488</v>
      </c>
      <c r="Z20" s="12">
        <v>24</v>
      </c>
      <c r="AA20" s="12">
        <v>11</v>
      </c>
      <c r="AB20" s="12">
        <v>46</v>
      </c>
      <c r="AC20" s="12">
        <v>21</v>
      </c>
      <c r="AD20" s="12">
        <v>30</v>
      </c>
      <c r="AE20" s="12">
        <v>40</v>
      </c>
      <c r="AF20" s="12">
        <v>118</v>
      </c>
    </row>
    <row r="21" spans="1:32">
      <c r="A21" s="19"/>
      <c r="B21" s="13" t="s">
        <v>1288</v>
      </c>
      <c r="C21" s="14">
        <v>0.08</v>
      </c>
      <c r="D21" s="14">
        <v>0.05</v>
      </c>
      <c r="E21" s="15" t="s">
        <v>375</v>
      </c>
      <c r="F21" s="14">
        <v>0.03</v>
      </c>
      <c r="G21" s="14">
        <v>0.12</v>
      </c>
      <c r="H21" s="14">
        <v>0.06</v>
      </c>
      <c r="I21" s="14">
        <v>7.0000000000000007E-2</v>
      </c>
      <c r="J21" s="14">
        <v>7.0000000000000007E-2</v>
      </c>
      <c r="K21" s="14">
        <v>0.09</v>
      </c>
      <c r="L21" s="14">
        <v>0.08</v>
      </c>
      <c r="M21" s="14">
        <v>0.08</v>
      </c>
      <c r="N21" s="14">
        <v>0.31</v>
      </c>
      <c r="O21" s="14">
        <v>0.03</v>
      </c>
      <c r="P21" s="14">
        <v>0.01</v>
      </c>
      <c r="Q21" s="14">
        <v>0.01</v>
      </c>
      <c r="R21" s="15" t="s">
        <v>375</v>
      </c>
      <c r="S21" s="14">
        <v>0.13</v>
      </c>
      <c r="T21" s="14">
        <v>0.09</v>
      </c>
      <c r="U21" s="14">
        <v>0.16</v>
      </c>
      <c r="V21" s="14">
        <v>0.06</v>
      </c>
      <c r="W21" s="14">
        <v>0.2</v>
      </c>
      <c r="X21" s="14">
        <v>0.01</v>
      </c>
      <c r="Y21" s="14">
        <v>0.49</v>
      </c>
      <c r="Z21" s="14">
        <v>0.02</v>
      </c>
      <c r="AA21" s="14">
        <v>0.01</v>
      </c>
      <c r="AB21" s="14">
        <v>0.05</v>
      </c>
      <c r="AC21" s="14">
        <v>0.02</v>
      </c>
      <c r="AD21" s="14">
        <v>0.03</v>
      </c>
      <c r="AE21" s="14">
        <v>0.04</v>
      </c>
      <c r="AF21" s="14">
        <v>0.11</v>
      </c>
    </row>
    <row r="22" spans="1:32">
      <c r="A22" s="19"/>
      <c r="B22" s="11" t="s">
        <v>1289</v>
      </c>
      <c r="C22" s="12">
        <v>1794</v>
      </c>
      <c r="D22" s="12">
        <v>181</v>
      </c>
      <c r="E22" s="12">
        <v>0</v>
      </c>
      <c r="F22" s="12">
        <v>4</v>
      </c>
      <c r="G22" s="12">
        <v>189</v>
      </c>
      <c r="H22" s="12">
        <v>44</v>
      </c>
      <c r="I22" s="12">
        <v>64</v>
      </c>
      <c r="J22" s="12">
        <v>20</v>
      </c>
      <c r="K22" s="12">
        <v>45</v>
      </c>
      <c r="L22" s="12">
        <v>85</v>
      </c>
      <c r="M22" s="12">
        <v>0</v>
      </c>
      <c r="N22" s="12">
        <v>86</v>
      </c>
      <c r="O22" s="12">
        <v>172</v>
      </c>
      <c r="P22" s="12">
        <v>51</v>
      </c>
      <c r="Q22" s="12">
        <v>9</v>
      </c>
      <c r="R22" s="12">
        <v>56</v>
      </c>
      <c r="S22" s="12">
        <v>62</v>
      </c>
      <c r="T22" s="12">
        <v>0</v>
      </c>
      <c r="U22" s="12">
        <v>45</v>
      </c>
      <c r="V22" s="12">
        <v>23</v>
      </c>
      <c r="W22" s="12">
        <v>50</v>
      </c>
      <c r="X22" s="12">
        <v>59</v>
      </c>
      <c r="Y22" s="12">
        <v>230</v>
      </c>
      <c r="Z22" s="12">
        <v>0</v>
      </c>
      <c r="AA22" s="12">
        <v>10</v>
      </c>
      <c r="AB22" s="12">
        <v>8</v>
      </c>
      <c r="AC22" s="12">
        <v>89</v>
      </c>
      <c r="AD22" s="12">
        <v>0</v>
      </c>
      <c r="AE22" s="12">
        <v>125</v>
      </c>
      <c r="AF22" s="12">
        <v>207</v>
      </c>
    </row>
    <row r="23" spans="1:32">
      <c r="A23" s="19"/>
      <c r="B23" s="13" t="s">
        <v>1290</v>
      </c>
      <c r="C23" s="14">
        <v>7.0000000000000007E-2</v>
      </c>
      <c r="D23" s="14">
        <v>0.18</v>
      </c>
      <c r="E23" s="15" t="s">
        <v>375</v>
      </c>
      <c r="F23" s="15" t="s">
        <v>375</v>
      </c>
      <c r="G23" s="14">
        <v>0.19</v>
      </c>
      <c r="H23" s="14">
        <v>0.04</v>
      </c>
      <c r="I23" s="14">
        <v>0.04</v>
      </c>
      <c r="J23" s="14">
        <v>7.0000000000000007E-2</v>
      </c>
      <c r="K23" s="14">
        <v>0.05</v>
      </c>
      <c r="L23" s="14">
        <v>0.08</v>
      </c>
      <c r="M23" s="15" t="s">
        <v>375</v>
      </c>
      <c r="N23" s="14">
        <v>0.09</v>
      </c>
      <c r="O23" s="14">
        <v>0.17</v>
      </c>
      <c r="P23" s="14">
        <v>0.05</v>
      </c>
      <c r="Q23" s="14">
        <v>0.01</v>
      </c>
      <c r="R23" s="14">
        <v>0.11</v>
      </c>
      <c r="S23" s="14">
        <v>0.06</v>
      </c>
      <c r="T23" s="15" t="s">
        <v>375</v>
      </c>
      <c r="U23" s="14">
        <v>0.09</v>
      </c>
      <c r="V23" s="14">
        <v>0.02</v>
      </c>
      <c r="W23" s="14">
        <v>0.1</v>
      </c>
      <c r="X23" s="14">
        <v>0.06</v>
      </c>
      <c r="Y23" s="14">
        <v>0.23</v>
      </c>
      <c r="Z23" s="15" t="s">
        <v>375</v>
      </c>
      <c r="AA23" s="14">
        <v>0.01</v>
      </c>
      <c r="AB23" s="14">
        <v>0.01</v>
      </c>
      <c r="AC23" s="14">
        <v>0.09</v>
      </c>
      <c r="AD23" s="15" t="s">
        <v>375</v>
      </c>
      <c r="AE23" s="14">
        <v>0.12</v>
      </c>
      <c r="AF23" s="14">
        <v>0.2</v>
      </c>
    </row>
    <row r="24" spans="1:32">
      <c r="A24" s="19"/>
      <c r="B24" s="11" t="s">
        <v>1291</v>
      </c>
      <c r="C24" s="12">
        <v>2727</v>
      </c>
      <c r="D24" s="12">
        <v>95</v>
      </c>
      <c r="E24" s="12">
        <v>132</v>
      </c>
      <c r="F24" s="12">
        <v>91</v>
      </c>
      <c r="G24" s="12">
        <v>123</v>
      </c>
      <c r="H24" s="12">
        <v>101</v>
      </c>
      <c r="I24" s="12">
        <v>120</v>
      </c>
      <c r="J24" s="12">
        <v>19</v>
      </c>
      <c r="K24" s="12">
        <v>170</v>
      </c>
      <c r="L24" s="12">
        <v>249</v>
      </c>
      <c r="M24" s="12">
        <v>173</v>
      </c>
      <c r="N24" s="12">
        <v>152</v>
      </c>
      <c r="O24" s="12">
        <v>100</v>
      </c>
      <c r="P24" s="12">
        <v>38</v>
      </c>
      <c r="Q24" s="12">
        <v>39</v>
      </c>
      <c r="R24" s="12">
        <v>134</v>
      </c>
      <c r="S24" s="12">
        <v>123</v>
      </c>
      <c r="T24" s="12">
        <v>335</v>
      </c>
      <c r="U24" s="12">
        <v>57</v>
      </c>
      <c r="V24" s="12">
        <v>105</v>
      </c>
      <c r="W24" s="12">
        <v>85</v>
      </c>
      <c r="X24" s="12">
        <v>255</v>
      </c>
      <c r="Y24" s="12">
        <v>46</v>
      </c>
      <c r="Z24" s="12">
        <v>45</v>
      </c>
      <c r="AA24" s="12">
        <v>135</v>
      </c>
      <c r="AB24" s="12">
        <v>116</v>
      </c>
      <c r="AC24" s="12">
        <v>135</v>
      </c>
      <c r="AD24" s="12">
        <v>55</v>
      </c>
      <c r="AE24" s="12">
        <v>219</v>
      </c>
      <c r="AF24" s="12">
        <v>200</v>
      </c>
    </row>
    <row r="25" spans="1:32">
      <c r="A25" s="19"/>
      <c r="B25" s="13" t="s">
        <v>1292</v>
      </c>
      <c r="C25" s="14">
        <v>0.1</v>
      </c>
      <c r="D25" s="14">
        <v>0.09</v>
      </c>
      <c r="E25" s="14">
        <v>0.13</v>
      </c>
      <c r="F25" s="14">
        <v>0.09</v>
      </c>
      <c r="G25" s="14">
        <v>0.12</v>
      </c>
      <c r="H25" s="14">
        <v>0.08</v>
      </c>
      <c r="I25" s="14">
        <v>0.08</v>
      </c>
      <c r="J25" s="14">
        <v>0.06</v>
      </c>
      <c r="K25" s="14">
        <v>0.17</v>
      </c>
      <c r="L25" s="14">
        <v>0.25</v>
      </c>
      <c r="M25" s="14">
        <v>0.17</v>
      </c>
      <c r="N25" s="14">
        <v>0.15</v>
      </c>
      <c r="O25" s="14">
        <v>0.1</v>
      </c>
      <c r="P25" s="14">
        <v>0.04</v>
      </c>
      <c r="Q25" s="14">
        <v>0.04</v>
      </c>
      <c r="R25" s="14">
        <v>0.27</v>
      </c>
      <c r="S25" s="14">
        <v>0.12</v>
      </c>
      <c r="T25" s="14">
        <v>0.33</v>
      </c>
      <c r="U25" s="14">
        <v>0.11</v>
      </c>
      <c r="V25" s="14">
        <v>0.1</v>
      </c>
      <c r="W25" s="14">
        <v>0.17</v>
      </c>
      <c r="X25" s="14">
        <v>0.25</v>
      </c>
      <c r="Y25" s="14">
        <v>0.05</v>
      </c>
      <c r="Z25" s="14">
        <v>0.04</v>
      </c>
      <c r="AA25" s="14">
        <v>0.13</v>
      </c>
      <c r="AB25" s="14">
        <v>0.11</v>
      </c>
      <c r="AC25" s="14">
        <v>0.13</v>
      </c>
      <c r="AD25" s="14">
        <v>0.06</v>
      </c>
      <c r="AE25" s="14">
        <v>0.22</v>
      </c>
      <c r="AF25" s="14">
        <v>0.19</v>
      </c>
    </row>
    <row r="26" spans="1:32">
      <c r="A26" s="19"/>
      <c r="B26" s="11" t="s">
        <v>1293</v>
      </c>
      <c r="C26" s="12">
        <v>2877</v>
      </c>
      <c r="D26" s="12">
        <v>147</v>
      </c>
      <c r="E26" s="12">
        <v>135</v>
      </c>
      <c r="F26" s="12">
        <v>130</v>
      </c>
      <c r="G26" s="12">
        <v>174</v>
      </c>
      <c r="H26" s="12">
        <v>139</v>
      </c>
      <c r="I26" s="12">
        <v>167</v>
      </c>
      <c r="J26" s="12">
        <v>28</v>
      </c>
      <c r="K26" s="12">
        <v>164</v>
      </c>
      <c r="L26" s="12">
        <v>136</v>
      </c>
      <c r="M26" s="12">
        <v>41</v>
      </c>
      <c r="N26" s="12">
        <v>54</v>
      </c>
      <c r="O26" s="12">
        <v>104</v>
      </c>
      <c r="P26" s="12">
        <v>93</v>
      </c>
      <c r="Q26" s="12">
        <v>118</v>
      </c>
      <c r="R26" s="12">
        <v>74</v>
      </c>
      <c r="S26" s="12">
        <v>138</v>
      </c>
      <c r="T26" s="12">
        <v>101</v>
      </c>
      <c r="U26" s="12">
        <v>142</v>
      </c>
      <c r="V26" s="12">
        <v>68</v>
      </c>
      <c r="W26" s="12">
        <v>77</v>
      </c>
      <c r="X26" s="12">
        <v>222</v>
      </c>
      <c r="Y26" s="12">
        <v>73</v>
      </c>
      <c r="Z26" s="12">
        <v>159</v>
      </c>
      <c r="AA26" s="12">
        <v>38</v>
      </c>
      <c r="AB26" s="12">
        <v>25</v>
      </c>
      <c r="AC26" s="12">
        <v>76</v>
      </c>
      <c r="AD26" s="12">
        <v>157</v>
      </c>
      <c r="AE26" s="12">
        <v>198</v>
      </c>
      <c r="AF26" s="12">
        <v>181</v>
      </c>
    </row>
    <row r="27" spans="1:32">
      <c r="A27" s="19"/>
      <c r="B27" s="13" t="s">
        <v>1294</v>
      </c>
      <c r="C27" s="14">
        <v>0.11</v>
      </c>
      <c r="D27" s="14">
        <v>0.14000000000000001</v>
      </c>
      <c r="E27" s="14">
        <v>0.13</v>
      </c>
      <c r="F27" s="14">
        <v>0.12</v>
      </c>
      <c r="G27" s="14">
        <v>0.17</v>
      </c>
      <c r="H27" s="14">
        <v>0.11</v>
      </c>
      <c r="I27" s="14">
        <v>0.11</v>
      </c>
      <c r="J27" s="14">
        <v>0.1</v>
      </c>
      <c r="K27" s="14">
        <v>0.16</v>
      </c>
      <c r="L27" s="14">
        <v>0.13</v>
      </c>
      <c r="M27" s="14">
        <v>0.04</v>
      </c>
      <c r="N27" s="14">
        <v>0.05</v>
      </c>
      <c r="O27" s="14">
        <v>0.1</v>
      </c>
      <c r="P27" s="14">
        <v>0.09</v>
      </c>
      <c r="Q27" s="14">
        <v>0.11</v>
      </c>
      <c r="R27" s="14">
        <v>0.15</v>
      </c>
      <c r="S27" s="14">
        <v>0.14000000000000001</v>
      </c>
      <c r="T27" s="14">
        <v>0.1</v>
      </c>
      <c r="U27" s="14">
        <v>0.28000000000000003</v>
      </c>
      <c r="V27" s="14">
        <v>7.0000000000000007E-2</v>
      </c>
      <c r="W27" s="14">
        <v>0.15</v>
      </c>
      <c r="X27" s="14">
        <v>0.22</v>
      </c>
      <c r="Y27" s="14">
        <v>7.0000000000000007E-2</v>
      </c>
      <c r="Z27" s="14">
        <v>0.16</v>
      </c>
      <c r="AA27" s="14">
        <v>0.04</v>
      </c>
      <c r="AB27" s="14">
        <v>0.02</v>
      </c>
      <c r="AC27" s="14">
        <v>0.08</v>
      </c>
      <c r="AD27" s="14">
        <v>0.16</v>
      </c>
      <c r="AE27" s="14">
        <v>0.2</v>
      </c>
      <c r="AF27" s="14">
        <v>0.18</v>
      </c>
    </row>
    <row r="28" spans="1:32">
      <c r="A28" s="19"/>
      <c r="B28" s="11" t="s">
        <v>1295</v>
      </c>
      <c r="C28" s="12">
        <v>262</v>
      </c>
      <c r="D28" s="12">
        <v>5</v>
      </c>
      <c r="E28" s="12">
        <v>2</v>
      </c>
      <c r="F28" s="12">
        <v>6</v>
      </c>
      <c r="G28" s="12">
        <v>11</v>
      </c>
      <c r="H28" s="12">
        <v>17</v>
      </c>
      <c r="I28" s="12">
        <v>20</v>
      </c>
      <c r="J28" s="12">
        <v>2</v>
      </c>
      <c r="K28" s="12">
        <v>6</v>
      </c>
      <c r="L28" s="12">
        <v>11</v>
      </c>
      <c r="M28" s="12">
        <v>1</v>
      </c>
      <c r="N28" s="12">
        <v>9</v>
      </c>
      <c r="O28" s="12">
        <v>15</v>
      </c>
      <c r="P28" s="12">
        <v>16</v>
      </c>
      <c r="Q28" s="12">
        <v>1</v>
      </c>
      <c r="R28" s="12">
        <v>9</v>
      </c>
      <c r="S28" s="12">
        <v>6</v>
      </c>
      <c r="T28" s="12">
        <v>3</v>
      </c>
      <c r="U28" s="12">
        <v>6</v>
      </c>
      <c r="V28" s="12">
        <v>1</v>
      </c>
      <c r="W28" s="12">
        <v>4</v>
      </c>
      <c r="X28" s="12">
        <v>27</v>
      </c>
      <c r="Y28" s="12">
        <v>18</v>
      </c>
      <c r="Z28" s="12">
        <v>3</v>
      </c>
      <c r="AA28" s="12">
        <v>1</v>
      </c>
      <c r="AB28" s="12">
        <v>0</v>
      </c>
      <c r="AC28" s="12">
        <v>9</v>
      </c>
      <c r="AD28" s="12">
        <v>25</v>
      </c>
      <c r="AE28" s="12">
        <v>26</v>
      </c>
      <c r="AF28" s="12">
        <v>38</v>
      </c>
    </row>
    <row r="29" spans="1:32">
      <c r="A29" s="19"/>
      <c r="B29" s="13" t="s">
        <v>1296</v>
      </c>
      <c r="C29" s="14">
        <v>0.01</v>
      </c>
      <c r="D29" s="14">
        <v>0.01</v>
      </c>
      <c r="E29" s="15" t="s">
        <v>375</v>
      </c>
      <c r="F29" s="14">
        <v>0.01</v>
      </c>
      <c r="G29" s="14">
        <v>0.01</v>
      </c>
      <c r="H29" s="14">
        <v>0.01</v>
      </c>
      <c r="I29" s="14">
        <v>0.01</v>
      </c>
      <c r="J29" s="14">
        <v>0.01</v>
      </c>
      <c r="K29" s="14">
        <v>0.01</v>
      </c>
      <c r="L29" s="14">
        <v>0.01</v>
      </c>
      <c r="M29" s="15" t="s">
        <v>375</v>
      </c>
      <c r="N29" s="14">
        <v>0.01</v>
      </c>
      <c r="O29" s="14">
        <v>0.02</v>
      </c>
      <c r="P29" s="14">
        <v>0.02</v>
      </c>
      <c r="Q29" s="15" t="s">
        <v>375</v>
      </c>
      <c r="R29" s="14">
        <v>0.02</v>
      </c>
      <c r="S29" s="14">
        <v>0.01</v>
      </c>
      <c r="T29" s="15" t="s">
        <v>375</v>
      </c>
      <c r="U29" s="14">
        <v>0.01</v>
      </c>
      <c r="V29" s="15" t="s">
        <v>375</v>
      </c>
      <c r="W29" s="14">
        <v>0.01</v>
      </c>
      <c r="X29" s="14">
        <v>0.03</v>
      </c>
      <c r="Y29" s="14">
        <v>0.02</v>
      </c>
      <c r="Z29" s="15" t="s">
        <v>375</v>
      </c>
      <c r="AA29" s="15" t="s">
        <v>375</v>
      </c>
      <c r="AB29" s="15" t="s">
        <v>375</v>
      </c>
      <c r="AC29" s="14">
        <v>0.01</v>
      </c>
      <c r="AD29" s="14">
        <v>0.02</v>
      </c>
      <c r="AE29" s="14">
        <v>0.03</v>
      </c>
      <c r="AF29" s="14">
        <v>0.04</v>
      </c>
    </row>
    <row r="30" spans="1:32">
      <c r="A30" s="19"/>
      <c r="B30" s="11" t="s">
        <v>1297</v>
      </c>
      <c r="C30" s="12">
        <v>0</v>
      </c>
      <c r="D30" s="12">
        <v>0</v>
      </c>
      <c r="E30" s="12">
        <v>0</v>
      </c>
      <c r="F30" s="12">
        <v>0</v>
      </c>
      <c r="G30" s="12">
        <v>0</v>
      </c>
      <c r="H30" s="12">
        <v>0</v>
      </c>
      <c r="I30" s="12">
        <v>0</v>
      </c>
      <c r="J30" s="12">
        <v>0</v>
      </c>
      <c r="K30" s="12">
        <v>0</v>
      </c>
      <c r="L30" s="12">
        <v>0</v>
      </c>
      <c r="M30" s="12">
        <v>0</v>
      </c>
      <c r="N30" s="12">
        <v>0</v>
      </c>
      <c r="O30" s="12">
        <v>0</v>
      </c>
      <c r="P30" s="12">
        <v>0</v>
      </c>
      <c r="Q30" s="12">
        <v>0</v>
      </c>
      <c r="R30" s="12">
        <v>0</v>
      </c>
      <c r="S30" s="12">
        <v>0</v>
      </c>
      <c r="T30" s="12">
        <v>0</v>
      </c>
      <c r="U30" s="12">
        <v>0</v>
      </c>
      <c r="V30" s="12">
        <v>0</v>
      </c>
      <c r="W30" s="12">
        <v>0</v>
      </c>
      <c r="X30" s="12">
        <v>0</v>
      </c>
      <c r="Y30" s="12">
        <v>0</v>
      </c>
      <c r="Z30" s="12">
        <v>0</v>
      </c>
      <c r="AA30" s="12">
        <v>0</v>
      </c>
      <c r="AB30" s="12">
        <v>0</v>
      </c>
      <c r="AC30" s="12">
        <v>0</v>
      </c>
      <c r="AD30" s="12">
        <v>0</v>
      </c>
      <c r="AE30" s="12">
        <v>1</v>
      </c>
      <c r="AF30" s="12">
        <v>0</v>
      </c>
    </row>
    <row r="31" spans="1:32">
      <c r="A31" s="19"/>
      <c r="B31" s="13" t="s">
        <v>1298</v>
      </c>
      <c r="C31" s="15" t="s">
        <v>375</v>
      </c>
      <c r="D31" s="15" t="s">
        <v>375</v>
      </c>
      <c r="E31" s="15" t="s">
        <v>375</v>
      </c>
      <c r="F31" s="15" t="s">
        <v>375</v>
      </c>
      <c r="G31" s="15" t="s">
        <v>375</v>
      </c>
      <c r="H31" s="15" t="s">
        <v>375</v>
      </c>
      <c r="I31" s="15" t="s">
        <v>375</v>
      </c>
      <c r="J31" s="15" t="s">
        <v>375</v>
      </c>
      <c r="K31" s="15" t="s">
        <v>375</v>
      </c>
      <c r="L31" s="15" t="s">
        <v>375</v>
      </c>
      <c r="M31" s="15" t="s">
        <v>375</v>
      </c>
      <c r="N31" s="15" t="s">
        <v>375</v>
      </c>
      <c r="O31" s="15" t="s">
        <v>375</v>
      </c>
      <c r="P31" s="15" t="s">
        <v>375</v>
      </c>
      <c r="Q31" s="15" t="s">
        <v>375</v>
      </c>
      <c r="R31" s="15" t="s">
        <v>375</v>
      </c>
      <c r="S31" s="15" t="s">
        <v>375</v>
      </c>
      <c r="T31" s="15" t="s">
        <v>375</v>
      </c>
      <c r="U31" s="15" t="s">
        <v>375</v>
      </c>
      <c r="V31" s="15" t="s">
        <v>375</v>
      </c>
      <c r="W31" s="15" t="s">
        <v>375</v>
      </c>
      <c r="X31" s="15" t="s">
        <v>375</v>
      </c>
      <c r="Y31" s="15" t="s">
        <v>375</v>
      </c>
      <c r="Z31" s="15" t="s">
        <v>375</v>
      </c>
      <c r="AA31" s="15" t="s">
        <v>375</v>
      </c>
      <c r="AB31" s="15" t="s">
        <v>375</v>
      </c>
      <c r="AC31" s="15" t="s">
        <v>375</v>
      </c>
      <c r="AD31" s="15" t="s">
        <v>375</v>
      </c>
      <c r="AE31" s="15" t="s">
        <v>375</v>
      </c>
      <c r="AF31" s="15" t="s">
        <v>375</v>
      </c>
    </row>
    <row r="32" spans="1:32">
      <c r="A32" s="19"/>
      <c r="B32" s="11" t="s">
        <v>1299</v>
      </c>
      <c r="C32" s="12">
        <v>5</v>
      </c>
      <c r="D32" s="12">
        <v>0</v>
      </c>
      <c r="E32" s="12">
        <v>0</v>
      </c>
      <c r="F32" s="12">
        <v>0</v>
      </c>
      <c r="G32" s="12">
        <v>0</v>
      </c>
      <c r="H32" s="12">
        <v>2</v>
      </c>
      <c r="I32" s="12">
        <v>2</v>
      </c>
      <c r="J32" s="12">
        <v>0</v>
      </c>
      <c r="K32" s="12">
        <v>0</v>
      </c>
      <c r="L32" s="12">
        <v>0</v>
      </c>
      <c r="M32" s="12">
        <v>0</v>
      </c>
      <c r="N32" s="12">
        <v>0</v>
      </c>
      <c r="O32" s="12">
        <v>0</v>
      </c>
      <c r="P32" s="12">
        <v>0</v>
      </c>
      <c r="Q32" s="12">
        <v>0</v>
      </c>
      <c r="R32" s="12">
        <v>0</v>
      </c>
      <c r="S32" s="12">
        <v>0</v>
      </c>
      <c r="T32" s="12">
        <v>0</v>
      </c>
      <c r="U32" s="12">
        <v>0</v>
      </c>
      <c r="V32" s="12">
        <v>0</v>
      </c>
      <c r="W32" s="12">
        <v>0</v>
      </c>
      <c r="X32" s="12">
        <v>0</v>
      </c>
      <c r="Y32" s="12">
        <v>0</v>
      </c>
      <c r="Z32" s="12">
        <v>0</v>
      </c>
      <c r="AA32" s="12">
        <v>0</v>
      </c>
      <c r="AB32" s="12">
        <v>0</v>
      </c>
      <c r="AC32" s="12">
        <v>0</v>
      </c>
      <c r="AD32" s="12">
        <v>0</v>
      </c>
      <c r="AE32" s="12">
        <v>0</v>
      </c>
      <c r="AF32" s="12">
        <v>0</v>
      </c>
    </row>
    <row r="33" spans="1:32">
      <c r="A33" s="19"/>
      <c r="B33" s="13" t="s">
        <v>1300</v>
      </c>
      <c r="C33" s="15" t="s">
        <v>375</v>
      </c>
      <c r="D33" s="15" t="s">
        <v>375</v>
      </c>
      <c r="E33" s="15" t="s">
        <v>375</v>
      </c>
      <c r="F33" s="15" t="s">
        <v>375</v>
      </c>
      <c r="G33" s="15" t="s">
        <v>375</v>
      </c>
      <c r="H33" s="15" t="s">
        <v>375</v>
      </c>
      <c r="I33" s="15" t="s">
        <v>375</v>
      </c>
      <c r="J33" s="15" t="s">
        <v>375</v>
      </c>
      <c r="K33" s="15" t="s">
        <v>375</v>
      </c>
      <c r="L33" s="15" t="s">
        <v>375</v>
      </c>
      <c r="M33" s="15" t="s">
        <v>375</v>
      </c>
      <c r="N33" s="15" t="s">
        <v>375</v>
      </c>
      <c r="O33" s="15" t="s">
        <v>375</v>
      </c>
      <c r="P33" s="15" t="s">
        <v>375</v>
      </c>
      <c r="Q33" s="15" t="s">
        <v>375</v>
      </c>
      <c r="R33" s="15" t="s">
        <v>375</v>
      </c>
      <c r="S33" s="15" t="s">
        <v>375</v>
      </c>
      <c r="T33" s="15" t="s">
        <v>375</v>
      </c>
      <c r="U33" s="15" t="s">
        <v>375</v>
      </c>
      <c r="V33" s="15" t="s">
        <v>375</v>
      </c>
      <c r="W33" s="15" t="s">
        <v>375</v>
      </c>
      <c r="X33" s="15" t="s">
        <v>375</v>
      </c>
      <c r="Y33" s="15" t="s">
        <v>375</v>
      </c>
      <c r="Z33" s="15" t="s">
        <v>375</v>
      </c>
      <c r="AA33" s="15" t="s">
        <v>375</v>
      </c>
      <c r="AB33" s="15" t="s">
        <v>375</v>
      </c>
      <c r="AC33" s="15" t="s">
        <v>375</v>
      </c>
      <c r="AD33" s="15" t="s">
        <v>375</v>
      </c>
      <c r="AE33" s="15" t="s">
        <v>375</v>
      </c>
      <c r="AF33" s="15" t="s">
        <v>375</v>
      </c>
    </row>
    <row r="34" spans="1:32">
      <c r="A34" s="19"/>
      <c r="B34" s="11" t="s">
        <v>1094</v>
      </c>
      <c r="C34" s="12">
        <v>3</v>
      </c>
      <c r="D34" s="12">
        <v>0</v>
      </c>
      <c r="E34" s="12">
        <v>1</v>
      </c>
      <c r="F34" s="12">
        <v>1</v>
      </c>
      <c r="G34" s="12">
        <v>1</v>
      </c>
      <c r="H34" s="12">
        <v>0</v>
      </c>
      <c r="I34" s="12">
        <v>0</v>
      </c>
      <c r="J34" s="12">
        <v>0</v>
      </c>
      <c r="K34" s="12">
        <v>2</v>
      </c>
      <c r="L34" s="12">
        <v>1</v>
      </c>
      <c r="M34" s="12">
        <v>0</v>
      </c>
      <c r="N34" s="12">
        <v>0</v>
      </c>
      <c r="O34" s="12">
        <v>0</v>
      </c>
      <c r="P34" s="12">
        <v>1</v>
      </c>
      <c r="Q34" s="12">
        <v>0</v>
      </c>
      <c r="R34" s="12">
        <v>0</v>
      </c>
      <c r="S34" s="12">
        <v>0</v>
      </c>
      <c r="T34" s="12">
        <v>0</v>
      </c>
      <c r="U34" s="12">
        <v>0</v>
      </c>
      <c r="V34" s="12">
        <v>1</v>
      </c>
      <c r="W34" s="12">
        <v>0</v>
      </c>
      <c r="X34" s="12">
        <v>0</v>
      </c>
      <c r="Y34" s="12">
        <v>1</v>
      </c>
      <c r="Z34" s="12">
        <v>0</v>
      </c>
      <c r="AA34" s="12">
        <v>0</v>
      </c>
      <c r="AB34" s="12">
        <v>0</v>
      </c>
      <c r="AC34" s="12">
        <v>0</v>
      </c>
      <c r="AD34" s="12">
        <v>0</v>
      </c>
      <c r="AE34" s="12">
        <v>0</v>
      </c>
      <c r="AF34" s="12">
        <v>0</v>
      </c>
    </row>
    <row r="35" spans="1:32">
      <c r="A35" s="19"/>
      <c r="B35" s="13" t="s">
        <v>1095</v>
      </c>
      <c r="C35" s="15" t="s">
        <v>375</v>
      </c>
      <c r="D35" s="15" t="s">
        <v>375</v>
      </c>
      <c r="E35" s="15" t="s">
        <v>375</v>
      </c>
      <c r="F35" s="15" t="s">
        <v>375</v>
      </c>
      <c r="G35" s="15" t="s">
        <v>375</v>
      </c>
      <c r="H35" s="15" t="s">
        <v>375</v>
      </c>
      <c r="I35" s="15" t="s">
        <v>375</v>
      </c>
      <c r="J35" s="15" t="s">
        <v>375</v>
      </c>
      <c r="K35" s="15" t="s">
        <v>375</v>
      </c>
      <c r="L35" s="15" t="s">
        <v>375</v>
      </c>
      <c r="M35" s="15" t="s">
        <v>375</v>
      </c>
      <c r="N35" s="15" t="s">
        <v>375</v>
      </c>
      <c r="O35" s="15" t="s">
        <v>375</v>
      </c>
      <c r="P35" s="15" t="s">
        <v>375</v>
      </c>
      <c r="Q35" s="15" t="s">
        <v>375</v>
      </c>
      <c r="R35" s="15" t="s">
        <v>375</v>
      </c>
      <c r="S35" s="15" t="s">
        <v>375</v>
      </c>
      <c r="T35" s="15" t="s">
        <v>375</v>
      </c>
      <c r="U35" s="15" t="s">
        <v>375</v>
      </c>
      <c r="V35" s="15" t="s">
        <v>375</v>
      </c>
      <c r="W35" s="15" t="s">
        <v>375</v>
      </c>
      <c r="X35" s="15" t="s">
        <v>375</v>
      </c>
      <c r="Y35" s="15" t="s">
        <v>375</v>
      </c>
      <c r="Z35" s="15" t="s">
        <v>375</v>
      </c>
      <c r="AA35" s="15" t="s">
        <v>375</v>
      </c>
      <c r="AB35" s="15" t="s">
        <v>375</v>
      </c>
      <c r="AC35" s="15" t="s">
        <v>375</v>
      </c>
      <c r="AD35" s="15" t="s">
        <v>375</v>
      </c>
      <c r="AE35" s="15" t="s">
        <v>375</v>
      </c>
      <c r="AF35" s="15" t="s">
        <v>375</v>
      </c>
    </row>
    <row r="36" spans="1:32">
      <c r="A36" s="19"/>
      <c r="B36" s="11" t="s">
        <v>386</v>
      </c>
      <c r="C36" s="12">
        <v>2</v>
      </c>
      <c r="D36" s="12">
        <v>0</v>
      </c>
      <c r="E36" s="12">
        <v>0</v>
      </c>
      <c r="F36" s="12">
        <v>2</v>
      </c>
      <c r="G36" s="12">
        <v>0</v>
      </c>
      <c r="H36" s="12">
        <v>0</v>
      </c>
      <c r="I36" s="12">
        <v>0</v>
      </c>
      <c r="J36" s="12">
        <v>0</v>
      </c>
      <c r="K36" s="12">
        <v>0</v>
      </c>
      <c r="L36" s="12">
        <v>0</v>
      </c>
      <c r="M36" s="12">
        <v>0</v>
      </c>
      <c r="N36" s="12">
        <v>0</v>
      </c>
      <c r="O36" s="12">
        <v>0</v>
      </c>
      <c r="P36" s="12">
        <v>0</v>
      </c>
      <c r="Q36" s="12">
        <v>0</v>
      </c>
      <c r="R36" s="12">
        <v>0</v>
      </c>
      <c r="S36" s="12">
        <v>0</v>
      </c>
      <c r="T36" s="12">
        <v>0</v>
      </c>
      <c r="U36" s="12">
        <v>0</v>
      </c>
      <c r="V36" s="12">
        <v>0</v>
      </c>
      <c r="W36" s="12">
        <v>0</v>
      </c>
      <c r="X36" s="12">
        <v>0</v>
      </c>
      <c r="Y36" s="12">
        <v>0</v>
      </c>
      <c r="Z36" s="12">
        <v>0</v>
      </c>
      <c r="AA36" s="12">
        <v>0</v>
      </c>
      <c r="AB36" s="12">
        <v>0</v>
      </c>
      <c r="AC36" s="12">
        <v>0</v>
      </c>
      <c r="AD36" s="12">
        <v>2</v>
      </c>
      <c r="AE36" s="12">
        <v>0</v>
      </c>
      <c r="AF36" s="12">
        <v>0</v>
      </c>
    </row>
    <row r="37" spans="1:32">
      <c r="A37" s="19"/>
      <c r="B37" s="13" t="s">
        <v>399</v>
      </c>
      <c r="C37" s="15" t="s">
        <v>375</v>
      </c>
      <c r="D37" s="15" t="s">
        <v>375</v>
      </c>
      <c r="E37" s="15" t="s">
        <v>375</v>
      </c>
      <c r="F37" s="15" t="s">
        <v>375</v>
      </c>
      <c r="G37" s="15" t="s">
        <v>375</v>
      </c>
      <c r="H37" s="15" t="s">
        <v>375</v>
      </c>
      <c r="I37" s="15" t="s">
        <v>375</v>
      </c>
      <c r="J37" s="15" t="s">
        <v>375</v>
      </c>
      <c r="K37" s="15" t="s">
        <v>375</v>
      </c>
      <c r="L37" s="15" t="s">
        <v>375</v>
      </c>
      <c r="M37" s="15" t="s">
        <v>375</v>
      </c>
      <c r="N37" s="15" t="s">
        <v>375</v>
      </c>
      <c r="O37" s="15" t="s">
        <v>375</v>
      </c>
      <c r="P37" s="15" t="s">
        <v>375</v>
      </c>
      <c r="Q37" s="15" t="s">
        <v>375</v>
      </c>
      <c r="R37" s="15" t="s">
        <v>375</v>
      </c>
      <c r="S37" s="15" t="s">
        <v>375</v>
      </c>
      <c r="T37" s="15" t="s">
        <v>375</v>
      </c>
      <c r="U37" s="15" t="s">
        <v>375</v>
      </c>
      <c r="V37" s="15" t="s">
        <v>375</v>
      </c>
      <c r="W37" s="15" t="s">
        <v>375</v>
      </c>
      <c r="X37" s="15" t="s">
        <v>375</v>
      </c>
      <c r="Y37" s="15" t="s">
        <v>375</v>
      </c>
      <c r="Z37" s="15" t="s">
        <v>375</v>
      </c>
      <c r="AA37" s="15" t="s">
        <v>375</v>
      </c>
      <c r="AB37" s="15" t="s">
        <v>375</v>
      </c>
      <c r="AC37" s="15" t="s">
        <v>375</v>
      </c>
      <c r="AD37" s="15" t="s">
        <v>375</v>
      </c>
      <c r="AE37" s="15" t="s">
        <v>375</v>
      </c>
      <c r="AF37" s="15" t="s">
        <v>375</v>
      </c>
    </row>
    <row r="38" spans="1:32">
      <c r="A38" s="19"/>
      <c r="B38" s="11" t="s">
        <v>1301</v>
      </c>
      <c r="C38" s="12">
        <v>6891</v>
      </c>
      <c r="D38" s="12">
        <v>197</v>
      </c>
      <c r="E38" s="12">
        <v>124</v>
      </c>
      <c r="F38" s="12">
        <v>98</v>
      </c>
      <c r="G38" s="12">
        <v>110</v>
      </c>
      <c r="H38" s="12">
        <v>459</v>
      </c>
      <c r="I38" s="12">
        <v>543</v>
      </c>
      <c r="J38" s="12">
        <v>83</v>
      </c>
      <c r="K38" s="12">
        <v>162</v>
      </c>
      <c r="L38" s="12">
        <v>178</v>
      </c>
      <c r="M38" s="12">
        <v>287</v>
      </c>
      <c r="N38" s="12">
        <v>262</v>
      </c>
      <c r="O38" s="12">
        <v>346</v>
      </c>
      <c r="P38" s="12">
        <v>96</v>
      </c>
      <c r="Q38" s="12">
        <v>318</v>
      </c>
      <c r="R38" s="12">
        <v>69</v>
      </c>
      <c r="S38" s="12">
        <v>114</v>
      </c>
      <c r="T38" s="12">
        <v>178</v>
      </c>
      <c r="U38" s="12">
        <v>85</v>
      </c>
      <c r="V38" s="12">
        <v>373</v>
      </c>
      <c r="W38" s="12">
        <v>128</v>
      </c>
      <c r="X38" s="12">
        <v>114</v>
      </c>
      <c r="Y38" s="12">
        <v>76</v>
      </c>
      <c r="Z38" s="12">
        <v>93</v>
      </c>
      <c r="AA38" s="12">
        <v>533</v>
      </c>
      <c r="AB38" s="12">
        <v>189</v>
      </c>
      <c r="AC38" s="12">
        <v>360</v>
      </c>
      <c r="AD38" s="12">
        <v>282</v>
      </c>
      <c r="AE38" s="12">
        <v>160</v>
      </c>
      <c r="AF38" s="12">
        <v>79</v>
      </c>
    </row>
    <row r="39" spans="1:32">
      <c r="A39" s="19"/>
      <c r="B39" s="13" t="s">
        <v>1302</v>
      </c>
      <c r="C39" s="14">
        <v>0.26</v>
      </c>
      <c r="D39" s="14">
        <v>0.19</v>
      </c>
      <c r="E39" s="14">
        <v>0.12</v>
      </c>
      <c r="F39" s="14">
        <v>0.09</v>
      </c>
      <c r="G39" s="14">
        <v>0.11</v>
      </c>
      <c r="H39" s="14">
        <v>0.38</v>
      </c>
      <c r="I39" s="14">
        <v>0.36</v>
      </c>
      <c r="J39" s="14">
        <v>0.28000000000000003</v>
      </c>
      <c r="K39" s="14">
        <v>0.16</v>
      </c>
      <c r="L39" s="14">
        <v>0.18</v>
      </c>
      <c r="M39" s="14">
        <v>0.28999999999999998</v>
      </c>
      <c r="N39" s="14">
        <v>0.26</v>
      </c>
      <c r="O39" s="14">
        <v>0.34</v>
      </c>
      <c r="P39" s="14">
        <v>0.1</v>
      </c>
      <c r="Q39" s="14">
        <v>0.31</v>
      </c>
      <c r="R39" s="14">
        <v>0.13</v>
      </c>
      <c r="S39" s="14">
        <v>0.11</v>
      </c>
      <c r="T39" s="14">
        <v>0.18</v>
      </c>
      <c r="U39" s="14">
        <v>0.17</v>
      </c>
      <c r="V39" s="14">
        <v>0.36</v>
      </c>
      <c r="W39" s="14">
        <v>0.25</v>
      </c>
      <c r="X39" s="14">
        <v>0.11</v>
      </c>
      <c r="Y39" s="14">
        <v>7.0000000000000007E-2</v>
      </c>
      <c r="Z39" s="14">
        <v>0.1</v>
      </c>
      <c r="AA39" s="14">
        <v>0.51</v>
      </c>
      <c r="AB39" s="14">
        <v>0.18</v>
      </c>
      <c r="AC39" s="14">
        <v>0.36</v>
      </c>
      <c r="AD39" s="14">
        <v>0.28000000000000003</v>
      </c>
      <c r="AE39" s="14">
        <v>0.16</v>
      </c>
      <c r="AF39" s="14">
        <v>0.08</v>
      </c>
    </row>
    <row r="40" spans="1:32">
      <c r="A40" s="19"/>
      <c r="B40" s="11" t="s">
        <v>1303</v>
      </c>
      <c r="C40" s="12">
        <v>11893</v>
      </c>
      <c r="D40" s="12">
        <v>395</v>
      </c>
      <c r="E40" s="12">
        <v>652</v>
      </c>
      <c r="F40" s="12">
        <v>732</v>
      </c>
      <c r="G40" s="12">
        <v>407</v>
      </c>
      <c r="H40" s="12">
        <v>468</v>
      </c>
      <c r="I40" s="12">
        <v>612</v>
      </c>
      <c r="J40" s="12">
        <v>144</v>
      </c>
      <c r="K40" s="12">
        <v>457</v>
      </c>
      <c r="L40" s="12">
        <v>348</v>
      </c>
      <c r="M40" s="12">
        <v>504</v>
      </c>
      <c r="N40" s="12">
        <v>448</v>
      </c>
      <c r="O40" s="12">
        <v>266</v>
      </c>
      <c r="P40" s="12">
        <v>708</v>
      </c>
      <c r="Q40" s="12">
        <v>547</v>
      </c>
      <c r="R40" s="12">
        <v>160</v>
      </c>
      <c r="S40" s="12">
        <v>561</v>
      </c>
      <c r="T40" s="12">
        <v>406</v>
      </c>
      <c r="U40" s="12">
        <v>171</v>
      </c>
      <c r="V40" s="12">
        <v>456</v>
      </c>
      <c r="W40" s="12">
        <v>158</v>
      </c>
      <c r="X40" s="12">
        <v>332</v>
      </c>
      <c r="Y40" s="12">
        <v>560</v>
      </c>
      <c r="Z40" s="12">
        <v>716</v>
      </c>
      <c r="AA40" s="12">
        <v>320</v>
      </c>
      <c r="AB40" s="12">
        <v>703</v>
      </c>
      <c r="AC40" s="12">
        <v>335</v>
      </c>
      <c r="AD40" s="12">
        <v>481</v>
      </c>
      <c r="AE40" s="12">
        <v>273</v>
      </c>
      <c r="AF40" s="12">
        <v>326</v>
      </c>
    </row>
    <row r="41" spans="1:32">
      <c r="A41" s="19"/>
      <c r="B41" s="13" t="s">
        <v>1304</v>
      </c>
      <c r="C41" s="14">
        <v>0.45</v>
      </c>
      <c r="D41" s="14">
        <v>0.39</v>
      </c>
      <c r="E41" s="14">
        <v>0.62</v>
      </c>
      <c r="F41" s="14">
        <v>0.69000000000000006</v>
      </c>
      <c r="G41" s="14">
        <v>0.4</v>
      </c>
      <c r="H41" s="14">
        <v>0.38</v>
      </c>
      <c r="I41" s="14">
        <v>0.4</v>
      </c>
      <c r="J41" s="14">
        <v>0.48</v>
      </c>
      <c r="K41" s="14">
        <v>0.45</v>
      </c>
      <c r="L41" s="14">
        <v>0.35</v>
      </c>
      <c r="M41" s="14">
        <v>0.5</v>
      </c>
      <c r="N41" s="14">
        <v>0.44</v>
      </c>
      <c r="O41" s="14">
        <v>0.27</v>
      </c>
      <c r="P41" s="14">
        <v>0.70000000000000007</v>
      </c>
      <c r="Q41" s="14">
        <v>0.53</v>
      </c>
      <c r="R41" s="14">
        <v>0.32</v>
      </c>
      <c r="S41" s="14">
        <v>0.56000000000000005</v>
      </c>
      <c r="T41" s="14">
        <v>0.39</v>
      </c>
      <c r="U41" s="14">
        <v>0.34</v>
      </c>
      <c r="V41" s="14">
        <v>0.45</v>
      </c>
      <c r="W41" s="14">
        <v>0.32</v>
      </c>
      <c r="X41" s="14">
        <v>0.33</v>
      </c>
      <c r="Y41" s="14">
        <v>0.56000000000000005</v>
      </c>
      <c r="Z41" s="14">
        <v>0.70000000000000007</v>
      </c>
      <c r="AA41" s="14">
        <v>0.31</v>
      </c>
      <c r="AB41" s="14">
        <v>0.68</v>
      </c>
      <c r="AC41" s="14">
        <v>0.33</v>
      </c>
      <c r="AD41" s="14">
        <v>0.48</v>
      </c>
      <c r="AE41" s="14">
        <v>0.27</v>
      </c>
      <c r="AF41" s="14">
        <v>0.31</v>
      </c>
    </row>
    <row r="42" spans="1:32">
      <c r="A42" s="19"/>
      <c r="B42" s="11" t="s">
        <v>1305</v>
      </c>
      <c r="C42" s="12">
        <v>7665</v>
      </c>
      <c r="D42" s="12">
        <v>428</v>
      </c>
      <c r="E42" s="12">
        <v>269</v>
      </c>
      <c r="F42" s="12">
        <v>231</v>
      </c>
      <c r="G42" s="12">
        <v>497</v>
      </c>
      <c r="H42" s="12">
        <v>303</v>
      </c>
      <c r="I42" s="12">
        <v>373</v>
      </c>
      <c r="J42" s="12">
        <v>69</v>
      </c>
      <c r="K42" s="12">
        <v>385</v>
      </c>
      <c r="L42" s="12">
        <v>481</v>
      </c>
      <c r="M42" s="12">
        <v>215</v>
      </c>
      <c r="N42" s="12">
        <v>301</v>
      </c>
      <c r="O42" s="12">
        <v>391</v>
      </c>
      <c r="P42" s="12">
        <v>198</v>
      </c>
      <c r="Q42" s="12">
        <v>167</v>
      </c>
      <c r="R42" s="12">
        <v>273</v>
      </c>
      <c r="S42" s="12">
        <v>329</v>
      </c>
      <c r="T42" s="12">
        <v>439</v>
      </c>
      <c r="U42" s="12">
        <v>250</v>
      </c>
      <c r="V42" s="12">
        <v>197</v>
      </c>
      <c r="W42" s="12">
        <v>216</v>
      </c>
      <c r="X42" s="12">
        <v>563</v>
      </c>
      <c r="Y42" s="12">
        <v>367</v>
      </c>
      <c r="Z42" s="12">
        <v>207</v>
      </c>
      <c r="AA42" s="12">
        <v>184</v>
      </c>
      <c r="AB42" s="12">
        <v>149</v>
      </c>
      <c r="AC42" s="12">
        <v>309</v>
      </c>
      <c r="AD42" s="12">
        <v>237</v>
      </c>
      <c r="AE42" s="12">
        <v>568</v>
      </c>
      <c r="AF42" s="12">
        <v>626</v>
      </c>
    </row>
    <row r="43" spans="1:32">
      <c r="A43" s="19"/>
      <c r="B43" s="13" t="s">
        <v>1306</v>
      </c>
      <c r="C43" s="14">
        <v>0.28999999999999998</v>
      </c>
      <c r="D43" s="14">
        <v>0.42</v>
      </c>
      <c r="E43" s="14">
        <v>0.26</v>
      </c>
      <c r="F43" s="14">
        <v>0.22</v>
      </c>
      <c r="G43" s="14">
        <v>0.49</v>
      </c>
      <c r="H43" s="14">
        <v>0.24</v>
      </c>
      <c r="I43" s="14">
        <v>0.24</v>
      </c>
      <c r="J43" s="14">
        <v>0.24</v>
      </c>
      <c r="K43" s="14">
        <v>0.39</v>
      </c>
      <c r="L43" s="14">
        <v>0.47</v>
      </c>
      <c r="M43" s="14">
        <v>0.21</v>
      </c>
      <c r="N43" s="14">
        <v>0.3</v>
      </c>
      <c r="O43" s="14">
        <v>0.39</v>
      </c>
      <c r="P43" s="14">
        <v>0.2</v>
      </c>
      <c r="Q43" s="14">
        <v>0.16</v>
      </c>
      <c r="R43" s="14">
        <v>0.55000000000000004</v>
      </c>
      <c r="S43" s="14">
        <v>0.33</v>
      </c>
      <c r="T43" s="14">
        <v>0.43</v>
      </c>
      <c r="U43" s="14">
        <v>0.49</v>
      </c>
      <c r="V43" s="14">
        <v>0.19</v>
      </c>
      <c r="W43" s="14">
        <v>0.43</v>
      </c>
      <c r="X43" s="14">
        <v>0.56000000000000005</v>
      </c>
      <c r="Y43" s="14">
        <v>0.37</v>
      </c>
      <c r="Z43" s="14">
        <v>0.2</v>
      </c>
      <c r="AA43" s="14">
        <v>0.18</v>
      </c>
      <c r="AB43" s="14">
        <v>0.14000000000000001</v>
      </c>
      <c r="AC43" s="14">
        <v>0.31</v>
      </c>
      <c r="AD43" s="14">
        <v>0.24</v>
      </c>
      <c r="AE43" s="14">
        <v>0.57000000000000006</v>
      </c>
      <c r="AF43" s="14">
        <v>0.61</v>
      </c>
    </row>
  </sheetData>
  <mergeCells count="10">
    <mergeCell ref="H3:L3"/>
    <mergeCell ref="C8:AF8"/>
    <mergeCell ref="B3:F3"/>
    <mergeCell ref="B5:F5"/>
    <mergeCell ref="A38:A43"/>
    <mergeCell ref="A10:A37"/>
    <mergeCell ref="H5:L5"/>
    <mergeCell ref="B10:B11"/>
    <mergeCell ref="H4:L4"/>
    <mergeCell ref="B4:F4"/>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F21"/>
  <sheetViews>
    <sheetView tabSelected="1" workbookViewId="0">
      <pane xSplit="3" ySplit="9" topLeftCell="D10" activePane="bottomRight" state="frozen"/>
      <selection pane="bottomRight" activeCell="B13" sqref="B13:D13"/>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273</v>
      </c>
      <c r="C3" s="17"/>
      <c r="D3" s="17"/>
      <c r="E3" s="17"/>
      <c r="F3" s="17"/>
      <c r="H3" s="17" t="s">
        <v>274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ht="32.25" customHeight="1">
      <c r="A12" s="19"/>
      <c r="B12" s="11" t="s">
        <v>1307</v>
      </c>
      <c r="C12" s="12">
        <v>6890</v>
      </c>
      <c r="D12" s="12">
        <v>197</v>
      </c>
      <c r="E12" s="12">
        <v>124</v>
      </c>
      <c r="F12" s="12">
        <v>98</v>
      </c>
      <c r="G12" s="12">
        <v>111</v>
      </c>
      <c r="H12" s="12">
        <v>459</v>
      </c>
      <c r="I12" s="12">
        <v>543</v>
      </c>
      <c r="J12" s="12">
        <v>83</v>
      </c>
      <c r="K12" s="12">
        <v>162</v>
      </c>
      <c r="L12" s="12">
        <v>178</v>
      </c>
      <c r="M12" s="12">
        <v>288</v>
      </c>
      <c r="N12" s="12">
        <v>261</v>
      </c>
      <c r="O12" s="12">
        <v>346</v>
      </c>
      <c r="P12" s="12">
        <v>96</v>
      </c>
      <c r="Q12" s="12">
        <v>318</v>
      </c>
      <c r="R12" s="12">
        <v>68</v>
      </c>
      <c r="S12" s="12">
        <v>114</v>
      </c>
      <c r="T12" s="12">
        <v>178</v>
      </c>
      <c r="U12" s="12">
        <v>85</v>
      </c>
      <c r="V12" s="12">
        <v>373</v>
      </c>
      <c r="W12" s="12">
        <v>127</v>
      </c>
      <c r="X12" s="12">
        <v>114</v>
      </c>
      <c r="Y12" s="12">
        <v>76</v>
      </c>
      <c r="Z12" s="12">
        <v>93</v>
      </c>
      <c r="AA12" s="12">
        <v>533</v>
      </c>
      <c r="AB12" s="12">
        <v>190</v>
      </c>
      <c r="AC12" s="12">
        <v>359</v>
      </c>
      <c r="AD12" s="12">
        <v>282</v>
      </c>
      <c r="AE12" s="12">
        <v>160</v>
      </c>
      <c r="AF12" s="12">
        <v>78</v>
      </c>
    </row>
    <row r="13" spans="1:32" ht="32.25" customHeight="1">
      <c r="A13" s="19"/>
      <c r="B13" s="13" t="s">
        <v>1308</v>
      </c>
      <c r="C13" s="14">
        <v>0.26</v>
      </c>
      <c r="D13" s="14">
        <v>0.19</v>
      </c>
      <c r="E13" s="14">
        <v>0.12</v>
      </c>
      <c r="F13" s="14">
        <v>0.09</v>
      </c>
      <c r="G13" s="14">
        <v>0.11</v>
      </c>
      <c r="H13" s="14">
        <v>0.37</v>
      </c>
      <c r="I13" s="14">
        <v>0.36</v>
      </c>
      <c r="J13" s="14">
        <v>0.28000000000000003</v>
      </c>
      <c r="K13" s="14">
        <v>0.16</v>
      </c>
      <c r="L13" s="14">
        <v>0.18</v>
      </c>
      <c r="M13" s="14">
        <v>0.28999999999999998</v>
      </c>
      <c r="N13" s="14">
        <v>0.26</v>
      </c>
      <c r="O13" s="14">
        <v>0.34</v>
      </c>
      <c r="P13" s="14">
        <v>0.1</v>
      </c>
      <c r="Q13" s="14">
        <v>0.31</v>
      </c>
      <c r="R13" s="14">
        <v>0.14000000000000001</v>
      </c>
      <c r="S13" s="14">
        <v>0.11</v>
      </c>
      <c r="T13" s="14">
        <v>0.17</v>
      </c>
      <c r="U13" s="14">
        <v>0.17</v>
      </c>
      <c r="V13" s="14">
        <v>0.36</v>
      </c>
      <c r="W13" s="14">
        <v>0.25</v>
      </c>
      <c r="X13" s="14">
        <v>0.11</v>
      </c>
      <c r="Y13" s="14">
        <v>0.08</v>
      </c>
      <c r="Z13" s="14">
        <v>0.09</v>
      </c>
      <c r="AA13" s="14">
        <v>0.51</v>
      </c>
      <c r="AB13" s="14">
        <v>0.18</v>
      </c>
      <c r="AC13" s="14">
        <v>0.36</v>
      </c>
      <c r="AD13" s="14">
        <v>0.28000000000000003</v>
      </c>
      <c r="AE13" s="14">
        <v>0.16</v>
      </c>
      <c r="AF13" s="14">
        <v>0.08</v>
      </c>
    </row>
    <row r="14" spans="1:32" ht="32.25" customHeight="1">
      <c r="A14" s="19"/>
      <c r="B14" s="11" t="s">
        <v>1309</v>
      </c>
      <c r="C14" s="12">
        <v>11894</v>
      </c>
      <c r="D14" s="12">
        <v>395</v>
      </c>
      <c r="E14" s="12">
        <v>652</v>
      </c>
      <c r="F14" s="12">
        <v>732</v>
      </c>
      <c r="G14" s="12">
        <v>408</v>
      </c>
      <c r="H14" s="12">
        <v>468</v>
      </c>
      <c r="I14" s="12">
        <v>612</v>
      </c>
      <c r="J14" s="12">
        <v>144</v>
      </c>
      <c r="K14" s="12">
        <v>456</v>
      </c>
      <c r="L14" s="12">
        <v>347</v>
      </c>
      <c r="M14" s="12">
        <v>504</v>
      </c>
      <c r="N14" s="12">
        <v>448</v>
      </c>
      <c r="O14" s="12">
        <v>266</v>
      </c>
      <c r="P14" s="12">
        <v>707</v>
      </c>
      <c r="Q14" s="12">
        <v>546</v>
      </c>
      <c r="R14" s="12">
        <v>160</v>
      </c>
      <c r="S14" s="12">
        <v>561</v>
      </c>
      <c r="T14" s="12">
        <v>406</v>
      </c>
      <c r="U14" s="12">
        <v>172</v>
      </c>
      <c r="V14" s="12">
        <v>456</v>
      </c>
      <c r="W14" s="12">
        <v>158</v>
      </c>
      <c r="X14" s="12">
        <v>333</v>
      </c>
      <c r="Y14" s="12">
        <v>560</v>
      </c>
      <c r="Z14" s="12">
        <v>717</v>
      </c>
      <c r="AA14" s="12">
        <v>320</v>
      </c>
      <c r="AB14" s="12">
        <v>703</v>
      </c>
      <c r="AC14" s="12">
        <v>336</v>
      </c>
      <c r="AD14" s="12">
        <v>481</v>
      </c>
      <c r="AE14" s="12">
        <v>273</v>
      </c>
      <c r="AF14" s="12">
        <v>326</v>
      </c>
    </row>
    <row r="15" spans="1:32" ht="32.25" customHeight="1">
      <c r="A15" s="19"/>
      <c r="B15" s="13" t="s">
        <v>1310</v>
      </c>
      <c r="C15" s="14">
        <v>0.45</v>
      </c>
      <c r="D15" s="14">
        <v>0.39</v>
      </c>
      <c r="E15" s="14">
        <v>0.62</v>
      </c>
      <c r="F15" s="14">
        <v>0.69000000000000006</v>
      </c>
      <c r="G15" s="14">
        <v>0.4</v>
      </c>
      <c r="H15" s="14">
        <v>0.38</v>
      </c>
      <c r="I15" s="14">
        <v>0.4</v>
      </c>
      <c r="J15" s="14">
        <v>0.49</v>
      </c>
      <c r="K15" s="14">
        <v>0.46</v>
      </c>
      <c r="L15" s="14">
        <v>0.34</v>
      </c>
      <c r="M15" s="14">
        <v>0.5</v>
      </c>
      <c r="N15" s="14">
        <v>0.44</v>
      </c>
      <c r="O15" s="14">
        <v>0.27</v>
      </c>
      <c r="P15" s="14">
        <v>0.70000000000000007</v>
      </c>
      <c r="Q15" s="14">
        <v>0.53</v>
      </c>
      <c r="R15" s="14">
        <v>0.32</v>
      </c>
      <c r="S15" s="14">
        <v>0.56000000000000005</v>
      </c>
      <c r="T15" s="14">
        <v>0.4</v>
      </c>
      <c r="U15" s="14">
        <v>0.34</v>
      </c>
      <c r="V15" s="14">
        <v>0.45</v>
      </c>
      <c r="W15" s="14">
        <v>0.32</v>
      </c>
      <c r="X15" s="14">
        <v>0.33</v>
      </c>
      <c r="Y15" s="14">
        <v>0.56000000000000005</v>
      </c>
      <c r="Z15" s="14">
        <v>0.71</v>
      </c>
      <c r="AA15" s="14">
        <v>0.31</v>
      </c>
      <c r="AB15" s="14">
        <v>0.68</v>
      </c>
      <c r="AC15" s="14">
        <v>0.33</v>
      </c>
      <c r="AD15" s="14">
        <v>0.48</v>
      </c>
      <c r="AE15" s="14">
        <v>0.27</v>
      </c>
      <c r="AF15" s="14">
        <v>0.31</v>
      </c>
    </row>
    <row r="16" spans="1:32" ht="32.25" customHeight="1">
      <c r="A16" s="19"/>
      <c r="B16" s="11" t="s">
        <v>1311</v>
      </c>
      <c r="C16" s="12">
        <v>7664</v>
      </c>
      <c r="D16" s="12">
        <v>429</v>
      </c>
      <c r="E16" s="12">
        <v>269</v>
      </c>
      <c r="F16" s="12">
        <v>231</v>
      </c>
      <c r="G16" s="12">
        <v>497</v>
      </c>
      <c r="H16" s="12">
        <v>302</v>
      </c>
      <c r="I16" s="12">
        <v>372</v>
      </c>
      <c r="J16" s="12">
        <v>70</v>
      </c>
      <c r="K16" s="12">
        <v>385</v>
      </c>
      <c r="L16" s="12">
        <v>480</v>
      </c>
      <c r="M16" s="12">
        <v>215</v>
      </c>
      <c r="N16" s="12">
        <v>302</v>
      </c>
      <c r="O16" s="12">
        <v>392</v>
      </c>
      <c r="P16" s="12">
        <v>198</v>
      </c>
      <c r="Q16" s="12">
        <v>167</v>
      </c>
      <c r="R16" s="12">
        <v>273</v>
      </c>
      <c r="S16" s="12">
        <v>329</v>
      </c>
      <c r="T16" s="12">
        <v>439</v>
      </c>
      <c r="U16" s="12">
        <v>251</v>
      </c>
      <c r="V16" s="12">
        <v>196</v>
      </c>
      <c r="W16" s="12">
        <v>217</v>
      </c>
      <c r="X16" s="12">
        <v>563</v>
      </c>
      <c r="Y16" s="12">
        <v>366</v>
      </c>
      <c r="Z16" s="12">
        <v>206</v>
      </c>
      <c r="AA16" s="12">
        <v>184</v>
      </c>
      <c r="AB16" s="12">
        <v>148</v>
      </c>
      <c r="AC16" s="12">
        <v>310</v>
      </c>
      <c r="AD16" s="12">
        <v>237</v>
      </c>
      <c r="AE16" s="12">
        <v>568</v>
      </c>
      <c r="AF16" s="12">
        <v>627</v>
      </c>
    </row>
    <row r="17" spans="1:32" ht="32.25" customHeight="1">
      <c r="A17" s="19"/>
      <c r="B17" s="13" t="s">
        <v>1312</v>
      </c>
      <c r="C17" s="14">
        <v>0.28999999999999998</v>
      </c>
      <c r="D17" s="14">
        <v>0.42</v>
      </c>
      <c r="E17" s="14">
        <v>0.26</v>
      </c>
      <c r="F17" s="14">
        <v>0.22</v>
      </c>
      <c r="G17" s="14">
        <v>0.49</v>
      </c>
      <c r="H17" s="14">
        <v>0.25</v>
      </c>
      <c r="I17" s="14">
        <v>0.24</v>
      </c>
      <c r="J17" s="14">
        <v>0.23</v>
      </c>
      <c r="K17" s="14">
        <v>0.38</v>
      </c>
      <c r="L17" s="14">
        <v>0.48</v>
      </c>
      <c r="M17" s="14">
        <v>0.21</v>
      </c>
      <c r="N17" s="14">
        <v>0.3</v>
      </c>
      <c r="O17" s="14">
        <v>0.39</v>
      </c>
      <c r="P17" s="14">
        <v>0.2</v>
      </c>
      <c r="Q17" s="14">
        <v>0.16</v>
      </c>
      <c r="R17" s="14">
        <v>0.54</v>
      </c>
      <c r="S17" s="14">
        <v>0.33</v>
      </c>
      <c r="T17" s="14">
        <v>0.43</v>
      </c>
      <c r="U17" s="14">
        <v>0.49</v>
      </c>
      <c r="V17" s="14">
        <v>0.19</v>
      </c>
      <c r="W17" s="14">
        <v>0.43</v>
      </c>
      <c r="X17" s="14">
        <v>0.56000000000000005</v>
      </c>
      <c r="Y17" s="14">
        <v>0.36</v>
      </c>
      <c r="Z17" s="14">
        <v>0.2</v>
      </c>
      <c r="AA17" s="14">
        <v>0.18</v>
      </c>
      <c r="AB17" s="14">
        <v>0.14000000000000001</v>
      </c>
      <c r="AC17" s="14">
        <v>0.31</v>
      </c>
      <c r="AD17" s="14">
        <v>0.24</v>
      </c>
      <c r="AE17" s="14">
        <v>0.57000000000000006</v>
      </c>
      <c r="AF17" s="14">
        <v>0.61</v>
      </c>
    </row>
    <row r="18" spans="1:32">
      <c r="A18" s="19"/>
      <c r="B18" s="11" t="s">
        <v>1094</v>
      </c>
      <c r="C18" s="12">
        <v>3</v>
      </c>
      <c r="D18" s="12">
        <v>0</v>
      </c>
      <c r="E18" s="12">
        <v>1</v>
      </c>
      <c r="F18" s="12">
        <v>1</v>
      </c>
      <c r="G18" s="12">
        <v>1</v>
      </c>
      <c r="H18" s="12">
        <v>0</v>
      </c>
      <c r="I18" s="12">
        <v>0</v>
      </c>
      <c r="J18" s="12">
        <v>0</v>
      </c>
      <c r="K18" s="12">
        <v>2</v>
      </c>
      <c r="L18" s="12">
        <v>1</v>
      </c>
      <c r="M18" s="12">
        <v>0</v>
      </c>
      <c r="N18" s="12">
        <v>0</v>
      </c>
      <c r="O18" s="12">
        <v>0</v>
      </c>
      <c r="P18" s="12">
        <v>1</v>
      </c>
      <c r="Q18" s="12">
        <v>0</v>
      </c>
      <c r="R18" s="12">
        <v>0</v>
      </c>
      <c r="S18" s="12">
        <v>0</v>
      </c>
      <c r="T18" s="12">
        <v>0</v>
      </c>
      <c r="U18" s="12">
        <v>0</v>
      </c>
      <c r="V18" s="12">
        <v>1</v>
      </c>
      <c r="W18" s="12">
        <v>0</v>
      </c>
      <c r="X18" s="12">
        <v>0</v>
      </c>
      <c r="Y18" s="12">
        <v>1</v>
      </c>
      <c r="Z18" s="12">
        <v>0</v>
      </c>
      <c r="AA18" s="12">
        <v>0</v>
      </c>
      <c r="AB18" s="12">
        <v>0</v>
      </c>
      <c r="AC18" s="12">
        <v>0</v>
      </c>
      <c r="AD18" s="12">
        <v>0</v>
      </c>
      <c r="AE18" s="12">
        <v>0</v>
      </c>
      <c r="AF18" s="12">
        <v>0</v>
      </c>
    </row>
    <row r="19" spans="1:32">
      <c r="A19" s="19"/>
      <c r="B19" s="13" t="s">
        <v>1095</v>
      </c>
      <c r="C19" s="15" t="s">
        <v>375</v>
      </c>
      <c r="D19" s="15" t="s">
        <v>375</v>
      </c>
      <c r="E19" s="15" t="s">
        <v>375</v>
      </c>
      <c r="F19" s="15" t="s">
        <v>375</v>
      </c>
      <c r="G19" s="15" t="s">
        <v>375</v>
      </c>
      <c r="H19" s="15" t="s">
        <v>375</v>
      </c>
      <c r="I19" s="15" t="s">
        <v>375</v>
      </c>
      <c r="J19" s="15" t="s">
        <v>375</v>
      </c>
      <c r="K19" s="15" t="s">
        <v>375</v>
      </c>
      <c r="L19" s="15" t="s">
        <v>375</v>
      </c>
      <c r="M19" s="15" t="s">
        <v>375</v>
      </c>
      <c r="N19" s="15" t="s">
        <v>375</v>
      </c>
      <c r="O19" s="15" t="s">
        <v>375</v>
      </c>
      <c r="P19" s="15" t="s">
        <v>375</v>
      </c>
      <c r="Q19" s="15" t="s">
        <v>375</v>
      </c>
      <c r="R19" s="15" t="s">
        <v>375</v>
      </c>
      <c r="S19" s="15" t="s">
        <v>375</v>
      </c>
      <c r="T19" s="15" t="s">
        <v>375</v>
      </c>
      <c r="U19" s="15" t="s">
        <v>375</v>
      </c>
      <c r="V19" s="15" t="s">
        <v>375</v>
      </c>
      <c r="W19" s="15" t="s">
        <v>375</v>
      </c>
      <c r="X19" s="15" t="s">
        <v>375</v>
      </c>
      <c r="Y19" s="15" t="s">
        <v>375</v>
      </c>
      <c r="Z19" s="15" t="s">
        <v>375</v>
      </c>
      <c r="AA19" s="15" t="s">
        <v>375</v>
      </c>
      <c r="AB19" s="15" t="s">
        <v>375</v>
      </c>
      <c r="AC19" s="15" t="s">
        <v>375</v>
      </c>
      <c r="AD19" s="15" t="s">
        <v>375</v>
      </c>
      <c r="AE19" s="15" t="s">
        <v>375</v>
      </c>
      <c r="AF19" s="15" t="s">
        <v>375</v>
      </c>
    </row>
    <row r="20" spans="1:32">
      <c r="A20" s="19"/>
      <c r="B20" s="11" t="s">
        <v>386</v>
      </c>
      <c r="C20" s="12">
        <v>2</v>
      </c>
      <c r="D20" s="12">
        <v>0</v>
      </c>
      <c r="E20" s="12">
        <v>0</v>
      </c>
      <c r="F20" s="12">
        <v>2</v>
      </c>
      <c r="G20" s="12">
        <v>0</v>
      </c>
      <c r="H20" s="12">
        <v>0</v>
      </c>
      <c r="I20" s="12">
        <v>0</v>
      </c>
      <c r="J20" s="12">
        <v>0</v>
      </c>
      <c r="K20" s="12">
        <v>0</v>
      </c>
      <c r="L20" s="12">
        <v>0</v>
      </c>
      <c r="M20" s="12">
        <v>0</v>
      </c>
      <c r="N20" s="12">
        <v>0</v>
      </c>
      <c r="O20" s="12">
        <v>0</v>
      </c>
      <c r="P20" s="12">
        <v>0</v>
      </c>
      <c r="Q20" s="12">
        <v>0</v>
      </c>
      <c r="R20" s="12">
        <v>0</v>
      </c>
      <c r="S20" s="12">
        <v>0</v>
      </c>
      <c r="T20" s="12">
        <v>0</v>
      </c>
      <c r="U20" s="12">
        <v>0</v>
      </c>
      <c r="V20" s="12">
        <v>0</v>
      </c>
      <c r="W20" s="12">
        <v>0</v>
      </c>
      <c r="X20" s="12">
        <v>0</v>
      </c>
      <c r="Y20" s="12">
        <v>0</v>
      </c>
      <c r="Z20" s="12">
        <v>0</v>
      </c>
      <c r="AA20" s="12">
        <v>0</v>
      </c>
      <c r="AB20" s="12">
        <v>0</v>
      </c>
      <c r="AC20" s="12">
        <v>0</v>
      </c>
      <c r="AD20" s="12">
        <v>2</v>
      </c>
      <c r="AE20" s="12">
        <v>0</v>
      </c>
      <c r="AF20" s="12">
        <v>0</v>
      </c>
    </row>
    <row r="21" spans="1:32">
      <c r="A21" s="19"/>
      <c r="B21" s="13" t="s">
        <v>399</v>
      </c>
      <c r="C21" s="15" t="s">
        <v>375</v>
      </c>
      <c r="D21" s="15" t="s">
        <v>375</v>
      </c>
      <c r="E21" s="15" t="s">
        <v>375</v>
      </c>
      <c r="F21" s="15" t="s">
        <v>375</v>
      </c>
      <c r="G21" s="15" t="s">
        <v>375</v>
      </c>
      <c r="H21" s="15" t="s">
        <v>375</v>
      </c>
      <c r="I21" s="15" t="s">
        <v>375</v>
      </c>
      <c r="J21" s="15" t="s">
        <v>375</v>
      </c>
      <c r="K21" s="15" t="s">
        <v>375</v>
      </c>
      <c r="L21" s="15" t="s">
        <v>375</v>
      </c>
      <c r="M21" s="15" t="s">
        <v>375</v>
      </c>
      <c r="N21" s="15" t="s">
        <v>375</v>
      </c>
      <c r="O21" s="15" t="s">
        <v>375</v>
      </c>
      <c r="P21" s="15" t="s">
        <v>375</v>
      </c>
      <c r="Q21" s="15" t="s">
        <v>375</v>
      </c>
      <c r="R21" s="15" t="s">
        <v>375</v>
      </c>
      <c r="S21" s="15" t="s">
        <v>375</v>
      </c>
      <c r="T21" s="15" t="s">
        <v>375</v>
      </c>
      <c r="U21" s="15" t="s">
        <v>375</v>
      </c>
      <c r="V21" s="15" t="s">
        <v>375</v>
      </c>
      <c r="W21" s="15" t="s">
        <v>375</v>
      </c>
      <c r="X21" s="15" t="s">
        <v>375</v>
      </c>
      <c r="Y21" s="15" t="s">
        <v>375</v>
      </c>
      <c r="Z21" s="15" t="s">
        <v>375</v>
      </c>
      <c r="AA21" s="15" t="s">
        <v>375</v>
      </c>
      <c r="AB21" s="15" t="s">
        <v>375</v>
      </c>
      <c r="AC21" s="15" t="s">
        <v>375</v>
      </c>
      <c r="AD21" s="15" t="s">
        <v>375</v>
      </c>
      <c r="AE21" s="15" t="s">
        <v>375</v>
      </c>
      <c r="AF21" s="15" t="s">
        <v>375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275</v>
      </c>
      <c r="C3" s="17"/>
      <c r="D3" s="17"/>
      <c r="E3" s="17"/>
      <c r="F3" s="17"/>
      <c r="H3" s="17" t="s">
        <v>276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HYPERLINK("#Content!A139","&lt;&lt;Back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1313</v>
      </c>
      <c r="C12" s="12">
        <v>12784</v>
      </c>
      <c r="D12" s="12">
        <v>498</v>
      </c>
      <c r="E12" s="12">
        <v>497</v>
      </c>
      <c r="F12" s="12">
        <v>515</v>
      </c>
      <c r="G12" s="12">
        <v>513</v>
      </c>
      <c r="H12" s="12">
        <v>598</v>
      </c>
      <c r="I12" s="12">
        <v>742</v>
      </c>
      <c r="J12" s="12">
        <v>144</v>
      </c>
      <c r="K12" s="12">
        <v>466</v>
      </c>
      <c r="L12" s="12">
        <v>492</v>
      </c>
      <c r="M12" s="12">
        <v>490</v>
      </c>
      <c r="N12" s="12">
        <v>491</v>
      </c>
      <c r="O12" s="12">
        <v>479</v>
      </c>
      <c r="P12" s="12">
        <v>482</v>
      </c>
      <c r="Q12" s="12">
        <v>498</v>
      </c>
      <c r="R12" s="12">
        <v>245</v>
      </c>
      <c r="S12" s="12">
        <v>455</v>
      </c>
      <c r="T12" s="12">
        <v>477</v>
      </c>
      <c r="U12" s="12">
        <v>255</v>
      </c>
      <c r="V12" s="12">
        <v>489</v>
      </c>
      <c r="W12" s="12">
        <v>266</v>
      </c>
      <c r="X12" s="12">
        <v>496</v>
      </c>
      <c r="Y12" s="12">
        <v>491</v>
      </c>
      <c r="Z12" s="12">
        <v>485</v>
      </c>
      <c r="AA12" s="12">
        <v>490</v>
      </c>
      <c r="AB12" s="12">
        <v>499</v>
      </c>
      <c r="AC12" s="12">
        <v>502</v>
      </c>
      <c r="AD12" s="12">
        <v>486</v>
      </c>
      <c r="AE12" s="12">
        <v>489</v>
      </c>
      <c r="AF12" s="12">
        <v>514</v>
      </c>
    </row>
    <row r="13" spans="1:32">
      <c r="A13" s="19"/>
      <c r="B13" s="13" t="s">
        <v>1314</v>
      </c>
      <c r="C13" s="14">
        <v>0.49</v>
      </c>
      <c r="D13" s="14">
        <v>0.49</v>
      </c>
      <c r="E13" s="14">
        <v>0.48</v>
      </c>
      <c r="F13" s="14">
        <v>0.49</v>
      </c>
      <c r="G13" s="14">
        <v>0.51</v>
      </c>
      <c r="H13" s="14">
        <v>0.49</v>
      </c>
      <c r="I13" s="14">
        <v>0.49</v>
      </c>
      <c r="J13" s="14">
        <v>0.48</v>
      </c>
      <c r="K13" s="14">
        <v>0.46</v>
      </c>
      <c r="L13" s="14">
        <v>0.49</v>
      </c>
      <c r="M13" s="14">
        <v>0.49</v>
      </c>
      <c r="N13" s="14">
        <v>0.49</v>
      </c>
      <c r="O13" s="14">
        <v>0.48</v>
      </c>
      <c r="P13" s="14">
        <v>0.48</v>
      </c>
      <c r="Q13" s="14">
        <v>0.48</v>
      </c>
      <c r="R13" s="14">
        <v>0.49</v>
      </c>
      <c r="S13" s="14">
        <v>0.45</v>
      </c>
      <c r="T13" s="14">
        <v>0.47</v>
      </c>
      <c r="U13" s="14">
        <v>0.5</v>
      </c>
      <c r="V13" s="14">
        <v>0.48</v>
      </c>
      <c r="W13" s="14">
        <v>0.53</v>
      </c>
      <c r="X13" s="14">
        <v>0.49</v>
      </c>
      <c r="Y13" s="14">
        <v>0.49</v>
      </c>
      <c r="Z13" s="14">
        <v>0.48</v>
      </c>
      <c r="AA13" s="14">
        <v>0.47</v>
      </c>
      <c r="AB13" s="14">
        <v>0.48</v>
      </c>
      <c r="AC13" s="14">
        <v>0.5</v>
      </c>
      <c r="AD13" s="14">
        <v>0.48</v>
      </c>
      <c r="AE13" s="14">
        <v>0.49</v>
      </c>
      <c r="AF13" s="14">
        <v>0.5</v>
      </c>
    </row>
    <row r="14" spans="1:32">
      <c r="A14" s="19"/>
      <c r="B14" s="11" t="s">
        <v>1315</v>
      </c>
      <c r="C14" s="12">
        <v>13559</v>
      </c>
      <c r="D14" s="12">
        <v>518</v>
      </c>
      <c r="E14" s="12">
        <v>548</v>
      </c>
      <c r="F14" s="12">
        <v>545</v>
      </c>
      <c r="G14" s="12">
        <v>497</v>
      </c>
      <c r="H14" s="12">
        <v>622</v>
      </c>
      <c r="I14" s="12">
        <v>773</v>
      </c>
      <c r="J14" s="12">
        <v>151</v>
      </c>
      <c r="K14" s="12">
        <v>533</v>
      </c>
      <c r="L14" s="12">
        <v>513</v>
      </c>
      <c r="M14" s="12">
        <v>517</v>
      </c>
      <c r="N14" s="12">
        <v>518</v>
      </c>
      <c r="O14" s="12">
        <v>521</v>
      </c>
      <c r="P14" s="12">
        <v>520</v>
      </c>
      <c r="Q14" s="12">
        <v>528</v>
      </c>
      <c r="R14" s="12">
        <v>256</v>
      </c>
      <c r="S14" s="12">
        <v>546</v>
      </c>
      <c r="T14" s="12">
        <v>546</v>
      </c>
      <c r="U14" s="12">
        <v>253</v>
      </c>
      <c r="V14" s="12">
        <v>537</v>
      </c>
      <c r="W14" s="12">
        <v>233</v>
      </c>
      <c r="X14" s="12">
        <v>507</v>
      </c>
      <c r="Y14" s="12">
        <v>512</v>
      </c>
      <c r="Z14" s="12">
        <v>529</v>
      </c>
      <c r="AA14" s="12">
        <v>547</v>
      </c>
      <c r="AB14" s="12">
        <v>539</v>
      </c>
      <c r="AC14" s="12">
        <v>500</v>
      </c>
      <c r="AD14" s="12">
        <v>517</v>
      </c>
      <c r="AE14" s="12">
        <v>505</v>
      </c>
      <c r="AF14" s="12">
        <v>509</v>
      </c>
    </row>
    <row r="15" spans="1:32">
      <c r="A15" s="19"/>
      <c r="B15" s="13" t="s">
        <v>1316</v>
      </c>
      <c r="C15" s="14">
        <v>0.51</v>
      </c>
      <c r="D15" s="14">
        <v>0.51</v>
      </c>
      <c r="E15" s="14">
        <v>0.52</v>
      </c>
      <c r="F15" s="14">
        <v>0.51</v>
      </c>
      <c r="G15" s="14">
        <v>0.49</v>
      </c>
      <c r="H15" s="14">
        <v>0.51</v>
      </c>
      <c r="I15" s="14">
        <v>0.51</v>
      </c>
      <c r="J15" s="14">
        <v>0.51</v>
      </c>
      <c r="K15" s="14">
        <v>0.53</v>
      </c>
      <c r="L15" s="14">
        <v>0.51</v>
      </c>
      <c r="M15" s="14">
        <v>0.51</v>
      </c>
      <c r="N15" s="14">
        <v>0.51</v>
      </c>
      <c r="O15" s="14">
        <v>0.52</v>
      </c>
      <c r="P15" s="14">
        <v>0.52</v>
      </c>
      <c r="Q15" s="14">
        <v>0.51</v>
      </c>
      <c r="R15" s="14">
        <v>0.51</v>
      </c>
      <c r="S15" s="14">
        <v>0.55000000000000004</v>
      </c>
      <c r="T15" s="14">
        <v>0.53</v>
      </c>
      <c r="U15" s="14">
        <v>0.5</v>
      </c>
      <c r="V15" s="14">
        <v>0.52</v>
      </c>
      <c r="W15" s="14">
        <v>0.46</v>
      </c>
      <c r="X15" s="14">
        <v>0.5</v>
      </c>
      <c r="Y15" s="14">
        <v>0.51</v>
      </c>
      <c r="Z15" s="14">
        <v>0.52</v>
      </c>
      <c r="AA15" s="14">
        <v>0.53</v>
      </c>
      <c r="AB15" s="14">
        <v>0.52</v>
      </c>
      <c r="AC15" s="14">
        <v>0.5</v>
      </c>
      <c r="AD15" s="14">
        <v>0.52</v>
      </c>
      <c r="AE15" s="14">
        <v>0.5</v>
      </c>
      <c r="AF15" s="14">
        <v>0.49</v>
      </c>
    </row>
    <row r="16" spans="1:32">
      <c r="A16" s="19"/>
      <c r="B16" s="11" t="s">
        <v>1317</v>
      </c>
      <c r="C16" s="12">
        <v>37</v>
      </c>
      <c r="D16" s="12">
        <v>2</v>
      </c>
      <c r="E16" s="12">
        <v>1</v>
      </c>
      <c r="F16" s="12">
        <v>0</v>
      </c>
      <c r="G16" s="12">
        <v>5</v>
      </c>
      <c r="H16" s="12">
        <v>6</v>
      </c>
      <c r="I16" s="12">
        <v>6</v>
      </c>
      <c r="J16" s="12">
        <v>0</v>
      </c>
      <c r="K16" s="12">
        <v>2</v>
      </c>
      <c r="L16" s="12">
        <v>0</v>
      </c>
      <c r="M16" s="12">
        <v>0</v>
      </c>
      <c r="N16" s="12">
        <v>0</v>
      </c>
      <c r="O16" s="12">
        <v>1</v>
      </c>
      <c r="P16" s="12">
        <v>2</v>
      </c>
      <c r="Q16" s="12">
        <v>0</v>
      </c>
      <c r="R16" s="12">
        <v>0</v>
      </c>
      <c r="S16" s="12">
        <v>1</v>
      </c>
      <c r="T16" s="12">
        <v>0</v>
      </c>
      <c r="U16" s="12">
        <v>0</v>
      </c>
      <c r="V16" s="12">
        <v>0</v>
      </c>
      <c r="W16" s="12">
        <v>1</v>
      </c>
      <c r="X16" s="12">
        <v>2</v>
      </c>
      <c r="Y16" s="12">
        <v>0</v>
      </c>
      <c r="Z16" s="12">
        <v>0</v>
      </c>
      <c r="AA16" s="12">
        <v>0</v>
      </c>
      <c r="AB16" s="12">
        <v>0</v>
      </c>
      <c r="AC16" s="12">
        <v>0</v>
      </c>
      <c r="AD16" s="12">
        <v>0</v>
      </c>
      <c r="AE16" s="12">
        <v>2</v>
      </c>
      <c r="AF16" s="12">
        <v>8</v>
      </c>
    </row>
    <row r="17" spans="1:32">
      <c r="A17" s="19"/>
      <c r="B17" s="13" t="s">
        <v>1318</v>
      </c>
      <c r="C17" s="15" t="s">
        <v>375</v>
      </c>
      <c r="D17" s="15" t="s">
        <v>375</v>
      </c>
      <c r="E17" s="15" t="s">
        <v>375</v>
      </c>
      <c r="F17" s="15" t="s">
        <v>375</v>
      </c>
      <c r="G17" s="15" t="s">
        <v>375</v>
      </c>
      <c r="H17" s="15" t="s">
        <v>375</v>
      </c>
      <c r="I17" s="15" t="s">
        <v>375</v>
      </c>
      <c r="J17" s="15" t="s">
        <v>375</v>
      </c>
      <c r="K17" s="15" t="s">
        <v>375</v>
      </c>
      <c r="L17" s="15" t="s">
        <v>375</v>
      </c>
      <c r="M17" s="15" t="s">
        <v>375</v>
      </c>
      <c r="N17" s="15" t="s">
        <v>375</v>
      </c>
      <c r="O17" s="15" t="s">
        <v>375</v>
      </c>
      <c r="P17" s="15" t="s">
        <v>375</v>
      </c>
      <c r="Q17" s="15" t="s">
        <v>375</v>
      </c>
      <c r="R17" s="15" t="s">
        <v>375</v>
      </c>
      <c r="S17" s="15" t="s">
        <v>375</v>
      </c>
      <c r="T17" s="15" t="s">
        <v>375</v>
      </c>
      <c r="U17" s="15" t="s">
        <v>375</v>
      </c>
      <c r="V17" s="15" t="s">
        <v>375</v>
      </c>
      <c r="W17" s="15" t="s">
        <v>375</v>
      </c>
      <c r="X17" s="15" t="s">
        <v>375</v>
      </c>
      <c r="Y17" s="15" t="s">
        <v>375</v>
      </c>
      <c r="Z17" s="15" t="s">
        <v>375</v>
      </c>
      <c r="AA17" s="15" t="s">
        <v>375</v>
      </c>
      <c r="AB17" s="15" t="s">
        <v>375</v>
      </c>
      <c r="AC17" s="15" t="s">
        <v>375</v>
      </c>
      <c r="AD17" s="15" t="s">
        <v>375</v>
      </c>
      <c r="AE17" s="15" t="s">
        <v>375</v>
      </c>
      <c r="AF17" s="14">
        <v>0.01</v>
      </c>
    </row>
    <row r="18" spans="1:32">
      <c r="A18" s="19"/>
      <c r="B18" s="11" t="s">
        <v>1319</v>
      </c>
      <c r="C18" s="12">
        <v>74</v>
      </c>
      <c r="D18" s="12">
        <v>3</v>
      </c>
      <c r="E18" s="12">
        <v>0</v>
      </c>
      <c r="F18" s="12">
        <v>4</v>
      </c>
      <c r="G18" s="12">
        <v>0</v>
      </c>
      <c r="H18" s="12">
        <v>4</v>
      </c>
      <c r="I18" s="12">
        <v>6</v>
      </c>
      <c r="J18" s="12">
        <v>2</v>
      </c>
      <c r="K18" s="12">
        <v>5</v>
      </c>
      <c r="L18" s="12">
        <v>1</v>
      </c>
      <c r="M18" s="12">
        <v>0</v>
      </c>
      <c r="N18" s="12">
        <v>2</v>
      </c>
      <c r="O18" s="12">
        <v>3</v>
      </c>
      <c r="P18" s="12">
        <v>0</v>
      </c>
      <c r="Q18" s="12">
        <v>5</v>
      </c>
      <c r="R18" s="12">
        <v>0</v>
      </c>
      <c r="S18" s="12">
        <v>2</v>
      </c>
      <c r="T18" s="12">
        <v>0</v>
      </c>
      <c r="U18" s="12">
        <v>0</v>
      </c>
      <c r="V18" s="12">
        <v>0</v>
      </c>
      <c r="W18" s="12">
        <v>3</v>
      </c>
      <c r="X18" s="12">
        <v>4</v>
      </c>
      <c r="Y18" s="12">
        <v>0</v>
      </c>
      <c r="Z18" s="12">
        <v>2</v>
      </c>
      <c r="AA18" s="12">
        <v>0</v>
      </c>
      <c r="AB18" s="12">
        <v>3</v>
      </c>
      <c r="AC18" s="12">
        <v>3</v>
      </c>
      <c r="AD18" s="12">
        <v>0</v>
      </c>
      <c r="AE18" s="12">
        <v>5</v>
      </c>
      <c r="AF18" s="12">
        <v>0</v>
      </c>
    </row>
    <row r="19" spans="1:32">
      <c r="A19" s="19"/>
      <c r="B19" s="13" t="s">
        <v>1320</v>
      </c>
      <c r="C19" s="15" t="s">
        <v>375</v>
      </c>
      <c r="D19" s="15" t="s">
        <v>375</v>
      </c>
      <c r="E19" s="15" t="s">
        <v>375</v>
      </c>
      <c r="F19" s="15" t="s">
        <v>375</v>
      </c>
      <c r="G19" s="15" t="s">
        <v>375</v>
      </c>
      <c r="H19" s="15" t="s">
        <v>375</v>
      </c>
      <c r="I19" s="15" t="s">
        <v>375</v>
      </c>
      <c r="J19" s="14">
        <v>0.01</v>
      </c>
      <c r="K19" s="14">
        <v>0.01</v>
      </c>
      <c r="L19" s="15" t="s">
        <v>375</v>
      </c>
      <c r="M19" s="15" t="s">
        <v>375</v>
      </c>
      <c r="N19" s="15" t="s">
        <v>375</v>
      </c>
      <c r="O19" s="15" t="s">
        <v>375</v>
      </c>
      <c r="P19" s="15" t="s">
        <v>375</v>
      </c>
      <c r="Q19" s="14">
        <v>0.01</v>
      </c>
      <c r="R19" s="15" t="s">
        <v>375</v>
      </c>
      <c r="S19" s="15" t="s">
        <v>375</v>
      </c>
      <c r="T19" s="15" t="s">
        <v>375</v>
      </c>
      <c r="U19" s="15" t="s">
        <v>375</v>
      </c>
      <c r="V19" s="15" t="s">
        <v>375</v>
      </c>
      <c r="W19" s="14">
        <v>0.01</v>
      </c>
      <c r="X19" s="14">
        <v>0.01</v>
      </c>
      <c r="Y19" s="15" t="s">
        <v>375</v>
      </c>
      <c r="Z19" s="15" t="s">
        <v>375</v>
      </c>
      <c r="AA19" s="15" t="s">
        <v>375</v>
      </c>
      <c r="AB19" s="15" t="s">
        <v>375</v>
      </c>
      <c r="AC19" s="15" t="s">
        <v>375</v>
      </c>
      <c r="AD19" s="15" t="s">
        <v>375</v>
      </c>
      <c r="AE19" s="14">
        <v>0.01</v>
      </c>
      <c r="AF19" s="15" t="s">
        <v>375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F4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277</v>
      </c>
      <c r="C3" s="17"/>
      <c r="D3" s="17"/>
      <c r="E3" s="17"/>
      <c r="F3" s="17"/>
      <c r="H3" s="17" t="s">
        <v>278</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1321</v>
      </c>
      <c r="C12" s="12">
        <v>1068</v>
      </c>
      <c r="D12" s="12">
        <v>17</v>
      </c>
      <c r="E12" s="12">
        <v>30</v>
      </c>
      <c r="F12" s="12">
        <v>20</v>
      </c>
      <c r="G12" s="12">
        <v>4</v>
      </c>
      <c r="H12" s="12">
        <v>33</v>
      </c>
      <c r="I12" s="12">
        <v>35</v>
      </c>
      <c r="J12" s="12">
        <v>2</v>
      </c>
      <c r="K12" s="12">
        <v>37</v>
      </c>
      <c r="L12" s="12">
        <v>64</v>
      </c>
      <c r="M12" s="12">
        <v>77</v>
      </c>
      <c r="N12" s="12">
        <v>57</v>
      </c>
      <c r="O12" s="12">
        <v>36</v>
      </c>
      <c r="P12" s="12">
        <v>28</v>
      </c>
      <c r="Q12" s="12">
        <v>87</v>
      </c>
      <c r="R12" s="12">
        <v>22</v>
      </c>
      <c r="S12" s="12">
        <v>29</v>
      </c>
      <c r="T12" s="12">
        <v>42</v>
      </c>
      <c r="U12" s="12">
        <v>6</v>
      </c>
      <c r="V12" s="12">
        <v>12</v>
      </c>
      <c r="W12" s="12">
        <v>73</v>
      </c>
      <c r="X12" s="12">
        <v>18</v>
      </c>
      <c r="Y12" s="12">
        <v>29</v>
      </c>
      <c r="Z12" s="12">
        <v>32</v>
      </c>
      <c r="AA12" s="12">
        <v>22</v>
      </c>
      <c r="AB12" s="12">
        <v>75</v>
      </c>
      <c r="AC12" s="12">
        <v>10</v>
      </c>
      <c r="AD12" s="12">
        <v>44</v>
      </c>
      <c r="AE12" s="12">
        <v>8</v>
      </c>
      <c r="AF12" s="12">
        <v>2</v>
      </c>
    </row>
    <row r="13" spans="1:32">
      <c r="A13" s="19"/>
      <c r="B13" s="13" t="s">
        <v>1322</v>
      </c>
      <c r="C13" s="14">
        <v>0.04</v>
      </c>
      <c r="D13" s="14">
        <v>0.02</v>
      </c>
      <c r="E13" s="14">
        <v>0.03</v>
      </c>
      <c r="F13" s="14">
        <v>0.02</v>
      </c>
      <c r="G13" s="15" t="s">
        <v>375</v>
      </c>
      <c r="H13" s="14">
        <v>0.03</v>
      </c>
      <c r="I13" s="14">
        <v>0.02</v>
      </c>
      <c r="J13" s="14">
        <v>0.01</v>
      </c>
      <c r="K13" s="14">
        <v>0.04</v>
      </c>
      <c r="L13" s="14">
        <v>0.06</v>
      </c>
      <c r="M13" s="14">
        <v>0.08</v>
      </c>
      <c r="N13" s="14">
        <v>0.06</v>
      </c>
      <c r="O13" s="14">
        <v>0.04</v>
      </c>
      <c r="P13" s="14">
        <v>0.03</v>
      </c>
      <c r="Q13" s="14">
        <v>0.08</v>
      </c>
      <c r="R13" s="14">
        <v>0.05</v>
      </c>
      <c r="S13" s="14">
        <v>0.03</v>
      </c>
      <c r="T13" s="14">
        <v>0.04</v>
      </c>
      <c r="U13" s="14">
        <v>0.01</v>
      </c>
      <c r="V13" s="14">
        <v>0.01</v>
      </c>
      <c r="W13" s="14">
        <v>0.15</v>
      </c>
      <c r="X13" s="14">
        <v>0.02</v>
      </c>
      <c r="Y13" s="14">
        <v>0.03</v>
      </c>
      <c r="Z13" s="14">
        <v>0.03</v>
      </c>
      <c r="AA13" s="14">
        <v>0.02</v>
      </c>
      <c r="AB13" s="14">
        <v>7.0000000000000007E-2</v>
      </c>
      <c r="AC13" s="14">
        <v>0.01</v>
      </c>
      <c r="AD13" s="14">
        <v>0.04</v>
      </c>
      <c r="AE13" s="14">
        <v>0.01</v>
      </c>
      <c r="AF13" s="15" t="s">
        <v>375</v>
      </c>
    </row>
    <row r="14" spans="1:32">
      <c r="A14" s="19"/>
      <c r="B14" s="11" t="s">
        <v>1323</v>
      </c>
      <c r="C14" s="12">
        <v>2573</v>
      </c>
      <c r="D14" s="12">
        <v>115</v>
      </c>
      <c r="E14" s="12">
        <v>73</v>
      </c>
      <c r="F14" s="12">
        <v>90</v>
      </c>
      <c r="G14" s="12">
        <v>112</v>
      </c>
      <c r="H14" s="12">
        <v>161</v>
      </c>
      <c r="I14" s="12">
        <v>181</v>
      </c>
      <c r="J14" s="12">
        <v>20</v>
      </c>
      <c r="K14" s="12">
        <v>108</v>
      </c>
      <c r="L14" s="12">
        <v>98</v>
      </c>
      <c r="M14" s="12">
        <v>75</v>
      </c>
      <c r="N14" s="12">
        <v>76</v>
      </c>
      <c r="O14" s="12">
        <v>99</v>
      </c>
      <c r="P14" s="12">
        <v>61</v>
      </c>
      <c r="Q14" s="12">
        <v>116</v>
      </c>
      <c r="R14" s="12">
        <v>39</v>
      </c>
      <c r="S14" s="12">
        <v>84</v>
      </c>
      <c r="T14" s="12">
        <v>89</v>
      </c>
      <c r="U14" s="12">
        <v>46</v>
      </c>
      <c r="V14" s="12">
        <v>68</v>
      </c>
      <c r="W14" s="12">
        <v>42</v>
      </c>
      <c r="X14" s="12">
        <v>146</v>
      </c>
      <c r="Y14" s="12">
        <v>78</v>
      </c>
      <c r="Z14" s="12">
        <v>69</v>
      </c>
      <c r="AA14" s="12">
        <v>103</v>
      </c>
      <c r="AB14" s="12">
        <v>88</v>
      </c>
      <c r="AC14" s="12">
        <v>99</v>
      </c>
      <c r="AD14" s="12">
        <v>98</v>
      </c>
      <c r="AE14" s="12">
        <v>102</v>
      </c>
      <c r="AF14" s="12">
        <v>75</v>
      </c>
    </row>
    <row r="15" spans="1:32">
      <c r="A15" s="19"/>
      <c r="B15" s="13" t="s">
        <v>1324</v>
      </c>
      <c r="C15" s="14">
        <v>0.1</v>
      </c>
      <c r="D15" s="14">
        <v>0.11</v>
      </c>
      <c r="E15" s="14">
        <v>7.0000000000000007E-2</v>
      </c>
      <c r="F15" s="14">
        <v>0.08</v>
      </c>
      <c r="G15" s="14">
        <v>0.11</v>
      </c>
      <c r="H15" s="14">
        <v>0.13</v>
      </c>
      <c r="I15" s="14">
        <v>0.12</v>
      </c>
      <c r="J15" s="14">
        <v>7.0000000000000007E-2</v>
      </c>
      <c r="K15" s="14">
        <v>0.11</v>
      </c>
      <c r="L15" s="14">
        <v>0.1</v>
      </c>
      <c r="M15" s="14">
        <v>7.0000000000000007E-2</v>
      </c>
      <c r="N15" s="14">
        <v>7.0000000000000007E-2</v>
      </c>
      <c r="O15" s="14">
        <v>0.1</v>
      </c>
      <c r="P15" s="14">
        <v>0.06</v>
      </c>
      <c r="Q15" s="14">
        <v>0.11</v>
      </c>
      <c r="R15" s="14">
        <v>0.08</v>
      </c>
      <c r="S15" s="14">
        <v>0.08</v>
      </c>
      <c r="T15" s="14">
        <v>0.09</v>
      </c>
      <c r="U15" s="14">
        <v>0.09</v>
      </c>
      <c r="V15" s="14">
        <v>7.0000000000000007E-2</v>
      </c>
      <c r="W15" s="14">
        <v>0.08</v>
      </c>
      <c r="X15" s="14">
        <v>0.14000000000000001</v>
      </c>
      <c r="Y15" s="14">
        <v>0.08</v>
      </c>
      <c r="Z15" s="14">
        <v>7.0000000000000007E-2</v>
      </c>
      <c r="AA15" s="14">
        <v>0.1</v>
      </c>
      <c r="AB15" s="14">
        <v>0.08</v>
      </c>
      <c r="AC15" s="14">
        <v>0.1</v>
      </c>
      <c r="AD15" s="14">
        <v>0.1</v>
      </c>
      <c r="AE15" s="14">
        <v>0.1</v>
      </c>
      <c r="AF15" s="14">
        <v>7.0000000000000007E-2</v>
      </c>
    </row>
    <row r="16" spans="1:32">
      <c r="A16" s="19"/>
      <c r="B16" s="11" t="s">
        <v>1325</v>
      </c>
      <c r="C16" s="12">
        <v>1141</v>
      </c>
      <c r="D16" s="12">
        <v>75</v>
      </c>
      <c r="E16" s="12">
        <v>43</v>
      </c>
      <c r="F16" s="12">
        <v>43</v>
      </c>
      <c r="G16" s="12">
        <v>36</v>
      </c>
      <c r="H16" s="12">
        <v>48</v>
      </c>
      <c r="I16" s="12">
        <v>57</v>
      </c>
      <c r="J16" s="12">
        <v>9</v>
      </c>
      <c r="K16" s="12">
        <v>37</v>
      </c>
      <c r="L16" s="12">
        <v>39</v>
      </c>
      <c r="M16" s="12">
        <v>39</v>
      </c>
      <c r="N16" s="12">
        <v>87</v>
      </c>
      <c r="O16" s="12">
        <v>66</v>
      </c>
      <c r="P16" s="12">
        <v>34</v>
      </c>
      <c r="Q16" s="12">
        <v>19</v>
      </c>
      <c r="R16" s="12">
        <v>21</v>
      </c>
      <c r="S16" s="12">
        <v>50</v>
      </c>
      <c r="T16" s="12">
        <v>85</v>
      </c>
      <c r="U16" s="12">
        <v>17</v>
      </c>
      <c r="V16" s="12">
        <v>21</v>
      </c>
      <c r="W16" s="12">
        <v>4</v>
      </c>
      <c r="X16" s="12">
        <v>49</v>
      </c>
      <c r="Y16" s="12">
        <v>33</v>
      </c>
      <c r="Z16" s="12">
        <v>16</v>
      </c>
      <c r="AA16" s="12">
        <v>44</v>
      </c>
      <c r="AB16" s="12">
        <v>7</v>
      </c>
      <c r="AC16" s="12">
        <v>46</v>
      </c>
      <c r="AD16" s="12">
        <v>33</v>
      </c>
      <c r="AE16" s="12">
        <v>64</v>
      </c>
      <c r="AF16" s="12">
        <v>37</v>
      </c>
    </row>
    <row r="17" spans="1:32">
      <c r="A17" s="19"/>
      <c r="B17" s="13" t="s">
        <v>1326</v>
      </c>
      <c r="C17" s="14">
        <v>0.04</v>
      </c>
      <c r="D17" s="14">
        <v>7.0000000000000007E-2</v>
      </c>
      <c r="E17" s="14">
        <v>0.04</v>
      </c>
      <c r="F17" s="14">
        <v>0.04</v>
      </c>
      <c r="G17" s="14">
        <v>0.03</v>
      </c>
      <c r="H17" s="14">
        <v>0.04</v>
      </c>
      <c r="I17" s="14">
        <v>0.04</v>
      </c>
      <c r="J17" s="14">
        <v>0.03</v>
      </c>
      <c r="K17" s="14">
        <v>0.04</v>
      </c>
      <c r="L17" s="14">
        <v>0.04</v>
      </c>
      <c r="M17" s="14">
        <v>0.04</v>
      </c>
      <c r="N17" s="14">
        <v>0.09</v>
      </c>
      <c r="O17" s="14">
        <v>7.0000000000000007E-2</v>
      </c>
      <c r="P17" s="14">
        <v>0.03</v>
      </c>
      <c r="Q17" s="14">
        <v>0.02</v>
      </c>
      <c r="R17" s="14">
        <v>0.04</v>
      </c>
      <c r="S17" s="14">
        <v>0.05</v>
      </c>
      <c r="T17" s="14">
        <v>0.08</v>
      </c>
      <c r="U17" s="14">
        <v>0.03</v>
      </c>
      <c r="V17" s="14">
        <v>0.02</v>
      </c>
      <c r="W17" s="14">
        <v>0.01</v>
      </c>
      <c r="X17" s="14">
        <v>0.05</v>
      </c>
      <c r="Y17" s="14">
        <v>0.03</v>
      </c>
      <c r="Z17" s="14">
        <v>0.01</v>
      </c>
      <c r="AA17" s="14">
        <v>0.04</v>
      </c>
      <c r="AB17" s="14">
        <v>0.01</v>
      </c>
      <c r="AC17" s="14">
        <v>0.05</v>
      </c>
      <c r="AD17" s="14">
        <v>0.03</v>
      </c>
      <c r="AE17" s="14">
        <v>0.06</v>
      </c>
      <c r="AF17" s="14">
        <v>0.04</v>
      </c>
    </row>
    <row r="18" spans="1:32">
      <c r="A18" s="19"/>
      <c r="B18" s="11" t="s">
        <v>1327</v>
      </c>
      <c r="C18" s="12">
        <v>6938</v>
      </c>
      <c r="D18" s="12">
        <v>289</v>
      </c>
      <c r="E18" s="12">
        <v>273</v>
      </c>
      <c r="F18" s="12">
        <v>264</v>
      </c>
      <c r="G18" s="12">
        <v>291</v>
      </c>
      <c r="H18" s="12">
        <v>333</v>
      </c>
      <c r="I18" s="12">
        <v>433</v>
      </c>
      <c r="J18" s="12">
        <v>100</v>
      </c>
      <c r="K18" s="12">
        <v>237</v>
      </c>
      <c r="L18" s="12">
        <v>168</v>
      </c>
      <c r="M18" s="12">
        <v>262</v>
      </c>
      <c r="N18" s="12">
        <v>248</v>
      </c>
      <c r="O18" s="12">
        <v>294</v>
      </c>
      <c r="P18" s="12">
        <v>289</v>
      </c>
      <c r="Q18" s="12">
        <v>232</v>
      </c>
      <c r="R18" s="12">
        <v>100</v>
      </c>
      <c r="S18" s="12">
        <v>266</v>
      </c>
      <c r="T18" s="12">
        <v>275</v>
      </c>
      <c r="U18" s="12">
        <v>121</v>
      </c>
      <c r="V18" s="12">
        <v>251</v>
      </c>
      <c r="W18" s="12">
        <v>62</v>
      </c>
      <c r="X18" s="12">
        <v>254</v>
      </c>
      <c r="Y18" s="12">
        <v>245</v>
      </c>
      <c r="Z18" s="12">
        <v>264</v>
      </c>
      <c r="AA18" s="12">
        <v>278</v>
      </c>
      <c r="AB18" s="12">
        <v>274</v>
      </c>
      <c r="AC18" s="12">
        <v>312</v>
      </c>
      <c r="AD18" s="12">
        <v>244</v>
      </c>
      <c r="AE18" s="12">
        <v>289</v>
      </c>
      <c r="AF18" s="12">
        <v>273</v>
      </c>
    </row>
    <row r="19" spans="1:32">
      <c r="A19" s="19"/>
      <c r="B19" s="13" t="s">
        <v>1328</v>
      </c>
      <c r="C19" s="14">
        <v>0.26</v>
      </c>
      <c r="D19" s="14">
        <v>0.28000000000000003</v>
      </c>
      <c r="E19" s="14">
        <v>0.26</v>
      </c>
      <c r="F19" s="14">
        <v>0.25</v>
      </c>
      <c r="G19" s="14">
        <v>0.28999999999999998</v>
      </c>
      <c r="H19" s="14">
        <v>0.27</v>
      </c>
      <c r="I19" s="14">
        <v>0.28000000000000003</v>
      </c>
      <c r="J19" s="14">
        <v>0.34</v>
      </c>
      <c r="K19" s="14">
        <v>0.24</v>
      </c>
      <c r="L19" s="14">
        <v>0.17</v>
      </c>
      <c r="M19" s="14">
        <v>0.26</v>
      </c>
      <c r="N19" s="14">
        <v>0.25</v>
      </c>
      <c r="O19" s="14">
        <v>0.28999999999999998</v>
      </c>
      <c r="P19" s="14">
        <v>0.28999999999999998</v>
      </c>
      <c r="Q19" s="14">
        <v>0.22</v>
      </c>
      <c r="R19" s="14">
        <v>0.2</v>
      </c>
      <c r="S19" s="14">
        <v>0.27</v>
      </c>
      <c r="T19" s="14">
        <v>0.27</v>
      </c>
      <c r="U19" s="14">
        <v>0.24</v>
      </c>
      <c r="V19" s="14">
        <v>0.24</v>
      </c>
      <c r="W19" s="14">
        <v>0.12</v>
      </c>
      <c r="X19" s="14">
        <v>0.25</v>
      </c>
      <c r="Y19" s="14">
        <v>0.25</v>
      </c>
      <c r="Z19" s="14">
        <v>0.26</v>
      </c>
      <c r="AA19" s="14">
        <v>0.27</v>
      </c>
      <c r="AB19" s="14">
        <v>0.26</v>
      </c>
      <c r="AC19" s="14">
        <v>0.31</v>
      </c>
      <c r="AD19" s="14">
        <v>0.24</v>
      </c>
      <c r="AE19" s="14">
        <v>0.28999999999999998</v>
      </c>
      <c r="AF19" s="14">
        <v>0.26</v>
      </c>
    </row>
    <row r="20" spans="1:32">
      <c r="A20" s="19"/>
      <c r="B20" s="11" t="s">
        <v>1329</v>
      </c>
      <c r="C20" s="12">
        <v>199</v>
      </c>
      <c r="D20" s="12">
        <v>2</v>
      </c>
      <c r="E20" s="12">
        <v>6</v>
      </c>
      <c r="F20" s="12">
        <v>5</v>
      </c>
      <c r="G20" s="12">
        <v>2</v>
      </c>
      <c r="H20" s="12">
        <v>1</v>
      </c>
      <c r="I20" s="12">
        <v>2</v>
      </c>
      <c r="J20" s="12">
        <v>1</v>
      </c>
      <c r="K20" s="12">
        <v>3</v>
      </c>
      <c r="L20" s="12">
        <v>11</v>
      </c>
      <c r="M20" s="12">
        <v>36</v>
      </c>
      <c r="N20" s="12">
        <v>7</v>
      </c>
      <c r="O20" s="12">
        <v>2</v>
      </c>
      <c r="P20" s="12">
        <v>9</v>
      </c>
      <c r="Q20" s="12">
        <v>9</v>
      </c>
      <c r="R20" s="12">
        <v>2</v>
      </c>
      <c r="S20" s="12">
        <v>15</v>
      </c>
      <c r="T20" s="12">
        <v>8</v>
      </c>
      <c r="U20" s="12">
        <v>1</v>
      </c>
      <c r="V20" s="12">
        <v>2</v>
      </c>
      <c r="W20" s="12">
        <v>2</v>
      </c>
      <c r="X20" s="12">
        <v>1</v>
      </c>
      <c r="Y20" s="12">
        <v>6</v>
      </c>
      <c r="Z20" s="12">
        <v>30</v>
      </c>
      <c r="AA20" s="12">
        <v>8</v>
      </c>
      <c r="AB20" s="12">
        <v>10</v>
      </c>
      <c r="AC20" s="12">
        <v>26</v>
      </c>
      <c r="AD20" s="12">
        <v>1</v>
      </c>
      <c r="AE20" s="12">
        <v>11</v>
      </c>
      <c r="AF20" s="12">
        <v>4</v>
      </c>
    </row>
    <row r="21" spans="1:32">
      <c r="A21" s="19"/>
      <c r="B21" s="13" t="s">
        <v>1330</v>
      </c>
      <c r="C21" s="14">
        <v>0.01</v>
      </c>
      <c r="D21" s="15" t="s">
        <v>375</v>
      </c>
      <c r="E21" s="14">
        <v>0.01</v>
      </c>
      <c r="F21" s="15" t="s">
        <v>375</v>
      </c>
      <c r="G21" s="15" t="s">
        <v>375</v>
      </c>
      <c r="H21" s="15" t="s">
        <v>375</v>
      </c>
      <c r="I21" s="15" t="s">
        <v>375</v>
      </c>
      <c r="J21" s="15" t="s">
        <v>375</v>
      </c>
      <c r="K21" s="15" t="s">
        <v>375</v>
      </c>
      <c r="L21" s="14">
        <v>0.01</v>
      </c>
      <c r="M21" s="14">
        <v>0.04</v>
      </c>
      <c r="N21" s="14">
        <v>0.01</v>
      </c>
      <c r="O21" s="15" t="s">
        <v>375</v>
      </c>
      <c r="P21" s="14">
        <v>0.01</v>
      </c>
      <c r="Q21" s="14">
        <v>0.01</v>
      </c>
      <c r="R21" s="15" t="s">
        <v>375</v>
      </c>
      <c r="S21" s="14">
        <v>0.02</v>
      </c>
      <c r="T21" s="14">
        <v>0.01</v>
      </c>
      <c r="U21" s="15" t="s">
        <v>375</v>
      </c>
      <c r="V21" s="15" t="s">
        <v>375</v>
      </c>
      <c r="W21" s="15" t="s">
        <v>375</v>
      </c>
      <c r="X21" s="15" t="s">
        <v>375</v>
      </c>
      <c r="Y21" s="14">
        <v>0.01</v>
      </c>
      <c r="Z21" s="14">
        <v>0.03</v>
      </c>
      <c r="AA21" s="14">
        <v>0.01</v>
      </c>
      <c r="AB21" s="14">
        <v>0.01</v>
      </c>
      <c r="AC21" s="14">
        <v>0.03</v>
      </c>
      <c r="AD21" s="15" t="s">
        <v>375</v>
      </c>
      <c r="AE21" s="14">
        <v>0.01</v>
      </c>
      <c r="AF21" s="15" t="s">
        <v>375</v>
      </c>
    </row>
    <row r="22" spans="1:32">
      <c r="A22" s="19"/>
      <c r="B22" s="11" t="s">
        <v>1331</v>
      </c>
      <c r="C22" s="12">
        <v>11</v>
      </c>
      <c r="D22" s="12">
        <v>0</v>
      </c>
      <c r="E22" s="12">
        <v>1</v>
      </c>
      <c r="F22" s="12">
        <v>0</v>
      </c>
      <c r="G22" s="12">
        <v>0</v>
      </c>
      <c r="H22" s="12">
        <v>0</v>
      </c>
      <c r="I22" s="12">
        <v>1</v>
      </c>
      <c r="J22" s="12">
        <v>1</v>
      </c>
      <c r="K22" s="12">
        <v>2</v>
      </c>
      <c r="L22" s="12">
        <v>0</v>
      </c>
      <c r="M22" s="12">
        <v>2</v>
      </c>
      <c r="N22" s="12">
        <v>0</v>
      </c>
      <c r="O22" s="12">
        <v>0</v>
      </c>
      <c r="P22" s="12">
        <v>2</v>
      </c>
      <c r="Q22" s="12">
        <v>1</v>
      </c>
      <c r="R22" s="12">
        <v>0</v>
      </c>
      <c r="S22" s="12">
        <v>2</v>
      </c>
      <c r="T22" s="12">
        <v>0</v>
      </c>
      <c r="U22" s="12">
        <v>0</v>
      </c>
      <c r="V22" s="12">
        <v>0</v>
      </c>
      <c r="W22" s="12">
        <v>0</v>
      </c>
      <c r="X22" s="12">
        <v>1</v>
      </c>
      <c r="Y22" s="12">
        <v>0</v>
      </c>
      <c r="Z22" s="12">
        <v>1</v>
      </c>
      <c r="AA22" s="12">
        <v>2</v>
      </c>
      <c r="AB22" s="12">
        <v>0</v>
      </c>
      <c r="AC22" s="12">
        <v>0</v>
      </c>
      <c r="AD22" s="12">
        <v>0</v>
      </c>
      <c r="AE22" s="12">
        <v>0</v>
      </c>
      <c r="AF22" s="12">
        <v>0</v>
      </c>
    </row>
    <row r="23" spans="1:32">
      <c r="A23" s="19"/>
      <c r="B23" s="13" t="s">
        <v>1332</v>
      </c>
      <c r="C23" s="15" t="s">
        <v>375</v>
      </c>
      <c r="D23" s="15" t="s">
        <v>375</v>
      </c>
      <c r="E23" s="15" t="s">
        <v>375</v>
      </c>
      <c r="F23" s="15" t="s">
        <v>375</v>
      </c>
      <c r="G23" s="15" t="s">
        <v>375</v>
      </c>
      <c r="H23" s="15" t="s">
        <v>375</v>
      </c>
      <c r="I23" s="15" t="s">
        <v>375</v>
      </c>
      <c r="J23" s="15" t="s">
        <v>375</v>
      </c>
      <c r="K23" s="15" t="s">
        <v>375</v>
      </c>
      <c r="L23" s="15" t="s">
        <v>375</v>
      </c>
      <c r="M23" s="15" t="s">
        <v>375</v>
      </c>
      <c r="N23" s="15" t="s">
        <v>375</v>
      </c>
      <c r="O23" s="15" t="s">
        <v>375</v>
      </c>
      <c r="P23" s="15" t="s">
        <v>375</v>
      </c>
      <c r="Q23" s="15" t="s">
        <v>375</v>
      </c>
      <c r="R23" s="15" t="s">
        <v>375</v>
      </c>
      <c r="S23" s="15" t="s">
        <v>375</v>
      </c>
      <c r="T23" s="15" t="s">
        <v>375</v>
      </c>
      <c r="U23" s="15" t="s">
        <v>375</v>
      </c>
      <c r="V23" s="15" t="s">
        <v>375</v>
      </c>
      <c r="W23" s="15" t="s">
        <v>375</v>
      </c>
      <c r="X23" s="15" t="s">
        <v>375</v>
      </c>
      <c r="Y23" s="15" t="s">
        <v>375</v>
      </c>
      <c r="Z23" s="15" t="s">
        <v>375</v>
      </c>
      <c r="AA23" s="15" t="s">
        <v>375</v>
      </c>
      <c r="AB23" s="15" t="s">
        <v>375</v>
      </c>
      <c r="AC23" s="15" t="s">
        <v>375</v>
      </c>
      <c r="AD23" s="15" t="s">
        <v>375</v>
      </c>
      <c r="AE23" s="15" t="s">
        <v>375</v>
      </c>
      <c r="AF23" s="15" t="s">
        <v>375</v>
      </c>
    </row>
    <row r="24" spans="1:32">
      <c r="A24" s="19"/>
      <c r="B24" s="11" t="s">
        <v>1333</v>
      </c>
      <c r="C24" s="12">
        <v>546</v>
      </c>
      <c r="D24" s="12">
        <v>15</v>
      </c>
      <c r="E24" s="12">
        <v>6</v>
      </c>
      <c r="F24" s="12">
        <v>33</v>
      </c>
      <c r="G24" s="12">
        <v>28</v>
      </c>
      <c r="H24" s="12">
        <v>20</v>
      </c>
      <c r="I24" s="12">
        <v>23</v>
      </c>
      <c r="J24" s="12">
        <v>4</v>
      </c>
      <c r="K24" s="12">
        <v>11</v>
      </c>
      <c r="L24" s="12">
        <v>27</v>
      </c>
      <c r="M24" s="12">
        <v>17</v>
      </c>
      <c r="N24" s="12">
        <v>14</v>
      </c>
      <c r="O24" s="12">
        <v>23</v>
      </c>
      <c r="P24" s="12">
        <v>18</v>
      </c>
      <c r="Q24" s="12">
        <v>40</v>
      </c>
      <c r="R24" s="12">
        <v>11</v>
      </c>
      <c r="S24" s="12">
        <v>31</v>
      </c>
      <c r="T24" s="12">
        <v>14</v>
      </c>
      <c r="U24" s="12">
        <v>18</v>
      </c>
      <c r="V24" s="12">
        <v>10</v>
      </c>
      <c r="W24" s="12">
        <v>19</v>
      </c>
      <c r="X24" s="12">
        <v>17</v>
      </c>
      <c r="Y24" s="12">
        <v>23</v>
      </c>
      <c r="Z24" s="12">
        <v>12</v>
      </c>
      <c r="AA24" s="12">
        <v>17</v>
      </c>
      <c r="AB24" s="12">
        <v>11</v>
      </c>
      <c r="AC24" s="12">
        <v>31</v>
      </c>
      <c r="AD24" s="12">
        <v>26</v>
      </c>
      <c r="AE24" s="12">
        <v>21</v>
      </c>
      <c r="AF24" s="12">
        <v>36</v>
      </c>
    </row>
    <row r="25" spans="1:32">
      <c r="A25" s="19"/>
      <c r="B25" s="13" t="s">
        <v>1334</v>
      </c>
      <c r="C25" s="14">
        <v>0.02</v>
      </c>
      <c r="D25" s="14">
        <v>0.02</v>
      </c>
      <c r="E25" s="14">
        <v>0.01</v>
      </c>
      <c r="F25" s="14">
        <v>0.03</v>
      </c>
      <c r="G25" s="14">
        <v>0.03</v>
      </c>
      <c r="H25" s="14">
        <v>0.02</v>
      </c>
      <c r="I25" s="14">
        <v>0.02</v>
      </c>
      <c r="J25" s="14">
        <v>0.01</v>
      </c>
      <c r="K25" s="14">
        <v>0.01</v>
      </c>
      <c r="L25" s="14">
        <v>0.03</v>
      </c>
      <c r="M25" s="14">
        <v>0.02</v>
      </c>
      <c r="N25" s="14">
        <v>0.01</v>
      </c>
      <c r="O25" s="14">
        <v>0.02</v>
      </c>
      <c r="P25" s="14">
        <v>0.02</v>
      </c>
      <c r="Q25" s="14">
        <v>0.04</v>
      </c>
      <c r="R25" s="14">
        <v>0.02</v>
      </c>
      <c r="S25" s="14">
        <v>0.03</v>
      </c>
      <c r="T25" s="14">
        <v>0.01</v>
      </c>
      <c r="U25" s="14">
        <v>0.04</v>
      </c>
      <c r="V25" s="14">
        <v>0.01</v>
      </c>
      <c r="W25" s="14">
        <v>0.04</v>
      </c>
      <c r="X25" s="14">
        <v>0.02</v>
      </c>
      <c r="Y25" s="14">
        <v>0.02</v>
      </c>
      <c r="Z25" s="14">
        <v>0.01</v>
      </c>
      <c r="AA25" s="14">
        <v>0.02</v>
      </c>
      <c r="AB25" s="14">
        <v>0.01</v>
      </c>
      <c r="AC25" s="14">
        <v>0.03</v>
      </c>
      <c r="AD25" s="14">
        <v>0.03</v>
      </c>
      <c r="AE25" s="14">
        <v>0.02</v>
      </c>
      <c r="AF25" s="14">
        <v>0.04</v>
      </c>
    </row>
    <row r="26" spans="1:32">
      <c r="A26" s="19"/>
      <c r="B26" s="11" t="s">
        <v>1335</v>
      </c>
      <c r="C26" s="12">
        <v>742</v>
      </c>
      <c r="D26" s="12">
        <v>40</v>
      </c>
      <c r="E26" s="12">
        <v>40</v>
      </c>
      <c r="F26" s="12">
        <v>49</v>
      </c>
      <c r="G26" s="12">
        <v>12</v>
      </c>
      <c r="H26" s="12">
        <v>17</v>
      </c>
      <c r="I26" s="12">
        <v>18</v>
      </c>
      <c r="J26" s="12">
        <v>1</v>
      </c>
      <c r="K26" s="12">
        <v>19</v>
      </c>
      <c r="L26" s="12">
        <v>11</v>
      </c>
      <c r="M26" s="12">
        <v>81</v>
      </c>
      <c r="N26" s="12">
        <v>15</v>
      </c>
      <c r="O26" s="12">
        <v>33</v>
      </c>
      <c r="P26" s="12">
        <v>30</v>
      </c>
      <c r="Q26" s="12">
        <v>69</v>
      </c>
      <c r="R26" s="12">
        <v>24</v>
      </c>
      <c r="S26" s="12">
        <v>17</v>
      </c>
      <c r="T26" s="12">
        <v>34</v>
      </c>
      <c r="U26" s="12">
        <v>20</v>
      </c>
      <c r="V26" s="12">
        <v>23</v>
      </c>
      <c r="W26" s="12">
        <v>12</v>
      </c>
      <c r="X26" s="12">
        <v>16</v>
      </c>
      <c r="Y26" s="12">
        <v>16</v>
      </c>
      <c r="Z26" s="12">
        <v>16</v>
      </c>
      <c r="AA26" s="12">
        <v>33</v>
      </c>
      <c r="AB26" s="12">
        <v>5</v>
      </c>
      <c r="AC26" s="12">
        <v>19</v>
      </c>
      <c r="AD26" s="12">
        <v>53</v>
      </c>
      <c r="AE26" s="12">
        <v>9</v>
      </c>
      <c r="AF26" s="12">
        <v>4</v>
      </c>
    </row>
    <row r="27" spans="1:32">
      <c r="A27" s="19"/>
      <c r="B27" s="13" t="s">
        <v>1336</v>
      </c>
      <c r="C27" s="14">
        <v>0.03</v>
      </c>
      <c r="D27" s="14">
        <v>0.04</v>
      </c>
      <c r="E27" s="14">
        <v>0.04</v>
      </c>
      <c r="F27" s="14">
        <v>0.05</v>
      </c>
      <c r="G27" s="14">
        <v>0.01</v>
      </c>
      <c r="H27" s="14">
        <v>0.01</v>
      </c>
      <c r="I27" s="14">
        <v>0.01</v>
      </c>
      <c r="J27" s="15" t="s">
        <v>375</v>
      </c>
      <c r="K27" s="14">
        <v>0.02</v>
      </c>
      <c r="L27" s="14">
        <v>0.01</v>
      </c>
      <c r="M27" s="14">
        <v>0.08</v>
      </c>
      <c r="N27" s="14">
        <v>0.02</v>
      </c>
      <c r="O27" s="14">
        <v>0.03</v>
      </c>
      <c r="P27" s="14">
        <v>0.03</v>
      </c>
      <c r="Q27" s="14">
        <v>7.0000000000000007E-2</v>
      </c>
      <c r="R27" s="14">
        <v>0.05</v>
      </c>
      <c r="S27" s="14">
        <v>0.02</v>
      </c>
      <c r="T27" s="14">
        <v>0.03</v>
      </c>
      <c r="U27" s="14">
        <v>0.04</v>
      </c>
      <c r="V27" s="14">
        <v>0.02</v>
      </c>
      <c r="W27" s="14">
        <v>0.03</v>
      </c>
      <c r="X27" s="14">
        <v>0.02</v>
      </c>
      <c r="Y27" s="14">
        <v>0.02</v>
      </c>
      <c r="Z27" s="14">
        <v>0.02</v>
      </c>
      <c r="AA27" s="14">
        <v>0.03</v>
      </c>
      <c r="AB27" s="14">
        <v>0.01</v>
      </c>
      <c r="AC27" s="14">
        <v>0.02</v>
      </c>
      <c r="AD27" s="14">
        <v>0.05</v>
      </c>
      <c r="AE27" s="14">
        <v>0.01</v>
      </c>
      <c r="AF27" s="15" t="s">
        <v>375</v>
      </c>
    </row>
    <row r="28" spans="1:32">
      <c r="A28" s="19"/>
      <c r="B28" s="11" t="s">
        <v>1337</v>
      </c>
      <c r="C28" s="12">
        <v>429</v>
      </c>
      <c r="D28" s="12">
        <v>29</v>
      </c>
      <c r="E28" s="12">
        <v>22</v>
      </c>
      <c r="F28" s="12">
        <v>27</v>
      </c>
      <c r="G28" s="12">
        <v>21</v>
      </c>
      <c r="H28" s="12">
        <v>25</v>
      </c>
      <c r="I28" s="12">
        <v>35</v>
      </c>
      <c r="J28" s="12">
        <v>10</v>
      </c>
      <c r="K28" s="12">
        <v>63</v>
      </c>
      <c r="L28" s="12">
        <v>7</v>
      </c>
      <c r="M28" s="12">
        <v>21</v>
      </c>
      <c r="N28" s="12">
        <v>19</v>
      </c>
      <c r="O28" s="12">
        <v>3</v>
      </c>
      <c r="P28" s="12">
        <v>14</v>
      </c>
      <c r="Q28" s="12">
        <v>5</v>
      </c>
      <c r="R28" s="12">
        <v>9</v>
      </c>
      <c r="S28" s="12">
        <v>14</v>
      </c>
      <c r="T28" s="12">
        <v>26</v>
      </c>
      <c r="U28" s="12">
        <v>3</v>
      </c>
      <c r="V28" s="12">
        <v>33</v>
      </c>
      <c r="W28" s="12">
        <v>7</v>
      </c>
      <c r="X28" s="12">
        <v>39</v>
      </c>
      <c r="Y28" s="12">
        <v>22</v>
      </c>
      <c r="Z28" s="12">
        <v>14</v>
      </c>
      <c r="AA28" s="12">
        <v>18</v>
      </c>
      <c r="AB28" s="12">
        <v>8</v>
      </c>
      <c r="AC28" s="12">
        <v>15</v>
      </c>
      <c r="AD28" s="12">
        <v>16</v>
      </c>
      <c r="AE28" s="12">
        <v>40</v>
      </c>
      <c r="AF28" s="12">
        <v>19</v>
      </c>
    </row>
    <row r="29" spans="1:32">
      <c r="A29" s="19"/>
      <c r="B29" s="13" t="s">
        <v>1338</v>
      </c>
      <c r="C29" s="14">
        <v>0.01</v>
      </c>
      <c r="D29" s="14">
        <v>0.03</v>
      </c>
      <c r="E29" s="14">
        <v>0.02</v>
      </c>
      <c r="F29" s="14">
        <v>0.03</v>
      </c>
      <c r="G29" s="14">
        <v>0.02</v>
      </c>
      <c r="H29" s="14">
        <v>0.02</v>
      </c>
      <c r="I29" s="14">
        <v>0.02</v>
      </c>
      <c r="J29" s="14">
        <v>0.04</v>
      </c>
      <c r="K29" s="14">
        <v>0.06</v>
      </c>
      <c r="L29" s="14">
        <v>0.01</v>
      </c>
      <c r="M29" s="14">
        <v>0.02</v>
      </c>
      <c r="N29" s="14">
        <v>0.02</v>
      </c>
      <c r="O29" s="15" t="s">
        <v>375</v>
      </c>
      <c r="P29" s="14">
        <v>0.01</v>
      </c>
      <c r="Q29" s="14">
        <v>0.01</v>
      </c>
      <c r="R29" s="14">
        <v>0.02</v>
      </c>
      <c r="S29" s="14">
        <v>0.01</v>
      </c>
      <c r="T29" s="14">
        <v>0.03</v>
      </c>
      <c r="U29" s="14">
        <v>0.01</v>
      </c>
      <c r="V29" s="14">
        <v>0.03</v>
      </c>
      <c r="W29" s="14">
        <v>0.01</v>
      </c>
      <c r="X29" s="14">
        <v>0.04</v>
      </c>
      <c r="Y29" s="14">
        <v>0.02</v>
      </c>
      <c r="Z29" s="14">
        <v>0.01</v>
      </c>
      <c r="AA29" s="14">
        <v>0.02</v>
      </c>
      <c r="AB29" s="14">
        <v>0.01</v>
      </c>
      <c r="AC29" s="14">
        <v>0.01</v>
      </c>
      <c r="AD29" s="14">
        <v>0.02</v>
      </c>
      <c r="AE29" s="14">
        <v>0.04</v>
      </c>
      <c r="AF29" s="14">
        <v>0.02</v>
      </c>
    </row>
    <row r="30" spans="1:32">
      <c r="A30" s="19"/>
      <c r="B30" s="11" t="s">
        <v>1339</v>
      </c>
      <c r="C30" s="12">
        <v>617</v>
      </c>
      <c r="D30" s="12">
        <v>5</v>
      </c>
      <c r="E30" s="12">
        <v>26</v>
      </c>
      <c r="F30" s="12">
        <v>28</v>
      </c>
      <c r="G30" s="12">
        <v>17</v>
      </c>
      <c r="H30" s="12">
        <v>17</v>
      </c>
      <c r="I30" s="12">
        <v>22</v>
      </c>
      <c r="J30" s="12">
        <v>5</v>
      </c>
      <c r="K30" s="12">
        <v>65</v>
      </c>
      <c r="L30" s="12">
        <v>57</v>
      </c>
      <c r="M30" s="12">
        <v>11</v>
      </c>
      <c r="N30" s="12">
        <v>44</v>
      </c>
      <c r="O30" s="12">
        <v>11</v>
      </c>
      <c r="P30" s="12">
        <v>21</v>
      </c>
      <c r="Q30" s="12">
        <v>10</v>
      </c>
      <c r="R30" s="12">
        <v>12</v>
      </c>
      <c r="S30" s="12">
        <v>62</v>
      </c>
      <c r="T30" s="12">
        <v>73</v>
      </c>
      <c r="U30" s="12">
        <v>11</v>
      </c>
      <c r="V30" s="12">
        <v>39</v>
      </c>
      <c r="W30" s="12">
        <v>32</v>
      </c>
      <c r="X30" s="12">
        <v>19</v>
      </c>
      <c r="Y30" s="12">
        <v>14</v>
      </c>
      <c r="Z30" s="12">
        <v>28</v>
      </c>
      <c r="AA30" s="12">
        <v>42</v>
      </c>
      <c r="AB30" s="12">
        <v>43</v>
      </c>
      <c r="AC30" s="12">
        <v>41</v>
      </c>
      <c r="AD30" s="12">
        <v>34</v>
      </c>
      <c r="AE30" s="12">
        <v>44</v>
      </c>
      <c r="AF30" s="12">
        <v>73</v>
      </c>
    </row>
    <row r="31" spans="1:32">
      <c r="A31" s="19"/>
      <c r="B31" s="13" t="s">
        <v>1340</v>
      </c>
      <c r="C31" s="14">
        <v>0.02</v>
      </c>
      <c r="D31" s="15" t="s">
        <v>375</v>
      </c>
      <c r="E31" s="14">
        <v>0.02</v>
      </c>
      <c r="F31" s="14">
        <v>0.03</v>
      </c>
      <c r="G31" s="14">
        <v>0.02</v>
      </c>
      <c r="H31" s="14">
        <v>0.01</v>
      </c>
      <c r="I31" s="14">
        <v>0.01</v>
      </c>
      <c r="J31" s="14">
        <v>0.02</v>
      </c>
      <c r="K31" s="14">
        <v>0.06</v>
      </c>
      <c r="L31" s="14">
        <v>0.06</v>
      </c>
      <c r="M31" s="14">
        <v>0.01</v>
      </c>
      <c r="N31" s="14">
        <v>0.04</v>
      </c>
      <c r="O31" s="14">
        <v>0.01</v>
      </c>
      <c r="P31" s="14">
        <v>0.02</v>
      </c>
      <c r="Q31" s="14">
        <v>0.01</v>
      </c>
      <c r="R31" s="14">
        <v>0.02</v>
      </c>
      <c r="S31" s="14">
        <v>0.06</v>
      </c>
      <c r="T31" s="14">
        <v>7.0000000000000007E-2</v>
      </c>
      <c r="U31" s="14">
        <v>0.02</v>
      </c>
      <c r="V31" s="14">
        <v>0.04</v>
      </c>
      <c r="W31" s="14">
        <v>0.06</v>
      </c>
      <c r="X31" s="14">
        <v>0.02</v>
      </c>
      <c r="Y31" s="14">
        <v>0.01</v>
      </c>
      <c r="Z31" s="14">
        <v>0.03</v>
      </c>
      <c r="AA31" s="14">
        <v>0.04</v>
      </c>
      <c r="AB31" s="14">
        <v>0.04</v>
      </c>
      <c r="AC31" s="14">
        <v>0.04</v>
      </c>
      <c r="AD31" s="14">
        <v>0.03</v>
      </c>
      <c r="AE31" s="14">
        <v>0.04</v>
      </c>
      <c r="AF31" s="14">
        <v>7.0000000000000007E-2</v>
      </c>
    </row>
    <row r="32" spans="1:32">
      <c r="A32" s="19"/>
      <c r="B32" s="11" t="s">
        <v>1341</v>
      </c>
      <c r="C32" s="12">
        <v>446</v>
      </c>
      <c r="D32" s="12">
        <v>6</v>
      </c>
      <c r="E32" s="12">
        <v>12</v>
      </c>
      <c r="F32" s="12">
        <v>6</v>
      </c>
      <c r="G32" s="12">
        <v>10</v>
      </c>
      <c r="H32" s="12">
        <v>28</v>
      </c>
      <c r="I32" s="12">
        <v>35</v>
      </c>
      <c r="J32" s="12">
        <v>7</v>
      </c>
      <c r="K32" s="12">
        <v>6</v>
      </c>
      <c r="L32" s="12">
        <v>36</v>
      </c>
      <c r="M32" s="12">
        <v>8</v>
      </c>
      <c r="N32" s="12">
        <v>3</v>
      </c>
      <c r="O32" s="12">
        <v>17</v>
      </c>
      <c r="P32" s="12">
        <v>10</v>
      </c>
      <c r="Q32" s="12">
        <v>36</v>
      </c>
      <c r="R32" s="12">
        <v>10</v>
      </c>
      <c r="S32" s="12">
        <v>14</v>
      </c>
      <c r="T32" s="12">
        <v>19</v>
      </c>
      <c r="U32" s="12">
        <v>18</v>
      </c>
      <c r="V32" s="12">
        <v>5</v>
      </c>
      <c r="W32" s="12">
        <v>40</v>
      </c>
      <c r="X32" s="12">
        <v>24</v>
      </c>
      <c r="Y32" s="12">
        <v>27</v>
      </c>
      <c r="Z32" s="12">
        <v>13</v>
      </c>
      <c r="AA32" s="12">
        <v>6</v>
      </c>
      <c r="AB32" s="12">
        <v>5</v>
      </c>
      <c r="AC32" s="12">
        <v>12</v>
      </c>
      <c r="AD32" s="12">
        <v>3</v>
      </c>
      <c r="AE32" s="12">
        <v>8</v>
      </c>
      <c r="AF32" s="12">
        <v>12</v>
      </c>
    </row>
    <row r="33" spans="1:32">
      <c r="A33" s="19"/>
      <c r="B33" s="13" t="s">
        <v>1342</v>
      </c>
      <c r="C33" s="14">
        <v>0.02</v>
      </c>
      <c r="D33" s="14">
        <v>0.01</v>
      </c>
      <c r="E33" s="14">
        <v>0.01</v>
      </c>
      <c r="F33" s="14">
        <v>0.01</v>
      </c>
      <c r="G33" s="14">
        <v>0.01</v>
      </c>
      <c r="H33" s="14">
        <v>0.02</v>
      </c>
      <c r="I33" s="14">
        <v>0.02</v>
      </c>
      <c r="J33" s="14">
        <v>0.02</v>
      </c>
      <c r="K33" s="14">
        <v>0.01</v>
      </c>
      <c r="L33" s="14">
        <v>0.04</v>
      </c>
      <c r="M33" s="14">
        <v>0.01</v>
      </c>
      <c r="N33" s="15" t="s">
        <v>375</v>
      </c>
      <c r="O33" s="14">
        <v>0.02</v>
      </c>
      <c r="P33" s="14">
        <v>0.01</v>
      </c>
      <c r="Q33" s="14">
        <v>0.03</v>
      </c>
      <c r="R33" s="14">
        <v>0.02</v>
      </c>
      <c r="S33" s="14">
        <v>0.01</v>
      </c>
      <c r="T33" s="14">
        <v>0.02</v>
      </c>
      <c r="U33" s="14">
        <v>0.03</v>
      </c>
      <c r="V33" s="14">
        <v>0.01</v>
      </c>
      <c r="W33" s="14">
        <v>0.08</v>
      </c>
      <c r="X33" s="14">
        <v>0.02</v>
      </c>
      <c r="Y33" s="14">
        <v>0.03</v>
      </c>
      <c r="Z33" s="14">
        <v>0.01</v>
      </c>
      <c r="AA33" s="14">
        <v>0.01</v>
      </c>
      <c r="AB33" s="14">
        <v>0.01</v>
      </c>
      <c r="AC33" s="14">
        <v>0.01</v>
      </c>
      <c r="AD33" s="15" t="s">
        <v>375</v>
      </c>
      <c r="AE33" s="14">
        <v>0.01</v>
      </c>
      <c r="AF33" s="14">
        <v>0.01</v>
      </c>
    </row>
    <row r="34" spans="1:32">
      <c r="A34" s="19"/>
      <c r="B34" s="11" t="s">
        <v>1343</v>
      </c>
      <c r="C34" s="12">
        <v>2363</v>
      </c>
      <c r="D34" s="12">
        <v>96</v>
      </c>
      <c r="E34" s="12">
        <v>51</v>
      </c>
      <c r="F34" s="12">
        <v>82</v>
      </c>
      <c r="G34" s="12">
        <v>119</v>
      </c>
      <c r="H34" s="12">
        <v>193</v>
      </c>
      <c r="I34" s="12">
        <v>222</v>
      </c>
      <c r="J34" s="12">
        <v>28</v>
      </c>
      <c r="K34" s="12">
        <v>98</v>
      </c>
      <c r="L34" s="12">
        <v>101</v>
      </c>
      <c r="M34" s="12">
        <v>23</v>
      </c>
      <c r="N34" s="12">
        <v>44</v>
      </c>
      <c r="O34" s="12">
        <v>114</v>
      </c>
      <c r="P34" s="12">
        <v>51</v>
      </c>
      <c r="Q34" s="12">
        <v>66</v>
      </c>
      <c r="R34" s="12">
        <v>55</v>
      </c>
      <c r="S34" s="12">
        <v>74</v>
      </c>
      <c r="T34" s="12">
        <v>58</v>
      </c>
      <c r="U34" s="12">
        <v>62</v>
      </c>
      <c r="V34" s="12">
        <v>47</v>
      </c>
      <c r="W34" s="12">
        <v>48</v>
      </c>
      <c r="X34" s="12">
        <v>155</v>
      </c>
      <c r="Y34" s="12">
        <v>101</v>
      </c>
      <c r="Z34" s="12">
        <v>58</v>
      </c>
      <c r="AA34" s="12">
        <v>57</v>
      </c>
      <c r="AB34" s="12">
        <v>21</v>
      </c>
      <c r="AC34" s="12">
        <v>76</v>
      </c>
      <c r="AD34" s="12">
        <v>80</v>
      </c>
      <c r="AE34" s="12">
        <v>139</v>
      </c>
      <c r="AF34" s="12">
        <v>129</v>
      </c>
    </row>
    <row r="35" spans="1:32">
      <c r="A35" s="19"/>
      <c r="B35" s="13" t="s">
        <v>1344</v>
      </c>
      <c r="C35" s="14">
        <v>0.09</v>
      </c>
      <c r="D35" s="14">
        <v>0.09</v>
      </c>
      <c r="E35" s="14">
        <v>0.05</v>
      </c>
      <c r="F35" s="14">
        <v>0.08</v>
      </c>
      <c r="G35" s="14">
        <v>0.12</v>
      </c>
      <c r="H35" s="14">
        <v>0.16</v>
      </c>
      <c r="I35" s="14">
        <v>0.15</v>
      </c>
      <c r="J35" s="14">
        <v>0.1</v>
      </c>
      <c r="K35" s="14">
        <v>0.1</v>
      </c>
      <c r="L35" s="14">
        <v>0.1</v>
      </c>
      <c r="M35" s="14">
        <v>0.02</v>
      </c>
      <c r="N35" s="14">
        <v>0.04</v>
      </c>
      <c r="O35" s="14">
        <v>0.11</v>
      </c>
      <c r="P35" s="14">
        <v>0.05</v>
      </c>
      <c r="Q35" s="14">
        <v>0.06</v>
      </c>
      <c r="R35" s="14">
        <v>0.11</v>
      </c>
      <c r="S35" s="14">
        <v>7.0000000000000007E-2</v>
      </c>
      <c r="T35" s="14">
        <v>0.06</v>
      </c>
      <c r="U35" s="14">
        <v>0.12</v>
      </c>
      <c r="V35" s="14">
        <v>0.05</v>
      </c>
      <c r="W35" s="14">
        <v>0.1</v>
      </c>
      <c r="X35" s="14">
        <v>0.15</v>
      </c>
      <c r="Y35" s="14">
        <v>0.1</v>
      </c>
      <c r="Z35" s="14">
        <v>0.06</v>
      </c>
      <c r="AA35" s="14">
        <v>0.05</v>
      </c>
      <c r="AB35" s="14">
        <v>0.02</v>
      </c>
      <c r="AC35" s="14">
        <v>0.08</v>
      </c>
      <c r="AD35" s="14">
        <v>0.08</v>
      </c>
      <c r="AE35" s="14">
        <v>0.14000000000000001</v>
      </c>
      <c r="AF35" s="14">
        <v>0.12</v>
      </c>
    </row>
    <row r="36" spans="1:32">
      <c r="A36" s="19"/>
      <c r="B36" s="11" t="s">
        <v>1345</v>
      </c>
      <c r="C36" s="12">
        <v>2547</v>
      </c>
      <c r="D36" s="12">
        <v>132</v>
      </c>
      <c r="E36" s="12">
        <v>137</v>
      </c>
      <c r="F36" s="12">
        <v>218</v>
      </c>
      <c r="G36" s="12">
        <v>126</v>
      </c>
      <c r="H36" s="12">
        <v>117</v>
      </c>
      <c r="I36" s="12">
        <v>135</v>
      </c>
      <c r="J36" s="12">
        <v>18</v>
      </c>
      <c r="K36" s="12">
        <v>61</v>
      </c>
      <c r="L36" s="12">
        <v>140</v>
      </c>
      <c r="M36" s="12">
        <v>104</v>
      </c>
      <c r="N36" s="12">
        <v>64</v>
      </c>
      <c r="O36" s="12">
        <v>54</v>
      </c>
      <c r="P36" s="12">
        <v>99</v>
      </c>
      <c r="Q36" s="12">
        <v>119</v>
      </c>
      <c r="R36" s="12">
        <v>86</v>
      </c>
      <c r="S36" s="12">
        <v>59</v>
      </c>
      <c r="T36" s="12">
        <v>45</v>
      </c>
      <c r="U36" s="12">
        <v>71</v>
      </c>
      <c r="V36" s="12">
        <v>167</v>
      </c>
      <c r="W36" s="12">
        <v>82</v>
      </c>
      <c r="X36" s="12">
        <v>152</v>
      </c>
      <c r="Y36" s="12">
        <v>99</v>
      </c>
      <c r="Z36" s="12">
        <v>101</v>
      </c>
      <c r="AA36" s="12">
        <v>46</v>
      </c>
      <c r="AB36" s="12">
        <v>95</v>
      </c>
      <c r="AC36" s="12">
        <v>81</v>
      </c>
      <c r="AD36" s="12">
        <v>102</v>
      </c>
      <c r="AE36" s="12">
        <v>70</v>
      </c>
      <c r="AF36" s="12">
        <v>191</v>
      </c>
    </row>
    <row r="37" spans="1:32">
      <c r="A37" s="19"/>
      <c r="B37" s="13" t="s">
        <v>1346</v>
      </c>
      <c r="C37" s="14">
        <v>0.1</v>
      </c>
      <c r="D37" s="14">
        <v>0.13</v>
      </c>
      <c r="E37" s="14">
        <v>0.13</v>
      </c>
      <c r="F37" s="14">
        <v>0.2</v>
      </c>
      <c r="G37" s="14">
        <v>0.12</v>
      </c>
      <c r="H37" s="14">
        <v>0.1</v>
      </c>
      <c r="I37" s="14">
        <v>0.09</v>
      </c>
      <c r="J37" s="14">
        <v>0.06</v>
      </c>
      <c r="K37" s="14">
        <v>0.06</v>
      </c>
      <c r="L37" s="14">
        <v>0.14000000000000001</v>
      </c>
      <c r="M37" s="14">
        <v>0.1</v>
      </c>
      <c r="N37" s="14">
        <v>0.06</v>
      </c>
      <c r="O37" s="14">
        <v>0.05</v>
      </c>
      <c r="P37" s="14">
        <v>0.1</v>
      </c>
      <c r="Q37" s="14">
        <v>0.12</v>
      </c>
      <c r="R37" s="14">
        <v>0.17</v>
      </c>
      <c r="S37" s="14">
        <v>0.06</v>
      </c>
      <c r="T37" s="14">
        <v>0.04</v>
      </c>
      <c r="U37" s="14">
        <v>0.14000000000000001</v>
      </c>
      <c r="V37" s="14">
        <v>0.16</v>
      </c>
      <c r="W37" s="14">
        <v>0.16</v>
      </c>
      <c r="X37" s="14">
        <v>0.15</v>
      </c>
      <c r="Y37" s="14">
        <v>0.1</v>
      </c>
      <c r="Z37" s="14">
        <v>0.1</v>
      </c>
      <c r="AA37" s="14">
        <v>0.04</v>
      </c>
      <c r="AB37" s="14">
        <v>0.09</v>
      </c>
      <c r="AC37" s="14">
        <v>0.08</v>
      </c>
      <c r="AD37" s="14">
        <v>0.1</v>
      </c>
      <c r="AE37" s="14">
        <v>7.0000000000000007E-2</v>
      </c>
      <c r="AF37" s="14">
        <v>0.19</v>
      </c>
    </row>
    <row r="38" spans="1:32">
      <c r="A38" s="19"/>
      <c r="B38" s="11" t="s">
        <v>1347</v>
      </c>
      <c r="C38" s="12">
        <v>893</v>
      </c>
      <c r="D38" s="12">
        <v>42</v>
      </c>
      <c r="E38" s="12">
        <v>56</v>
      </c>
      <c r="F38" s="12">
        <v>41</v>
      </c>
      <c r="G38" s="12">
        <v>17</v>
      </c>
      <c r="H38" s="12">
        <v>16</v>
      </c>
      <c r="I38" s="12">
        <v>22</v>
      </c>
      <c r="J38" s="12">
        <v>6</v>
      </c>
      <c r="K38" s="12">
        <v>60</v>
      </c>
      <c r="L38" s="12">
        <v>25</v>
      </c>
      <c r="M38" s="12">
        <v>58</v>
      </c>
      <c r="N38" s="12">
        <v>25</v>
      </c>
      <c r="O38" s="12">
        <v>37</v>
      </c>
      <c r="P38" s="12">
        <v>42</v>
      </c>
      <c r="Q38" s="12">
        <v>26</v>
      </c>
      <c r="R38" s="12">
        <v>30</v>
      </c>
      <c r="S38" s="12">
        <v>39</v>
      </c>
      <c r="T38" s="12">
        <v>46</v>
      </c>
      <c r="U38" s="12">
        <v>19</v>
      </c>
      <c r="V38" s="12">
        <v>55</v>
      </c>
      <c r="W38" s="12">
        <v>15</v>
      </c>
      <c r="X38" s="12">
        <v>19</v>
      </c>
      <c r="Y38" s="12">
        <v>31</v>
      </c>
      <c r="Z38" s="12">
        <v>84</v>
      </c>
      <c r="AA38" s="12">
        <v>38</v>
      </c>
      <c r="AB38" s="12">
        <v>42</v>
      </c>
      <c r="AC38" s="12">
        <v>45</v>
      </c>
      <c r="AD38" s="12">
        <v>51</v>
      </c>
      <c r="AE38" s="12">
        <v>28</v>
      </c>
      <c r="AF38" s="12">
        <v>36</v>
      </c>
    </row>
    <row r="39" spans="1:32">
      <c r="A39" s="19"/>
      <c r="B39" s="13" t="s">
        <v>1348</v>
      </c>
      <c r="C39" s="14">
        <v>0.03</v>
      </c>
      <c r="D39" s="14">
        <v>0.04</v>
      </c>
      <c r="E39" s="14">
        <v>0.05</v>
      </c>
      <c r="F39" s="14">
        <v>0.04</v>
      </c>
      <c r="G39" s="14">
        <v>0.02</v>
      </c>
      <c r="H39" s="14">
        <v>0.01</v>
      </c>
      <c r="I39" s="14">
        <v>0.01</v>
      </c>
      <c r="J39" s="14">
        <v>0.02</v>
      </c>
      <c r="K39" s="14">
        <v>0.06</v>
      </c>
      <c r="L39" s="14">
        <v>0.02</v>
      </c>
      <c r="M39" s="14">
        <v>0.06</v>
      </c>
      <c r="N39" s="14">
        <v>0.02</v>
      </c>
      <c r="O39" s="14">
        <v>0.04</v>
      </c>
      <c r="P39" s="14">
        <v>0.04</v>
      </c>
      <c r="Q39" s="14">
        <v>0.02</v>
      </c>
      <c r="R39" s="14">
        <v>0.06</v>
      </c>
      <c r="S39" s="14">
        <v>0.04</v>
      </c>
      <c r="T39" s="14">
        <v>0.05</v>
      </c>
      <c r="U39" s="14">
        <v>0.04</v>
      </c>
      <c r="V39" s="14">
        <v>0.05</v>
      </c>
      <c r="W39" s="14">
        <v>0.03</v>
      </c>
      <c r="X39" s="14">
        <v>0.02</v>
      </c>
      <c r="Y39" s="14">
        <v>0.03</v>
      </c>
      <c r="Z39" s="14">
        <v>0.08</v>
      </c>
      <c r="AA39" s="14">
        <v>0.04</v>
      </c>
      <c r="AB39" s="14">
        <v>0.04</v>
      </c>
      <c r="AC39" s="14">
        <v>0.04</v>
      </c>
      <c r="AD39" s="14">
        <v>0.05</v>
      </c>
      <c r="AE39" s="14">
        <v>0.03</v>
      </c>
      <c r="AF39" s="14">
        <v>0.04</v>
      </c>
    </row>
    <row r="40" spans="1:32">
      <c r="A40" s="19"/>
      <c r="B40" s="11" t="s">
        <v>1349</v>
      </c>
      <c r="C40" s="12">
        <v>1800</v>
      </c>
      <c r="D40" s="12">
        <v>78</v>
      </c>
      <c r="E40" s="12">
        <v>69</v>
      </c>
      <c r="F40" s="12">
        <v>44</v>
      </c>
      <c r="G40" s="12">
        <v>68</v>
      </c>
      <c r="H40" s="12">
        <v>73</v>
      </c>
      <c r="I40" s="12">
        <v>99</v>
      </c>
      <c r="J40" s="12">
        <v>26</v>
      </c>
      <c r="K40" s="12">
        <v>62</v>
      </c>
      <c r="L40" s="12">
        <v>83</v>
      </c>
      <c r="M40" s="12">
        <v>77</v>
      </c>
      <c r="N40" s="12">
        <v>69</v>
      </c>
      <c r="O40" s="12">
        <v>90</v>
      </c>
      <c r="P40" s="12">
        <v>89</v>
      </c>
      <c r="Q40" s="12">
        <v>49</v>
      </c>
      <c r="R40" s="12">
        <v>37</v>
      </c>
      <c r="S40" s="12">
        <v>106</v>
      </c>
      <c r="T40" s="12">
        <v>71</v>
      </c>
      <c r="U40" s="12">
        <v>46</v>
      </c>
      <c r="V40" s="12">
        <v>50</v>
      </c>
      <c r="W40" s="12">
        <v>23</v>
      </c>
      <c r="X40" s="12">
        <v>69</v>
      </c>
      <c r="Y40" s="12">
        <v>81</v>
      </c>
      <c r="Z40" s="12">
        <v>58</v>
      </c>
      <c r="AA40" s="12">
        <v>103</v>
      </c>
      <c r="AB40" s="12">
        <v>61</v>
      </c>
      <c r="AC40" s="12">
        <v>72</v>
      </c>
      <c r="AD40" s="12">
        <v>105</v>
      </c>
      <c r="AE40" s="12">
        <v>80</v>
      </c>
      <c r="AF40" s="12">
        <v>70</v>
      </c>
    </row>
    <row r="41" spans="1:32">
      <c r="A41" s="19"/>
      <c r="B41" s="13" t="s">
        <v>1350</v>
      </c>
      <c r="C41" s="14">
        <v>7.0000000000000007E-2</v>
      </c>
      <c r="D41" s="14">
        <v>0.08</v>
      </c>
      <c r="E41" s="14">
        <v>7.0000000000000007E-2</v>
      </c>
      <c r="F41" s="14">
        <v>0.04</v>
      </c>
      <c r="G41" s="14">
        <v>7.0000000000000007E-2</v>
      </c>
      <c r="H41" s="14">
        <v>0.06</v>
      </c>
      <c r="I41" s="14">
        <v>7.0000000000000007E-2</v>
      </c>
      <c r="J41" s="14">
        <v>0.09</v>
      </c>
      <c r="K41" s="14">
        <v>0.06</v>
      </c>
      <c r="L41" s="14">
        <v>0.08</v>
      </c>
      <c r="M41" s="14">
        <v>0.08</v>
      </c>
      <c r="N41" s="14">
        <v>7.0000000000000007E-2</v>
      </c>
      <c r="O41" s="14">
        <v>0.09</v>
      </c>
      <c r="P41" s="14">
        <v>0.09</v>
      </c>
      <c r="Q41" s="14">
        <v>0.05</v>
      </c>
      <c r="R41" s="14">
        <v>7.0000000000000007E-2</v>
      </c>
      <c r="S41" s="14">
        <v>0.11</v>
      </c>
      <c r="T41" s="14">
        <v>7.0000000000000007E-2</v>
      </c>
      <c r="U41" s="14">
        <v>0.09</v>
      </c>
      <c r="V41" s="14">
        <v>0.05</v>
      </c>
      <c r="W41" s="14">
        <v>0.05</v>
      </c>
      <c r="X41" s="14">
        <v>7.0000000000000007E-2</v>
      </c>
      <c r="Y41" s="14">
        <v>0.08</v>
      </c>
      <c r="Z41" s="14">
        <v>0.06</v>
      </c>
      <c r="AA41" s="14">
        <v>0.1</v>
      </c>
      <c r="AB41" s="14">
        <v>0.06</v>
      </c>
      <c r="AC41" s="14">
        <v>7.0000000000000007E-2</v>
      </c>
      <c r="AD41" s="14">
        <v>0.11</v>
      </c>
      <c r="AE41" s="14">
        <v>0.08</v>
      </c>
      <c r="AF41" s="14">
        <v>7.0000000000000007E-2</v>
      </c>
    </row>
    <row r="42" spans="1:32">
      <c r="A42" s="19"/>
      <c r="B42" s="11" t="s">
        <v>1351</v>
      </c>
      <c r="C42" s="12">
        <v>468</v>
      </c>
      <c r="D42" s="12">
        <v>12</v>
      </c>
      <c r="E42" s="12">
        <v>23</v>
      </c>
      <c r="F42" s="12">
        <v>21</v>
      </c>
      <c r="G42" s="12">
        <v>9</v>
      </c>
      <c r="H42" s="12">
        <v>22</v>
      </c>
      <c r="I42" s="12">
        <v>32</v>
      </c>
      <c r="J42" s="12">
        <v>10</v>
      </c>
      <c r="K42" s="12">
        <v>21</v>
      </c>
      <c r="L42" s="12">
        <v>15</v>
      </c>
      <c r="M42" s="12">
        <v>3</v>
      </c>
      <c r="N42" s="12">
        <v>9</v>
      </c>
      <c r="O42" s="12">
        <v>20</v>
      </c>
      <c r="P42" s="12">
        <v>37</v>
      </c>
      <c r="Q42" s="12">
        <v>13</v>
      </c>
      <c r="R42" s="12">
        <v>9</v>
      </c>
      <c r="S42" s="12">
        <v>13</v>
      </c>
      <c r="T42" s="12">
        <v>15</v>
      </c>
      <c r="U42" s="12">
        <v>4</v>
      </c>
      <c r="V42" s="12">
        <v>34</v>
      </c>
      <c r="W42" s="12">
        <v>13</v>
      </c>
      <c r="X42" s="12">
        <v>9</v>
      </c>
      <c r="Y42" s="12">
        <v>22</v>
      </c>
      <c r="Z42" s="12">
        <v>19</v>
      </c>
      <c r="AA42" s="12">
        <v>15</v>
      </c>
      <c r="AB42" s="12">
        <v>52</v>
      </c>
      <c r="AC42" s="12">
        <v>10</v>
      </c>
      <c r="AD42" s="12">
        <v>28</v>
      </c>
      <c r="AE42" s="12">
        <v>8</v>
      </c>
      <c r="AF42" s="12">
        <v>9</v>
      </c>
    </row>
    <row r="43" spans="1:32">
      <c r="A43" s="19"/>
      <c r="B43" s="13" t="s">
        <v>1352</v>
      </c>
      <c r="C43" s="14">
        <v>0.02</v>
      </c>
      <c r="D43" s="14">
        <v>0.01</v>
      </c>
      <c r="E43" s="14">
        <v>0.02</v>
      </c>
      <c r="F43" s="14">
        <v>0.02</v>
      </c>
      <c r="G43" s="14">
        <v>0.01</v>
      </c>
      <c r="H43" s="14">
        <v>0.02</v>
      </c>
      <c r="I43" s="14">
        <v>0.02</v>
      </c>
      <c r="J43" s="14">
        <v>0.03</v>
      </c>
      <c r="K43" s="14">
        <v>0.02</v>
      </c>
      <c r="L43" s="14">
        <v>0.01</v>
      </c>
      <c r="M43" s="15" t="s">
        <v>375</v>
      </c>
      <c r="N43" s="14">
        <v>0.01</v>
      </c>
      <c r="O43" s="14">
        <v>0.02</v>
      </c>
      <c r="P43" s="14">
        <v>0.04</v>
      </c>
      <c r="Q43" s="14">
        <v>0.01</v>
      </c>
      <c r="R43" s="14">
        <v>0.02</v>
      </c>
      <c r="S43" s="14">
        <v>0.01</v>
      </c>
      <c r="T43" s="14">
        <v>0.01</v>
      </c>
      <c r="U43" s="14">
        <v>0.01</v>
      </c>
      <c r="V43" s="14">
        <v>0.03</v>
      </c>
      <c r="W43" s="14">
        <v>0.03</v>
      </c>
      <c r="X43" s="14">
        <v>0.01</v>
      </c>
      <c r="Y43" s="14">
        <v>0.02</v>
      </c>
      <c r="Z43" s="14">
        <v>0.02</v>
      </c>
      <c r="AA43" s="14">
        <v>0.01</v>
      </c>
      <c r="AB43" s="14">
        <v>0.05</v>
      </c>
      <c r="AC43" s="14">
        <v>0.01</v>
      </c>
      <c r="AD43" s="14">
        <v>0.03</v>
      </c>
      <c r="AE43" s="14">
        <v>0.01</v>
      </c>
      <c r="AF43" s="14">
        <v>0.01</v>
      </c>
    </row>
    <row r="44" spans="1:32">
      <c r="A44" s="19"/>
      <c r="B44" s="11" t="s">
        <v>1353</v>
      </c>
      <c r="C44" s="12">
        <v>2926</v>
      </c>
      <c r="D44" s="12">
        <v>41</v>
      </c>
      <c r="E44" s="12">
        <v>117</v>
      </c>
      <c r="F44" s="12">
        <v>78</v>
      </c>
      <c r="G44" s="12">
        <v>86</v>
      </c>
      <c r="H44" s="12">
        <v>99</v>
      </c>
      <c r="I44" s="12">
        <v>136</v>
      </c>
      <c r="J44" s="12">
        <v>37</v>
      </c>
      <c r="K44" s="12">
        <v>101</v>
      </c>
      <c r="L44" s="12">
        <v>103</v>
      </c>
      <c r="M44" s="12">
        <v>73</v>
      </c>
      <c r="N44" s="12">
        <v>181</v>
      </c>
      <c r="O44" s="12">
        <v>86</v>
      </c>
      <c r="P44" s="12">
        <v>140</v>
      </c>
      <c r="Q44" s="12">
        <v>88</v>
      </c>
      <c r="R44" s="12">
        <v>29</v>
      </c>
      <c r="S44" s="12">
        <v>102</v>
      </c>
      <c r="T44" s="12">
        <v>113</v>
      </c>
      <c r="U44" s="12">
        <v>29</v>
      </c>
      <c r="V44" s="12">
        <v>184</v>
      </c>
      <c r="W44" s="12">
        <v>22</v>
      </c>
      <c r="X44" s="12">
        <v>15</v>
      </c>
      <c r="Y44" s="12">
        <v>142</v>
      </c>
      <c r="Z44" s="12">
        <v>200</v>
      </c>
      <c r="AA44" s="12">
        <v>163</v>
      </c>
      <c r="AB44" s="12">
        <v>212</v>
      </c>
      <c r="AC44" s="12">
        <v>79</v>
      </c>
      <c r="AD44" s="12">
        <v>75</v>
      </c>
      <c r="AE44" s="12">
        <v>74</v>
      </c>
      <c r="AF44" s="12">
        <v>45</v>
      </c>
    </row>
    <row r="45" spans="1:32">
      <c r="A45" s="19"/>
      <c r="B45" s="13" t="s">
        <v>1354</v>
      </c>
      <c r="C45" s="14">
        <v>0.11</v>
      </c>
      <c r="D45" s="14">
        <v>0.04</v>
      </c>
      <c r="E45" s="14">
        <v>0.11</v>
      </c>
      <c r="F45" s="14">
        <v>7.0000000000000007E-2</v>
      </c>
      <c r="G45" s="14">
        <v>0.08</v>
      </c>
      <c r="H45" s="14">
        <v>0.08</v>
      </c>
      <c r="I45" s="14">
        <v>0.09</v>
      </c>
      <c r="J45" s="14">
        <v>0.12</v>
      </c>
      <c r="K45" s="14">
        <v>0.1</v>
      </c>
      <c r="L45" s="14">
        <v>0.1</v>
      </c>
      <c r="M45" s="14">
        <v>7.0000000000000007E-2</v>
      </c>
      <c r="N45" s="14">
        <v>0.18</v>
      </c>
      <c r="O45" s="14">
        <v>0.09</v>
      </c>
      <c r="P45" s="14">
        <v>0.14000000000000001</v>
      </c>
      <c r="Q45" s="14">
        <v>0.09</v>
      </c>
      <c r="R45" s="14">
        <v>0.06</v>
      </c>
      <c r="S45" s="14">
        <v>0.1</v>
      </c>
      <c r="T45" s="14">
        <v>0.11</v>
      </c>
      <c r="U45" s="14">
        <v>0.06</v>
      </c>
      <c r="V45" s="14">
        <v>0.18</v>
      </c>
      <c r="W45" s="14">
        <v>0.04</v>
      </c>
      <c r="X45" s="14">
        <v>0.01</v>
      </c>
      <c r="Y45" s="14">
        <v>0.14000000000000001</v>
      </c>
      <c r="Z45" s="14">
        <v>0.2</v>
      </c>
      <c r="AA45" s="14">
        <v>0.16</v>
      </c>
      <c r="AB45" s="14">
        <v>0.2</v>
      </c>
      <c r="AC45" s="14">
        <v>0.08</v>
      </c>
      <c r="AD45" s="14">
        <v>0.08</v>
      </c>
      <c r="AE45" s="14">
        <v>7.0000000000000007E-2</v>
      </c>
      <c r="AF45" s="14">
        <v>0.04</v>
      </c>
    </row>
    <row r="46" spans="1:32">
      <c r="A46" s="19"/>
      <c r="B46" s="11" t="s">
        <v>1355</v>
      </c>
      <c r="C46" s="12">
        <v>747</v>
      </c>
      <c r="D46" s="12">
        <v>26</v>
      </c>
      <c r="E46" s="12">
        <v>63</v>
      </c>
      <c r="F46" s="12">
        <v>14</v>
      </c>
      <c r="G46" s="12">
        <v>60</v>
      </c>
      <c r="H46" s="12">
        <v>29</v>
      </c>
      <c r="I46" s="12">
        <v>40</v>
      </c>
      <c r="J46" s="12">
        <v>12</v>
      </c>
      <c r="K46" s="12">
        <v>14</v>
      </c>
      <c r="L46" s="12">
        <v>22</v>
      </c>
      <c r="M46" s="12">
        <v>39</v>
      </c>
      <c r="N46" s="12">
        <v>49</v>
      </c>
      <c r="O46" s="12">
        <v>19</v>
      </c>
      <c r="P46" s="12">
        <v>30</v>
      </c>
      <c r="Q46" s="12">
        <v>49</v>
      </c>
      <c r="R46" s="12">
        <v>4</v>
      </c>
      <c r="S46" s="12">
        <v>27</v>
      </c>
      <c r="T46" s="12">
        <v>11</v>
      </c>
      <c r="U46" s="12">
        <v>18</v>
      </c>
      <c r="V46" s="12">
        <v>26</v>
      </c>
      <c r="W46" s="12">
        <v>7</v>
      </c>
      <c r="X46" s="12">
        <v>8</v>
      </c>
      <c r="Y46" s="12">
        <v>32</v>
      </c>
      <c r="Z46" s="12">
        <v>1</v>
      </c>
      <c r="AA46" s="12">
        <v>39</v>
      </c>
      <c r="AB46" s="12">
        <v>33</v>
      </c>
      <c r="AC46" s="12">
        <v>29</v>
      </c>
      <c r="AD46" s="12">
        <v>10</v>
      </c>
      <c r="AE46" s="12">
        <v>5</v>
      </c>
      <c r="AF46" s="12">
        <v>15</v>
      </c>
    </row>
    <row r="47" spans="1:32">
      <c r="A47" s="19"/>
      <c r="B47" s="13" t="s">
        <v>1356</v>
      </c>
      <c r="C47" s="14">
        <v>0.03</v>
      </c>
      <c r="D47" s="14">
        <v>0.03</v>
      </c>
      <c r="E47" s="14">
        <v>0.06</v>
      </c>
      <c r="F47" s="14">
        <v>0.01</v>
      </c>
      <c r="G47" s="14">
        <v>0.06</v>
      </c>
      <c r="H47" s="14">
        <v>0.02</v>
      </c>
      <c r="I47" s="14">
        <v>0.03</v>
      </c>
      <c r="J47" s="14">
        <v>0.04</v>
      </c>
      <c r="K47" s="14">
        <v>0.01</v>
      </c>
      <c r="L47" s="14">
        <v>0.02</v>
      </c>
      <c r="M47" s="14">
        <v>0.04</v>
      </c>
      <c r="N47" s="14">
        <v>0.05</v>
      </c>
      <c r="O47" s="14">
        <v>0.02</v>
      </c>
      <c r="P47" s="14">
        <v>0.03</v>
      </c>
      <c r="Q47" s="14">
        <v>0.05</v>
      </c>
      <c r="R47" s="14">
        <v>0.01</v>
      </c>
      <c r="S47" s="14">
        <v>0.03</v>
      </c>
      <c r="T47" s="14">
        <v>0.01</v>
      </c>
      <c r="U47" s="14">
        <v>0.03</v>
      </c>
      <c r="V47" s="14">
        <v>0.03</v>
      </c>
      <c r="W47" s="14">
        <v>0.01</v>
      </c>
      <c r="X47" s="14">
        <v>0.01</v>
      </c>
      <c r="Y47" s="14">
        <v>0.03</v>
      </c>
      <c r="Z47" s="15" t="s">
        <v>375</v>
      </c>
      <c r="AA47" s="14">
        <v>0.04</v>
      </c>
      <c r="AB47" s="14">
        <v>0.03</v>
      </c>
      <c r="AC47" s="14">
        <v>0.03</v>
      </c>
      <c r="AD47" s="14">
        <v>0.01</v>
      </c>
      <c r="AE47" s="14">
        <v>0.01</v>
      </c>
      <c r="AF47" s="14">
        <v>0.02</v>
      </c>
    </row>
  </sheetData>
  <mergeCells count="9">
    <mergeCell ref="B4:F4"/>
    <mergeCell ref="A10:A47"/>
    <mergeCell ref="H3:L3"/>
    <mergeCell ref="C8:AF8"/>
    <mergeCell ref="B3:F3"/>
    <mergeCell ref="B5:F5"/>
    <mergeCell ref="H5:L5"/>
    <mergeCell ref="B10:B11"/>
    <mergeCell ref="H4:L4"/>
  </mergeCells>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279</v>
      </c>
      <c r="C3" s="17"/>
      <c r="D3" s="17"/>
      <c r="E3" s="17"/>
      <c r="F3" s="17"/>
      <c r="H3" s="17" t="s">
        <v>280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1357</v>
      </c>
      <c r="C12" s="12">
        <v>1926</v>
      </c>
      <c r="D12" s="12">
        <v>87</v>
      </c>
      <c r="E12" s="12">
        <v>74</v>
      </c>
      <c r="F12" s="12">
        <v>115</v>
      </c>
      <c r="G12" s="12">
        <v>62</v>
      </c>
      <c r="H12" s="12">
        <v>62</v>
      </c>
      <c r="I12" s="12">
        <v>79</v>
      </c>
      <c r="J12" s="12">
        <v>17</v>
      </c>
      <c r="K12" s="12">
        <v>99</v>
      </c>
      <c r="L12" s="12">
        <v>56</v>
      </c>
      <c r="M12" s="12">
        <v>158</v>
      </c>
      <c r="N12" s="12">
        <v>56</v>
      </c>
      <c r="O12" s="12">
        <v>62</v>
      </c>
      <c r="P12" s="12">
        <v>72</v>
      </c>
      <c r="Q12" s="12">
        <v>124</v>
      </c>
      <c r="R12" s="12">
        <v>46</v>
      </c>
      <c r="S12" s="12">
        <v>79</v>
      </c>
      <c r="T12" s="12">
        <v>81</v>
      </c>
      <c r="U12" s="12">
        <v>41</v>
      </c>
      <c r="V12" s="12">
        <v>68</v>
      </c>
      <c r="W12" s="12">
        <v>40</v>
      </c>
      <c r="X12" s="12">
        <v>73</v>
      </c>
      <c r="Y12" s="12">
        <v>68</v>
      </c>
      <c r="Z12" s="12">
        <v>73</v>
      </c>
      <c r="AA12" s="12">
        <v>78</v>
      </c>
      <c r="AB12" s="12">
        <v>35</v>
      </c>
      <c r="AC12" s="12">
        <v>92</v>
      </c>
      <c r="AD12" s="12">
        <v>97</v>
      </c>
      <c r="AE12" s="12">
        <v>81</v>
      </c>
      <c r="AF12" s="12">
        <v>63</v>
      </c>
    </row>
    <row r="13" spans="1:32">
      <c r="A13" s="19"/>
      <c r="B13" s="13" t="s">
        <v>1358</v>
      </c>
      <c r="C13" s="14">
        <v>7.0000000000000007E-2</v>
      </c>
      <c r="D13" s="14">
        <v>0.08</v>
      </c>
      <c r="E13" s="14">
        <v>7.0000000000000007E-2</v>
      </c>
      <c r="F13" s="14">
        <v>0.11</v>
      </c>
      <c r="G13" s="14">
        <v>0.06</v>
      </c>
      <c r="H13" s="14">
        <v>0.05</v>
      </c>
      <c r="I13" s="14">
        <v>0.05</v>
      </c>
      <c r="J13" s="14">
        <v>0.06</v>
      </c>
      <c r="K13" s="14">
        <v>0.1</v>
      </c>
      <c r="L13" s="14">
        <v>0.05</v>
      </c>
      <c r="M13" s="14">
        <v>0.16</v>
      </c>
      <c r="N13" s="14">
        <v>0.06</v>
      </c>
      <c r="O13" s="14">
        <v>0.06</v>
      </c>
      <c r="P13" s="14">
        <v>7.0000000000000007E-2</v>
      </c>
      <c r="Q13" s="14">
        <v>0.12</v>
      </c>
      <c r="R13" s="14">
        <v>0.09</v>
      </c>
      <c r="S13" s="14">
        <v>0.08</v>
      </c>
      <c r="T13" s="14">
        <v>0.08</v>
      </c>
      <c r="U13" s="14">
        <v>0.08</v>
      </c>
      <c r="V13" s="14">
        <v>7.0000000000000007E-2</v>
      </c>
      <c r="W13" s="14">
        <v>0.08</v>
      </c>
      <c r="X13" s="14">
        <v>7.0000000000000007E-2</v>
      </c>
      <c r="Y13" s="14">
        <v>7.0000000000000007E-2</v>
      </c>
      <c r="Z13" s="14">
        <v>7.0000000000000007E-2</v>
      </c>
      <c r="AA13" s="14">
        <v>0.08</v>
      </c>
      <c r="AB13" s="14">
        <v>0.03</v>
      </c>
      <c r="AC13" s="14">
        <v>0.09</v>
      </c>
      <c r="AD13" s="14">
        <v>0.09</v>
      </c>
      <c r="AE13" s="14">
        <v>0.08</v>
      </c>
      <c r="AF13" s="14">
        <v>0.06</v>
      </c>
    </row>
    <row r="14" spans="1:32">
      <c r="A14" s="19"/>
      <c r="B14" s="11" t="s">
        <v>1359</v>
      </c>
      <c r="C14" s="12">
        <v>12806</v>
      </c>
      <c r="D14" s="12">
        <v>437</v>
      </c>
      <c r="E14" s="12">
        <v>554</v>
      </c>
      <c r="F14" s="12">
        <v>533</v>
      </c>
      <c r="G14" s="12">
        <v>511</v>
      </c>
      <c r="H14" s="12">
        <v>593</v>
      </c>
      <c r="I14" s="12">
        <v>743</v>
      </c>
      <c r="J14" s="12">
        <v>150</v>
      </c>
      <c r="K14" s="12">
        <v>488</v>
      </c>
      <c r="L14" s="12">
        <v>582</v>
      </c>
      <c r="M14" s="12">
        <v>397</v>
      </c>
      <c r="N14" s="12">
        <v>488</v>
      </c>
      <c r="O14" s="12">
        <v>447</v>
      </c>
      <c r="P14" s="12">
        <v>519</v>
      </c>
      <c r="Q14" s="12">
        <v>454</v>
      </c>
      <c r="R14" s="12">
        <v>272</v>
      </c>
      <c r="S14" s="12">
        <v>496</v>
      </c>
      <c r="T14" s="12">
        <v>452</v>
      </c>
      <c r="U14" s="12">
        <v>276</v>
      </c>
      <c r="V14" s="12">
        <v>606</v>
      </c>
      <c r="W14" s="12">
        <v>281</v>
      </c>
      <c r="X14" s="12">
        <v>469</v>
      </c>
      <c r="Y14" s="12">
        <v>549</v>
      </c>
      <c r="Z14" s="12">
        <v>562</v>
      </c>
      <c r="AA14" s="12">
        <v>511</v>
      </c>
      <c r="AB14" s="12">
        <v>562</v>
      </c>
      <c r="AC14" s="12">
        <v>445</v>
      </c>
      <c r="AD14" s="12">
        <v>488</v>
      </c>
      <c r="AE14" s="12">
        <v>456</v>
      </c>
      <c r="AF14" s="12">
        <v>581</v>
      </c>
    </row>
    <row r="15" spans="1:32">
      <c r="A15" s="19"/>
      <c r="B15" s="13" t="s">
        <v>1360</v>
      </c>
      <c r="C15" s="14">
        <v>0.49</v>
      </c>
      <c r="D15" s="14">
        <v>0.43</v>
      </c>
      <c r="E15" s="14">
        <v>0.53</v>
      </c>
      <c r="F15" s="14">
        <v>0.5</v>
      </c>
      <c r="G15" s="14">
        <v>0.5</v>
      </c>
      <c r="H15" s="14">
        <v>0.48</v>
      </c>
      <c r="I15" s="14">
        <v>0.49</v>
      </c>
      <c r="J15" s="14">
        <v>0.5</v>
      </c>
      <c r="K15" s="14">
        <v>0.48</v>
      </c>
      <c r="L15" s="14">
        <v>0.57999999999999996</v>
      </c>
      <c r="M15" s="14">
        <v>0.39</v>
      </c>
      <c r="N15" s="14">
        <v>0.48</v>
      </c>
      <c r="O15" s="14">
        <v>0.45</v>
      </c>
      <c r="P15" s="14">
        <v>0.52</v>
      </c>
      <c r="Q15" s="14">
        <v>0.44</v>
      </c>
      <c r="R15" s="14">
        <v>0.55000000000000004</v>
      </c>
      <c r="S15" s="14">
        <v>0.49</v>
      </c>
      <c r="T15" s="14">
        <v>0.44</v>
      </c>
      <c r="U15" s="14">
        <v>0.54</v>
      </c>
      <c r="V15" s="14">
        <v>0.59</v>
      </c>
      <c r="W15" s="14">
        <v>0.56000000000000005</v>
      </c>
      <c r="X15" s="14">
        <v>0.47</v>
      </c>
      <c r="Y15" s="14">
        <v>0.55000000000000004</v>
      </c>
      <c r="Z15" s="14">
        <v>0.55000000000000004</v>
      </c>
      <c r="AA15" s="14">
        <v>0.49</v>
      </c>
      <c r="AB15" s="14">
        <v>0.54</v>
      </c>
      <c r="AC15" s="14">
        <v>0.44</v>
      </c>
      <c r="AD15" s="14">
        <v>0.49</v>
      </c>
      <c r="AE15" s="14">
        <v>0.46</v>
      </c>
      <c r="AF15" s="14">
        <v>0.56000000000000005</v>
      </c>
    </row>
    <row r="16" spans="1:32">
      <c r="A16" s="19"/>
      <c r="B16" s="11" t="s">
        <v>1361</v>
      </c>
      <c r="C16" s="12">
        <v>11720</v>
      </c>
      <c r="D16" s="12">
        <v>497</v>
      </c>
      <c r="E16" s="12">
        <v>418</v>
      </c>
      <c r="F16" s="12">
        <v>417</v>
      </c>
      <c r="G16" s="12">
        <v>442</v>
      </c>
      <c r="H16" s="12">
        <v>575</v>
      </c>
      <c r="I16" s="12">
        <v>705</v>
      </c>
      <c r="J16" s="12">
        <v>130</v>
      </c>
      <c r="K16" s="12">
        <v>419</v>
      </c>
      <c r="L16" s="12">
        <v>369</v>
      </c>
      <c r="M16" s="12">
        <v>452</v>
      </c>
      <c r="N16" s="12">
        <v>467</v>
      </c>
      <c r="O16" s="12">
        <v>495</v>
      </c>
      <c r="P16" s="12">
        <v>412</v>
      </c>
      <c r="Q16" s="12">
        <v>453</v>
      </c>
      <c r="R16" s="12">
        <v>182</v>
      </c>
      <c r="S16" s="12">
        <v>430</v>
      </c>
      <c r="T16" s="12">
        <v>490</v>
      </c>
      <c r="U16" s="12">
        <v>190</v>
      </c>
      <c r="V16" s="12">
        <v>352</v>
      </c>
      <c r="W16" s="12">
        <v>180</v>
      </c>
      <c r="X16" s="12">
        <v>468</v>
      </c>
      <c r="Y16" s="12">
        <v>386</v>
      </c>
      <c r="Z16" s="12">
        <v>381</v>
      </c>
      <c r="AA16" s="12">
        <v>448</v>
      </c>
      <c r="AB16" s="12">
        <v>444</v>
      </c>
      <c r="AC16" s="12">
        <v>468</v>
      </c>
      <c r="AD16" s="12">
        <v>419</v>
      </c>
      <c r="AE16" s="12">
        <v>464</v>
      </c>
      <c r="AF16" s="12">
        <v>387</v>
      </c>
    </row>
    <row r="17" spans="1:32">
      <c r="A17" s="19"/>
      <c r="B17" s="13" t="s">
        <v>1362</v>
      </c>
      <c r="C17" s="14">
        <v>0.44</v>
      </c>
      <c r="D17" s="14">
        <v>0.49</v>
      </c>
      <c r="E17" s="14">
        <v>0.4</v>
      </c>
      <c r="F17" s="14">
        <v>0.39</v>
      </c>
      <c r="G17" s="14">
        <v>0.44</v>
      </c>
      <c r="H17" s="14">
        <v>0.47</v>
      </c>
      <c r="I17" s="14">
        <v>0.46</v>
      </c>
      <c r="J17" s="14">
        <v>0.44</v>
      </c>
      <c r="K17" s="14">
        <v>0.42</v>
      </c>
      <c r="L17" s="14">
        <v>0.37</v>
      </c>
      <c r="M17" s="14">
        <v>0.45</v>
      </c>
      <c r="N17" s="14">
        <v>0.46</v>
      </c>
      <c r="O17" s="14">
        <v>0.49</v>
      </c>
      <c r="P17" s="14">
        <v>0.41</v>
      </c>
      <c r="Q17" s="14">
        <v>0.44</v>
      </c>
      <c r="R17" s="14">
        <v>0.36</v>
      </c>
      <c r="S17" s="14">
        <v>0.43</v>
      </c>
      <c r="T17" s="14">
        <v>0.48</v>
      </c>
      <c r="U17" s="14">
        <v>0.38</v>
      </c>
      <c r="V17" s="14">
        <v>0.34</v>
      </c>
      <c r="W17" s="14">
        <v>0.36</v>
      </c>
      <c r="X17" s="14">
        <v>0.46</v>
      </c>
      <c r="Y17" s="14">
        <v>0.38</v>
      </c>
      <c r="Z17" s="14">
        <v>0.38</v>
      </c>
      <c r="AA17" s="14">
        <v>0.43</v>
      </c>
      <c r="AB17" s="14">
        <v>0.43</v>
      </c>
      <c r="AC17" s="14">
        <v>0.47</v>
      </c>
      <c r="AD17" s="14">
        <v>0.42</v>
      </c>
      <c r="AE17" s="14">
        <v>0.46</v>
      </c>
      <c r="AF17" s="14">
        <v>0.38</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281</v>
      </c>
      <c r="C3" s="17"/>
      <c r="D3" s="17"/>
      <c r="E3" s="17"/>
      <c r="F3" s="17"/>
      <c r="H3" s="17" t="s">
        <v>282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1357</v>
      </c>
      <c r="C12" s="12">
        <v>1926</v>
      </c>
      <c r="D12" s="12">
        <v>87</v>
      </c>
      <c r="E12" s="12">
        <v>74</v>
      </c>
      <c r="F12" s="12">
        <v>115</v>
      </c>
      <c r="G12" s="12">
        <v>62</v>
      </c>
      <c r="H12" s="12">
        <v>62</v>
      </c>
      <c r="I12" s="12">
        <v>79</v>
      </c>
      <c r="J12" s="12">
        <v>17</v>
      </c>
      <c r="K12" s="12">
        <v>99</v>
      </c>
      <c r="L12" s="12">
        <v>56</v>
      </c>
      <c r="M12" s="12">
        <v>158</v>
      </c>
      <c r="N12" s="12">
        <v>56</v>
      </c>
      <c r="O12" s="12">
        <v>62</v>
      </c>
      <c r="P12" s="12">
        <v>72</v>
      </c>
      <c r="Q12" s="12">
        <v>124</v>
      </c>
      <c r="R12" s="12">
        <v>46</v>
      </c>
      <c r="S12" s="12">
        <v>79</v>
      </c>
      <c r="T12" s="12">
        <v>81</v>
      </c>
      <c r="U12" s="12">
        <v>41</v>
      </c>
      <c r="V12" s="12">
        <v>68</v>
      </c>
      <c r="W12" s="12">
        <v>40</v>
      </c>
      <c r="X12" s="12">
        <v>73</v>
      </c>
      <c r="Y12" s="12">
        <v>68</v>
      </c>
      <c r="Z12" s="12">
        <v>73</v>
      </c>
      <c r="AA12" s="12">
        <v>78</v>
      </c>
      <c r="AB12" s="12">
        <v>35</v>
      </c>
      <c r="AC12" s="12">
        <v>92</v>
      </c>
      <c r="AD12" s="12">
        <v>97</v>
      </c>
      <c r="AE12" s="12">
        <v>81</v>
      </c>
      <c r="AF12" s="12">
        <v>63</v>
      </c>
    </row>
    <row r="13" spans="1:32">
      <c r="A13" s="19"/>
      <c r="B13" s="13" t="s">
        <v>1358</v>
      </c>
      <c r="C13" s="14">
        <v>7.0000000000000007E-2</v>
      </c>
      <c r="D13" s="14">
        <v>0.09</v>
      </c>
      <c r="E13" s="14">
        <v>7.0000000000000007E-2</v>
      </c>
      <c r="F13" s="14">
        <v>0.11</v>
      </c>
      <c r="G13" s="14">
        <v>0.06</v>
      </c>
      <c r="H13" s="14">
        <v>0.05</v>
      </c>
      <c r="I13" s="14">
        <v>0.05</v>
      </c>
      <c r="J13" s="14">
        <v>0.06</v>
      </c>
      <c r="K13" s="14">
        <v>0.1</v>
      </c>
      <c r="L13" s="14">
        <v>0.06</v>
      </c>
      <c r="M13" s="14">
        <v>0.16</v>
      </c>
      <c r="N13" s="14">
        <v>0.06</v>
      </c>
      <c r="O13" s="14">
        <v>0.06</v>
      </c>
      <c r="P13" s="14">
        <v>7.0000000000000007E-2</v>
      </c>
      <c r="Q13" s="14">
        <v>0.12</v>
      </c>
      <c r="R13" s="14">
        <v>0.09</v>
      </c>
      <c r="S13" s="14">
        <v>0.08</v>
      </c>
      <c r="T13" s="14">
        <v>0.08</v>
      </c>
      <c r="U13" s="14">
        <v>0.08</v>
      </c>
      <c r="V13" s="14">
        <v>7.0000000000000007E-2</v>
      </c>
      <c r="W13" s="14">
        <v>0.08</v>
      </c>
      <c r="X13" s="14">
        <v>7.0000000000000007E-2</v>
      </c>
      <c r="Y13" s="14">
        <v>7.0000000000000007E-2</v>
      </c>
      <c r="Z13" s="14">
        <v>7.0000000000000007E-2</v>
      </c>
      <c r="AA13" s="14">
        <v>0.08</v>
      </c>
      <c r="AB13" s="14">
        <v>0.03</v>
      </c>
      <c r="AC13" s="14">
        <v>0.09</v>
      </c>
      <c r="AD13" s="14">
        <v>0.1</v>
      </c>
      <c r="AE13" s="14">
        <v>0.08</v>
      </c>
      <c r="AF13" s="14">
        <v>0.06</v>
      </c>
    </row>
    <row r="14" spans="1:32">
      <c r="A14" s="19"/>
      <c r="B14" s="11" t="s">
        <v>1363</v>
      </c>
      <c r="C14" s="12">
        <v>3426</v>
      </c>
      <c r="D14" s="12">
        <v>106</v>
      </c>
      <c r="E14" s="12">
        <v>89</v>
      </c>
      <c r="F14" s="12">
        <v>117</v>
      </c>
      <c r="G14" s="12">
        <v>146</v>
      </c>
      <c r="H14" s="12">
        <v>238</v>
      </c>
      <c r="I14" s="12">
        <v>279</v>
      </c>
      <c r="J14" s="12">
        <v>41</v>
      </c>
      <c r="K14" s="12">
        <v>168</v>
      </c>
      <c r="L14" s="12">
        <v>194</v>
      </c>
      <c r="M14" s="12">
        <v>42</v>
      </c>
      <c r="N14" s="12">
        <v>91</v>
      </c>
      <c r="O14" s="12">
        <v>141</v>
      </c>
      <c r="P14" s="12">
        <v>82</v>
      </c>
      <c r="Q14" s="12">
        <v>111</v>
      </c>
      <c r="R14" s="12">
        <v>77</v>
      </c>
      <c r="S14" s="12">
        <v>151</v>
      </c>
      <c r="T14" s="12">
        <v>150</v>
      </c>
      <c r="U14" s="12">
        <v>90</v>
      </c>
      <c r="V14" s="12">
        <v>91</v>
      </c>
      <c r="W14" s="12">
        <v>120</v>
      </c>
      <c r="X14" s="12">
        <v>198</v>
      </c>
      <c r="Y14" s="12">
        <v>142</v>
      </c>
      <c r="Z14" s="12">
        <v>99</v>
      </c>
      <c r="AA14" s="12">
        <v>105</v>
      </c>
      <c r="AB14" s="12">
        <v>68</v>
      </c>
      <c r="AC14" s="12">
        <v>130</v>
      </c>
      <c r="AD14" s="12">
        <v>117</v>
      </c>
      <c r="AE14" s="12">
        <v>192</v>
      </c>
      <c r="AF14" s="12">
        <v>214</v>
      </c>
    </row>
    <row r="15" spans="1:32">
      <c r="A15" s="19"/>
      <c r="B15" s="13" t="s">
        <v>1364</v>
      </c>
      <c r="C15" s="14">
        <v>0.13</v>
      </c>
      <c r="D15" s="14">
        <v>0.11</v>
      </c>
      <c r="E15" s="14">
        <v>0.09</v>
      </c>
      <c r="F15" s="14">
        <v>0.11</v>
      </c>
      <c r="G15" s="14">
        <v>0.14000000000000001</v>
      </c>
      <c r="H15" s="14">
        <v>0.19</v>
      </c>
      <c r="I15" s="14">
        <v>0.18</v>
      </c>
      <c r="J15" s="14">
        <v>0.14000000000000001</v>
      </c>
      <c r="K15" s="14">
        <v>0.17</v>
      </c>
      <c r="L15" s="14">
        <v>0.19</v>
      </c>
      <c r="M15" s="14">
        <v>0.04</v>
      </c>
      <c r="N15" s="14">
        <v>0.09</v>
      </c>
      <c r="O15" s="14">
        <v>0.14000000000000001</v>
      </c>
      <c r="P15" s="14">
        <v>0.08</v>
      </c>
      <c r="Q15" s="14">
        <v>0.11</v>
      </c>
      <c r="R15" s="14">
        <v>0.15</v>
      </c>
      <c r="S15" s="14">
        <v>0.15</v>
      </c>
      <c r="T15" s="14">
        <v>0.15</v>
      </c>
      <c r="U15" s="14">
        <v>0.18</v>
      </c>
      <c r="V15" s="14">
        <v>0.09</v>
      </c>
      <c r="W15" s="14">
        <v>0.24</v>
      </c>
      <c r="X15" s="14">
        <v>0.2</v>
      </c>
      <c r="Y15" s="14">
        <v>0.14000000000000001</v>
      </c>
      <c r="Z15" s="14">
        <v>0.1</v>
      </c>
      <c r="AA15" s="14">
        <v>0.1</v>
      </c>
      <c r="AB15" s="14">
        <v>7.0000000000000007E-2</v>
      </c>
      <c r="AC15" s="14">
        <v>0.13</v>
      </c>
      <c r="AD15" s="14">
        <v>0.12</v>
      </c>
      <c r="AE15" s="14">
        <v>0.19</v>
      </c>
      <c r="AF15" s="14">
        <v>0.21</v>
      </c>
    </row>
    <row r="16" spans="1:32">
      <c r="A16" s="19"/>
      <c r="B16" s="11" t="s">
        <v>1365</v>
      </c>
      <c r="C16" s="12">
        <v>3440</v>
      </c>
      <c r="D16" s="12">
        <v>174</v>
      </c>
      <c r="E16" s="12">
        <v>193</v>
      </c>
      <c r="F16" s="12">
        <v>259</v>
      </c>
      <c r="G16" s="12">
        <v>142</v>
      </c>
      <c r="H16" s="12">
        <v>132</v>
      </c>
      <c r="I16" s="12">
        <v>157</v>
      </c>
      <c r="J16" s="12">
        <v>24</v>
      </c>
      <c r="K16" s="12">
        <v>121</v>
      </c>
      <c r="L16" s="12">
        <v>165</v>
      </c>
      <c r="M16" s="12">
        <v>162</v>
      </c>
      <c r="N16" s="12">
        <v>89</v>
      </c>
      <c r="O16" s="12">
        <v>92</v>
      </c>
      <c r="P16" s="12">
        <v>141</v>
      </c>
      <c r="Q16" s="12">
        <v>144</v>
      </c>
      <c r="R16" s="12">
        <v>116</v>
      </c>
      <c r="S16" s="12">
        <v>97</v>
      </c>
      <c r="T16" s="12">
        <v>92</v>
      </c>
      <c r="U16" s="12">
        <v>90</v>
      </c>
      <c r="V16" s="12">
        <v>222</v>
      </c>
      <c r="W16" s="12">
        <v>97</v>
      </c>
      <c r="X16" s="12">
        <v>171</v>
      </c>
      <c r="Y16" s="12">
        <v>130</v>
      </c>
      <c r="Z16" s="12">
        <v>185</v>
      </c>
      <c r="AA16" s="12">
        <v>84</v>
      </c>
      <c r="AB16" s="12">
        <v>136</v>
      </c>
      <c r="AC16" s="12">
        <v>126</v>
      </c>
      <c r="AD16" s="12">
        <v>153</v>
      </c>
      <c r="AE16" s="12">
        <v>98</v>
      </c>
      <c r="AF16" s="12">
        <v>227</v>
      </c>
    </row>
    <row r="17" spans="1:32">
      <c r="A17" s="19"/>
      <c r="B17" s="13" t="s">
        <v>1366</v>
      </c>
      <c r="C17" s="14">
        <v>0.13</v>
      </c>
      <c r="D17" s="14">
        <v>0.17</v>
      </c>
      <c r="E17" s="14">
        <v>0.18</v>
      </c>
      <c r="F17" s="14">
        <v>0.24</v>
      </c>
      <c r="G17" s="14">
        <v>0.14000000000000001</v>
      </c>
      <c r="H17" s="14">
        <v>0.11</v>
      </c>
      <c r="I17" s="14">
        <v>0.1</v>
      </c>
      <c r="J17" s="14">
        <v>0.08</v>
      </c>
      <c r="K17" s="14">
        <v>0.12</v>
      </c>
      <c r="L17" s="14">
        <v>0.16</v>
      </c>
      <c r="M17" s="14">
        <v>0.16</v>
      </c>
      <c r="N17" s="14">
        <v>0.09</v>
      </c>
      <c r="O17" s="14">
        <v>0.09</v>
      </c>
      <c r="P17" s="14">
        <v>0.14000000000000001</v>
      </c>
      <c r="Q17" s="14">
        <v>0.14000000000000001</v>
      </c>
      <c r="R17" s="14">
        <v>0.23</v>
      </c>
      <c r="S17" s="14">
        <v>0.1</v>
      </c>
      <c r="T17" s="14">
        <v>0.09</v>
      </c>
      <c r="U17" s="14">
        <v>0.18</v>
      </c>
      <c r="V17" s="14">
        <v>0.22</v>
      </c>
      <c r="W17" s="14">
        <v>0.19</v>
      </c>
      <c r="X17" s="14">
        <v>0.17</v>
      </c>
      <c r="Y17" s="14">
        <v>0.13</v>
      </c>
      <c r="Z17" s="14">
        <v>0.18</v>
      </c>
      <c r="AA17" s="14">
        <v>0.08</v>
      </c>
      <c r="AB17" s="14">
        <v>0.13</v>
      </c>
      <c r="AC17" s="14">
        <v>0.12</v>
      </c>
      <c r="AD17" s="14">
        <v>0.15</v>
      </c>
      <c r="AE17" s="14">
        <v>0.1</v>
      </c>
      <c r="AF17" s="14">
        <v>0.22</v>
      </c>
    </row>
    <row r="18" spans="1:32">
      <c r="A18" s="19"/>
      <c r="B18" s="11" t="s">
        <v>1367</v>
      </c>
      <c r="C18" s="12">
        <v>5941</v>
      </c>
      <c r="D18" s="12">
        <v>156</v>
      </c>
      <c r="E18" s="12">
        <v>272</v>
      </c>
      <c r="F18" s="12">
        <v>157</v>
      </c>
      <c r="G18" s="12">
        <v>223</v>
      </c>
      <c r="H18" s="12">
        <v>222</v>
      </c>
      <c r="I18" s="12">
        <v>307</v>
      </c>
      <c r="J18" s="12">
        <v>85</v>
      </c>
      <c r="K18" s="12">
        <v>199</v>
      </c>
      <c r="L18" s="12">
        <v>223</v>
      </c>
      <c r="M18" s="12">
        <v>193</v>
      </c>
      <c r="N18" s="12">
        <v>308</v>
      </c>
      <c r="O18" s="12">
        <v>215</v>
      </c>
      <c r="P18" s="12">
        <v>296</v>
      </c>
      <c r="Q18" s="12">
        <v>198</v>
      </c>
      <c r="R18" s="12">
        <v>79</v>
      </c>
      <c r="S18" s="12">
        <v>248</v>
      </c>
      <c r="T18" s="12">
        <v>210</v>
      </c>
      <c r="U18" s="12">
        <v>96</v>
      </c>
      <c r="V18" s="12">
        <v>293</v>
      </c>
      <c r="W18" s="12">
        <v>64</v>
      </c>
      <c r="X18" s="12">
        <v>100</v>
      </c>
      <c r="Y18" s="12">
        <v>277</v>
      </c>
      <c r="Z18" s="12">
        <v>278</v>
      </c>
      <c r="AA18" s="12">
        <v>321</v>
      </c>
      <c r="AB18" s="12">
        <v>358</v>
      </c>
      <c r="AC18" s="12">
        <v>189</v>
      </c>
      <c r="AD18" s="12">
        <v>218</v>
      </c>
      <c r="AE18" s="12">
        <v>167</v>
      </c>
      <c r="AF18" s="12">
        <v>140</v>
      </c>
    </row>
    <row r="19" spans="1:32">
      <c r="A19" s="19"/>
      <c r="B19" s="13" t="s">
        <v>1368</v>
      </c>
      <c r="C19" s="14">
        <v>0.23</v>
      </c>
      <c r="D19" s="14">
        <v>0.15</v>
      </c>
      <c r="E19" s="14">
        <v>0.26</v>
      </c>
      <c r="F19" s="14">
        <v>0.15</v>
      </c>
      <c r="G19" s="14">
        <v>0.22</v>
      </c>
      <c r="H19" s="14">
        <v>0.18</v>
      </c>
      <c r="I19" s="14">
        <v>0.2</v>
      </c>
      <c r="J19" s="14">
        <v>0.28000000000000003</v>
      </c>
      <c r="K19" s="14">
        <v>0.2</v>
      </c>
      <c r="L19" s="14">
        <v>0.22</v>
      </c>
      <c r="M19" s="14">
        <v>0.19</v>
      </c>
      <c r="N19" s="14">
        <v>0.3</v>
      </c>
      <c r="O19" s="14">
        <v>0.21</v>
      </c>
      <c r="P19" s="14">
        <v>0.3</v>
      </c>
      <c r="Q19" s="14">
        <v>0.19</v>
      </c>
      <c r="R19" s="14">
        <v>0.16</v>
      </c>
      <c r="S19" s="14">
        <v>0.25</v>
      </c>
      <c r="T19" s="14">
        <v>0.2</v>
      </c>
      <c r="U19" s="14">
        <v>0.19</v>
      </c>
      <c r="V19" s="14">
        <v>0.28000000000000003</v>
      </c>
      <c r="W19" s="14">
        <v>0.13</v>
      </c>
      <c r="X19" s="14">
        <v>0.1</v>
      </c>
      <c r="Y19" s="14">
        <v>0.28000000000000003</v>
      </c>
      <c r="Z19" s="14">
        <v>0.27</v>
      </c>
      <c r="AA19" s="14">
        <v>0.31</v>
      </c>
      <c r="AB19" s="14">
        <v>0.34</v>
      </c>
      <c r="AC19" s="14">
        <v>0.19</v>
      </c>
      <c r="AD19" s="14">
        <v>0.22</v>
      </c>
      <c r="AE19" s="14">
        <v>0.17</v>
      </c>
      <c r="AF19" s="14">
        <v>0.14000000000000001</v>
      </c>
    </row>
    <row r="20" spans="1:32">
      <c r="A20" s="19"/>
      <c r="B20" s="11" t="s">
        <v>1369</v>
      </c>
      <c r="C20" s="12">
        <v>1068</v>
      </c>
      <c r="D20" s="12">
        <v>17</v>
      </c>
      <c r="E20" s="12">
        <v>30</v>
      </c>
      <c r="F20" s="12">
        <v>20</v>
      </c>
      <c r="G20" s="12">
        <v>4</v>
      </c>
      <c r="H20" s="12">
        <v>33</v>
      </c>
      <c r="I20" s="12">
        <v>35</v>
      </c>
      <c r="J20" s="12">
        <v>2</v>
      </c>
      <c r="K20" s="12">
        <v>37</v>
      </c>
      <c r="L20" s="12">
        <v>64</v>
      </c>
      <c r="M20" s="12">
        <v>77</v>
      </c>
      <c r="N20" s="12">
        <v>57</v>
      </c>
      <c r="O20" s="12">
        <v>36</v>
      </c>
      <c r="P20" s="12">
        <v>28</v>
      </c>
      <c r="Q20" s="12">
        <v>87</v>
      </c>
      <c r="R20" s="12">
        <v>22</v>
      </c>
      <c r="S20" s="12">
        <v>29</v>
      </c>
      <c r="T20" s="12">
        <v>42</v>
      </c>
      <c r="U20" s="12">
        <v>6</v>
      </c>
      <c r="V20" s="12">
        <v>12</v>
      </c>
      <c r="W20" s="12">
        <v>73</v>
      </c>
      <c r="X20" s="12">
        <v>18</v>
      </c>
      <c r="Y20" s="12">
        <v>29</v>
      </c>
      <c r="Z20" s="12">
        <v>32</v>
      </c>
      <c r="AA20" s="12">
        <v>22</v>
      </c>
      <c r="AB20" s="12">
        <v>75</v>
      </c>
      <c r="AC20" s="12">
        <v>10</v>
      </c>
      <c r="AD20" s="12">
        <v>44</v>
      </c>
      <c r="AE20" s="12">
        <v>8</v>
      </c>
      <c r="AF20" s="12">
        <v>2</v>
      </c>
    </row>
    <row r="21" spans="1:32">
      <c r="A21" s="19"/>
      <c r="B21" s="13" t="s">
        <v>1370</v>
      </c>
      <c r="C21" s="14">
        <v>0.04</v>
      </c>
      <c r="D21" s="14">
        <v>0.02</v>
      </c>
      <c r="E21" s="14">
        <v>0.03</v>
      </c>
      <c r="F21" s="14">
        <v>0.02</v>
      </c>
      <c r="G21" s="15" t="s">
        <v>375</v>
      </c>
      <c r="H21" s="14">
        <v>0.03</v>
      </c>
      <c r="I21" s="14">
        <v>0.02</v>
      </c>
      <c r="J21" s="14">
        <v>0.01</v>
      </c>
      <c r="K21" s="14">
        <v>0.03</v>
      </c>
      <c r="L21" s="14">
        <v>0.06</v>
      </c>
      <c r="M21" s="14">
        <v>0.08</v>
      </c>
      <c r="N21" s="14">
        <v>0.06</v>
      </c>
      <c r="O21" s="14">
        <v>0.04</v>
      </c>
      <c r="P21" s="14">
        <v>0.03</v>
      </c>
      <c r="Q21" s="14">
        <v>0.08</v>
      </c>
      <c r="R21" s="14">
        <v>0.05</v>
      </c>
      <c r="S21" s="14">
        <v>0.03</v>
      </c>
      <c r="T21" s="14">
        <v>0.04</v>
      </c>
      <c r="U21" s="14">
        <v>0.01</v>
      </c>
      <c r="V21" s="14">
        <v>0.01</v>
      </c>
      <c r="W21" s="14">
        <v>0.15</v>
      </c>
      <c r="X21" s="14">
        <v>0.02</v>
      </c>
      <c r="Y21" s="14">
        <v>0.03</v>
      </c>
      <c r="Z21" s="14">
        <v>0.03</v>
      </c>
      <c r="AA21" s="14">
        <v>0.02</v>
      </c>
      <c r="AB21" s="14">
        <v>7.0000000000000007E-2</v>
      </c>
      <c r="AC21" s="14">
        <v>0.01</v>
      </c>
      <c r="AD21" s="14">
        <v>0.04</v>
      </c>
      <c r="AE21" s="14">
        <v>0.01</v>
      </c>
      <c r="AF21" s="15" t="s">
        <v>375</v>
      </c>
    </row>
    <row r="22" spans="1:32">
      <c r="A22" s="19"/>
      <c r="B22" s="11" t="s">
        <v>1371</v>
      </c>
      <c r="C22" s="12">
        <v>1141</v>
      </c>
      <c r="D22" s="12">
        <v>75</v>
      </c>
      <c r="E22" s="12">
        <v>43</v>
      </c>
      <c r="F22" s="12">
        <v>43</v>
      </c>
      <c r="G22" s="12">
        <v>36</v>
      </c>
      <c r="H22" s="12">
        <v>48</v>
      </c>
      <c r="I22" s="12">
        <v>57</v>
      </c>
      <c r="J22" s="12">
        <v>9</v>
      </c>
      <c r="K22" s="12">
        <v>37</v>
      </c>
      <c r="L22" s="12">
        <v>39</v>
      </c>
      <c r="M22" s="12">
        <v>39</v>
      </c>
      <c r="N22" s="12">
        <v>87</v>
      </c>
      <c r="O22" s="12">
        <v>66</v>
      </c>
      <c r="P22" s="12">
        <v>34</v>
      </c>
      <c r="Q22" s="12">
        <v>19</v>
      </c>
      <c r="R22" s="12">
        <v>21</v>
      </c>
      <c r="S22" s="12">
        <v>50</v>
      </c>
      <c r="T22" s="12">
        <v>85</v>
      </c>
      <c r="U22" s="12">
        <v>17</v>
      </c>
      <c r="V22" s="12">
        <v>21</v>
      </c>
      <c r="W22" s="12">
        <v>4</v>
      </c>
      <c r="X22" s="12">
        <v>49</v>
      </c>
      <c r="Y22" s="12">
        <v>33</v>
      </c>
      <c r="Z22" s="12">
        <v>16</v>
      </c>
      <c r="AA22" s="12">
        <v>44</v>
      </c>
      <c r="AB22" s="12">
        <v>7</v>
      </c>
      <c r="AC22" s="12">
        <v>46</v>
      </c>
      <c r="AD22" s="12">
        <v>33</v>
      </c>
      <c r="AE22" s="12">
        <v>64</v>
      </c>
      <c r="AF22" s="12">
        <v>37</v>
      </c>
    </row>
    <row r="23" spans="1:32">
      <c r="A23" s="19"/>
      <c r="B23" s="13" t="s">
        <v>1372</v>
      </c>
      <c r="C23" s="14">
        <v>0.04</v>
      </c>
      <c r="D23" s="14">
        <v>7.0000000000000007E-2</v>
      </c>
      <c r="E23" s="14">
        <v>0.04</v>
      </c>
      <c r="F23" s="14">
        <v>0.04</v>
      </c>
      <c r="G23" s="14">
        <v>0.04</v>
      </c>
      <c r="H23" s="14">
        <v>0.04</v>
      </c>
      <c r="I23" s="14">
        <v>0.04</v>
      </c>
      <c r="J23" s="14">
        <v>0.03</v>
      </c>
      <c r="K23" s="14">
        <v>0.04</v>
      </c>
      <c r="L23" s="14">
        <v>0.04</v>
      </c>
      <c r="M23" s="14">
        <v>0.04</v>
      </c>
      <c r="N23" s="14">
        <v>0.09</v>
      </c>
      <c r="O23" s="14">
        <v>7.0000000000000007E-2</v>
      </c>
      <c r="P23" s="14">
        <v>0.03</v>
      </c>
      <c r="Q23" s="14">
        <v>0.02</v>
      </c>
      <c r="R23" s="14">
        <v>0.04</v>
      </c>
      <c r="S23" s="14">
        <v>0.05</v>
      </c>
      <c r="T23" s="14">
        <v>0.08</v>
      </c>
      <c r="U23" s="14">
        <v>0.03</v>
      </c>
      <c r="V23" s="14">
        <v>0.02</v>
      </c>
      <c r="W23" s="14">
        <v>0.01</v>
      </c>
      <c r="X23" s="14">
        <v>0.05</v>
      </c>
      <c r="Y23" s="14">
        <v>0.03</v>
      </c>
      <c r="Z23" s="14">
        <v>0.02</v>
      </c>
      <c r="AA23" s="14">
        <v>0.04</v>
      </c>
      <c r="AB23" s="14">
        <v>0.01</v>
      </c>
      <c r="AC23" s="14">
        <v>0.05</v>
      </c>
      <c r="AD23" s="14">
        <v>0.03</v>
      </c>
      <c r="AE23" s="14">
        <v>0.06</v>
      </c>
      <c r="AF23" s="14">
        <v>0.04</v>
      </c>
    </row>
    <row r="24" spans="1:32">
      <c r="A24" s="19"/>
      <c r="B24" s="11" t="s">
        <v>1373</v>
      </c>
      <c r="C24" s="12">
        <v>6938</v>
      </c>
      <c r="D24" s="12">
        <v>289</v>
      </c>
      <c r="E24" s="12">
        <v>273</v>
      </c>
      <c r="F24" s="12">
        <v>264</v>
      </c>
      <c r="G24" s="12">
        <v>291</v>
      </c>
      <c r="H24" s="12">
        <v>333</v>
      </c>
      <c r="I24" s="12">
        <v>433</v>
      </c>
      <c r="J24" s="12">
        <v>100</v>
      </c>
      <c r="K24" s="12">
        <v>237</v>
      </c>
      <c r="L24" s="12">
        <v>168</v>
      </c>
      <c r="M24" s="12">
        <v>262</v>
      </c>
      <c r="N24" s="12">
        <v>248</v>
      </c>
      <c r="O24" s="12">
        <v>294</v>
      </c>
      <c r="P24" s="12">
        <v>289</v>
      </c>
      <c r="Q24" s="12">
        <v>232</v>
      </c>
      <c r="R24" s="12">
        <v>100</v>
      </c>
      <c r="S24" s="12">
        <v>266</v>
      </c>
      <c r="T24" s="12">
        <v>275</v>
      </c>
      <c r="U24" s="12">
        <v>121</v>
      </c>
      <c r="V24" s="12">
        <v>251</v>
      </c>
      <c r="W24" s="12">
        <v>62</v>
      </c>
      <c r="X24" s="12">
        <v>254</v>
      </c>
      <c r="Y24" s="12">
        <v>245</v>
      </c>
      <c r="Z24" s="12">
        <v>264</v>
      </c>
      <c r="AA24" s="12">
        <v>278</v>
      </c>
      <c r="AB24" s="12">
        <v>274</v>
      </c>
      <c r="AC24" s="12">
        <v>312</v>
      </c>
      <c r="AD24" s="12">
        <v>244</v>
      </c>
      <c r="AE24" s="12">
        <v>289</v>
      </c>
      <c r="AF24" s="12">
        <v>273</v>
      </c>
    </row>
    <row r="25" spans="1:32">
      <c r="A25" s="19"/>
      <c r="B25" s="13" t="s">
        <v>1374</v>
      </c>
      <c r="C25" s="14">
        <v>0.26</v>
      </c>
      <c r="D25" s="14">
        <v>0.28000000000000003</v>
      </c>
      <c r="E25" s="14">
        <v>0.26</v>
      </c>
      <c r="F25" s="14">
        <v>0.25</v>
      </c>
      <c r="G25" s="14">
        <v>0.28999999999999998</v>
      </c>
      <c r="H25" s="14">
        <v>0.27</v>
      </c>
      <c r="I25" s="14">
        <v>0.28999999999999998</v>
      </c>
      <c r="J25" s="14">
        <v>0.34</v>
      </c>
      <c r="K25" s="14">
        <v>0.23</v>
      </c>
      <c r="L25" s="14">
        <v>0.17</v>
      </c>
      <c r="M25" s="14">
        <v>0.26</v>
      </c>
      <c r="N25" s="14">
        <v>0.24</v>
      </c>
      <c r="O25" s="14">
        <v>0.28999999999999998</v>
      </c>
      <c r="P25" s="14">
        <v>0.28999999999999998</v>
      </c>
      <c r="Q25" s="14">
        <v>0.23</v>
      </c>
      <c r="R25" s="14">
        <v>0.2</v>
      </c>
      <c r="S25" s="14">
        <v>0.26</v>
      </c>
      <c r="T25" s="14">
        <v>0.27</v>
      </c>
      <c r="U25" s="14">
        <v>0.24</v>
      </c>
      <c r="V25" s="14">
        <v>0.24</v>
      </c>
      <c r="W25" s="14">
        <v>0.12</v>
      </c>
      <c r="X25" s="14">
        <v>0.25</v>
      </c>
      <c r="Y25" s="14">
        <v>0.24</v>
      </c>
      <c r="Z25" s="14">
        <v>0.26</v>
      </c>
      <c r="AA25" s="14">
        <v>0.27</v>
      </c>
      <c r="AB25" s="14">
        <v>0.26</v>
      </c>
      <c r="AC25" s="14">
        <v>0.31</v>
      </c>
      <c r="AD25" s="14">
        <v>0.24</v>
      </c>
      <c r="AE25" s="14">
        <v>0.28999999999999998</v>
      </c>
      <c r="AF25" s="14">
        <v>0.26</v>
      </c>
    </row>
    <row r="26" spans="1:32">
      <c r="A26" s="19"/>
      <c r="B26" s="11" t="s">
        <v>1375</v>
      </c>
      <c r="C26" s="12">
        <v>2573</v>
      </c>
      <c r="D26" s="12">
        <v>115</v>
      </c>
      <c r="E26" s="12">
        <v>73</v>
      </c>
      <c r="F26" s="12">
        <v>90</v>
      </c>
      <c r="G26" s="12">
        <v>112</v>
      </c>
      <c r="H26" s="12">
        <v>161</v>
      </c>
      <c r="I26" s="12">
        <v>181</v>
      </c>
      <c r="J26" s="12">
        <v>20</v>
      </c>
      <c r="K26" s="12">
        <v>108</v>
      </c>
      <c r="L26" s="12">
        <v>98</v>
      </c>
      <c r="M26" s="12">
        <v>75</v>
      </c>
      <c r="N26" s="12">
        <v>76</v>
      </c>
      <c r="O26" s="12">
        <v>99</v>
      </c>
      <c r="P26" s="12">
        <v>61</v>
      </c>
      <c r="Q26" s="12">
        <v>116</v>
      </c>
      <c r="R26" s="12">
        <v>39</v>
      </c>
      <c r="S26" s="12">
        <v>84</v>
      </c>
      <c r="T26" s="12">
        <v>89</v>
      </c>
      <c r="U26" s="12">
        <v>46</v>
      </c>
      <c r="V26" s="12">
        <v>68</v>
      </c>
      <c r="W26" s="12">
        <v>42</v>
      </c>
      <c r="X26" s="12">
        <v>146</v>
      </c>
      <c r="Y26" s="12">
        <v>78</v>
      </c>
      <c r="Z26" s="12">
        <v>69</v>
      </c>
      <c r="AA26" s="12">
        <v>103</v>
      </c>
      <c r="AB26" s="12">
        <v>88</v>
      </c>
      <c r="AC26" s="12">
        <v>99</v>
      </c>
      <c r="AD26" s="12">
        <v>98</v>
      </c>
      <c r="AE26" s="12">
        <v>102</v>
      </c>
      <c r="AF26" s="12">
        <v>75</v>
      </c>
    </row>
    <row r="27" spans="1:32">
      <c r="A27" s="19"/>
      <c r="B27" s="13" t="s">
        <v>1376</v>
      </c>
      <c r="C27" s="14">
        <v>0.1</v>
      </c>
      <c r="D27" s="14">
        <v>0.11</v>
      </c>
      <c r="E27" s="14">
        <v>7.0000000000000007E-2</v>
      </c>
      <c r="F27" s="14">
        <v>0.08</v>
      </c>
      <c r="G27" s="14">
        <v>0.11</v>
      </c>
      <c r="H27" s="14">
        <v>0.13</v>
      </c>
      <c r="I27" s="14">
        <v>0.12</v>
      </c>
      <c r="J27" s="14">
        <v>0.06</v>
      </c>
      <c r="K27" s="14">
        <v>0.11</v>
      </c>
      <c r="L27" s="14">
        <v>0.1</v>
      </c>
      <c r="M27" s="14">
        <v>7.0000000000000007E-2</v>
      </c>
      <c r="N27" s="14">
        <v>7.0000000000000007E-2</v>
      </c>
      <c r="O27" s="14">
        <v>0.1</v>
      </c>
      <c r="P27" s="14">
        <v>0.06</v>
      </c>
      <c r="Q27" s="14">
        <v>0.11</v>
      </c>
      <c r="R27" s="14">
        <v>0.08</v>
      </c>
      <c r="S27" s="14">
        <v>0.08</v>
      </c>
      <c r="T27" s="14">
        <v>0.09</v>
      </c>
      <c r="U27" s="14">
        <v>0.09</v>
      </c>
      <c r="V27" s="14">
        <v>7.0000000000000007E-2</v>
      </c>
      <c r="W27" s="14">
        <v>0.08</v>
      </c>
      <c r="X27" s="14">
        <v>0.14000000000000001</v>
      </c>
      <c r="Y27" s="14">
        <v>0.08</v>
      </c>
      <c r="Z27" s="14">
        <v>7.0000000000000007E-2</v>
      </c>
      <c r="AA27" s="14">
        <v>0.1</v>
      </c>
      <c r="AB27" s="14">
        <v>0.09</v>
      </c>
      <c r="AC27" s="14">
        <v>0.1</v>
      </c>
      <c r="AD27" s="14">
        <v>0.1</v>
      </c>
      <c r="AE27" s="14">
        <v>0.1</v>
      </c>
      <c r="AF27" s="14">
        <v>7.0000000000000007E-2</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4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283</v>
      </c>
      <c r="C3" s="17"/>
      <c r="D3" s="17"/>
      <c r="E3" s="17"/>
      <c r="F3" s="17"/>
      <c r="H3" s="17" t="s">
        <v>284</v>
      </c>
      <c r="I3" s="17"/>
      <c r="J3" s="17"/>
      <c r="K3" s="17"/>
      <c r="L3" s="17"/>
    </row>
    <row r="4" spans="1:32" ht="27" customHeight="1">
      <c r="B4" s="17"/>
      <c r="C4" s="17"/>
      <c r="D4" s="17"/>
      <c r="E4" s="17"/>
      <c r="F4" s="17"/>
      <c r="H4" s="17"/>
      <c r="I4" s="17"/>
      <c r="J4" s="17"/>
      <c r="K4" s="17"/>
      <c r="L4" s="17"/>
    </row>
    <row r="5" spans="1:32" ht="12" customHeight="1">
      <c r="B5" s="17" t="s">
        <v>1377</v>
      </c>
      <c r="C5" s="17"/>
      <c r="D5" s="17"/>
      <c r="E5" s="17"/>
      <c r="F5" s="17"/>
      <c r="H5" s="17" t="s">
        <v>1378</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11720</v>
      </c>
      <c r="D10" s="10">
        <v>497</v>
      </c>
      <c r="E10" s="10">
        <v>418</v>
      </c>
      <c r="F10" s="10">
        <v>417</v>
      </c>
      <c r="G10" s="10">
        <v>442</v>
      </c>
      <c r="H10" s="10">
        <v>575</v>
      </c>
      <c r="I10" s="10">
        <v>705</v>
      </c>
      <c r="J10" s="10">
        <v>130</v>
      </c>
      <c r="K10" s="10">
        <v>419</v>
      </c>
      <c r="L10" s="10">
        <v>369</v>
      </c>
      <c r="M10" s="10">
        <v>452</v>
      </c>
      <c r="N10" s="10">
        <v>467</v>
      </c>
      <c r="O10" s="10">
        <v>495</v>
      </c>
      <c r="P10" s="10">
        <v>412</v>
      </c>
      <c r="Q10" s="10">
        <v>453</v>
      </c>
      <c r="R10" s="10">
        <v>182</v>
      </c>
      <c r="S10" s="10">
        <v>430</v>
      </c>
      <c r="T10" s="10">
        <v>490</v>
      </c>
      <c r="U10" s="10">
        <v>190</v>
      </c>
      <c r="V10" s="10">
        <v>352</v>
      </c>
      <c r="W10" s="10">
        <v>180</v>
      </c>
      <c r="X10" s="10">
        <v>468</v>
      </c>
      <c r="Y10" s="10">
        <v>386</v>
      </c>
      <c r="Z10" s="10">
        <v>381</v>
      </c>
      <c r="AA10" s="10">
        <v>448</v>
      </c>
      <c r="AB10" s="10">
        <v>444</v>
      </c>
      <c r="AC10" s="10">
        <v>468</v>
      </c>
      <c r="AD10" s="10">
        <v>419</v>
      </c>
      <c r="AE10" s="10">
        <v>464</v>
      </c>
      <c r="AF10" s="10">
        <v>387</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1329</v>
      </c>
      <c r="C12" s="12">
        <v>238</v>
      </c>
      <c r="D12" s="12">
        <v>3</v>
      </c>
      <c r="E12" s="12">
        <v>12</v>
      </c>
      <c r="F12" s="12">
        <v>4</v>
      </c>
      <c r="G12" s="12">
        <v>5</v>
      </c>
      <c r="H12" s="12">
        <v>5</v>
      </c>
      <c r="I12" s="12">
        <v>5</v>
      </c>
      <c r="J12" s="12">
        <v>0</v>
      </c>
      <c r="K12" s="12">
        <v>0</v>
      </c>
      <c r="L12" s="12">
        <v>2</v>
      </c>
      <c r="M12" s="12">
        <v>44</v>
      </c>
      <c r="N12" s="12">
        <v>8</v>
      </c>
      <c r="O12" s="12">
        <v>5</v>
      </c>
      <c r="P12" s="12">
        <v>7</v>
      </c>
      <c r="Q12" s="12">
        <v>18</v>
      </c>
      <c r="R12" s="12">
        <v>3</v>
      </c>
      <c r="S12" s="12">
        <v>2</v>
      </c>
      <c r="T12" s="12">
        <v>6</v>
      </c>
      <c r="U12" s="12">
        <v>1</v>
      </c>
      <c r="V12" s="12">
        <v>2</v>
      </c>
      <c r="W12" s="12">
        <v>1</v>
      </c>
      <c r="X12" s="12">
        <v>0</v>
      </c>
      <c r="Y12" s="12">
        <v>11</v>
      </c>
      <c r="Z12" s="12">
        <v>23</v>
      </c>
      <c r="AA12" s="12">
        <v>7</v>
      </c>
      <c r="AB12" s="12">
        <v>11</v>
      </c>
      <c r="AC12" s="12">
        <v>14</v>
      </c>
      <c r="AD12" s="12">
        <v>2</v>
      </c>
      <c r="AE12" s="12">
        <v>14</v>
      </c>
      <c r="AF12" s="12">
        <v>1</v>
      </c>
    </row>
    <row r="13" spans="1:32">
      <c r="A13" s="19"/>
      <c r="B13" s="13" t="s">
        <v>1330</v>
      </c>
      <c r="C13" s="14">
        <v>0.02</v>
      </c>
      <c r="D13" s="14">
        <v>0.01</v>
      </c>
      <c r="E13" s="14">
        <v>0.03</v>
      </c>
      <c r="F13" s="14">
        <v>0.01</v>
      </c>
      <c r="G13" s="14">
        <v>0.01</v>
      </c>
      <c r="H13" s="14">
        <v>0.01</v>
      </c>
      <c r="I13" s="14">
        <v>0.01</v>
      </c>
      <c r="J13" s="15" t="s">
        <v>375</v>
      </c>
      <c r="K13" s="15" t="s">
        <v>375</v>
      </c>
      <c r="L13" s="15" t="s">
        <v>375</v>
      </c>
      <c r="M13" s="14">
        <v>0.1</v>
      </c>
      <c r="N13" s="14">
        <v>0.02</v>
      </c>
      <c r="O13" s="14">
        <v>0.01</v>
      </c>
      <c r="P13" s="14">
        <v>0.02</v>
      </c>
      <c r="Q13" s="14">
        <v>0.04</v>
      </c>
      <c r="R13" s="14">
        <v>0.02</v>
      </c>
      <c r="S13" s="15" t="s">
        <v>375</v>
      </c>
      <c r="T13" s="14">
        <v>0.01</v>
      </c>
      <c r="U13" s="14">
        <v>0.01</v>
      </c>
      <c r="V13" s="15" t="s">
        <v>375</v>
      </c>
      <c r="W13" s="14">
        <v>0.01</v>
      </c>
      <c r="X13" s="15" t="s">
        <v>375</v>
      </c>
      <c r="Y13" s="14">
        <v>0.03</v>
      </c>
      <c r="Z13" s="14">
        <v>0.06</v>
      </c>
      <c r="AA13" s="14">
        <v>0.02</v>
      </c>
      <c r="AB13" s="14">
        <v>0.02</v>
      </c>
      <c r="AC13" s="14">
        <v>0.03</v>
      </c>
      <c r="AD13" s="15" t="s">
        <v>375</v>
      </c>
      <c r="AE13" s="14">
        <v>0.03</v>
      </c>
      <c r="AF13" s="15" t="s">
        <v>375</v>
      </c>
    </row>
    <row r="14" spans="1:32">
      <c r="A14" s="19"/>
      <c r="B14" s="11" t="s">
        <v>1331</v>
      </c>
      <c r="C14" s="12">
        <v>14</v>
      </c>
      <c r="D14" s="12">
        <v>1</v>
      </c>
      <c r="E14" s="12">
        <v>0</v>
      </c>
      <c r="F14" s="12">
        <v>0</v>
      </c>
      <c r="G14" s="12">
        <v>0</v>
      </c>
      <c r="H14" s="12">
        <v>1</v>
      </c>
      <c r="I14" s="12">
        <v>1</v>
      </c>
      <c r="J14" s="12">
        <v>0</v>
      </c>
      <c r="K14" s="12">
        <v>1</v>
      </c>
      <c r="L14" s="12">
        <v>1</v>
      </c>
      <c r="M14" s="12">
        <v>0</v>
      </c>
      <c r="N14" s="12">
        <v>1</v>
      </c>
      <c r="O14" s="12">
        <v>0</v>
      </c>
      <c r="P14" s="12">
        <v>0</v>
      </c>
      <c r="Q14" s="12">
        <v>1</v>
      </c>
      <c r="R14" s="12">
        <v>1</v>
      </c>
      <c r="S14" s="12">
        <v>0</v>
      </c>
      <c r="T14" s="12">
        <v>0</v>
      </c>
      <c r="U14" s="12">
        <v>0</v>
      </c>
      <c r="V14" s="12">
        <v>0</v>
      </c>
      <c r="W14" s="12">
        <v>0</v>
      </c>
      <c r="X14" s="12">
        <v>0</v>
      </c>
      <c r="Y14" s="12">
        <v>0</v>
      </c>
      <c r="Z14" s="12">
        <v>2</v>
      </c>
      <c r="AA14" s="12">
        <v>1</v>
      </c>
      <c r="AB14" s="12">
        <v>0</v>
      </c>
      <c r="AC14" s="12">
        <v>0</v>
      </c>
      <c r="AD14" s="12">
        <v>0</v>
      </c>
      <c r="AE14" s="12">
        <v>0</v>
      </c>
      <c r="AF14" s="12">
        <v>0</v>
      </c>
    </row>
    <row r="15" spans="1:32">
      <c r="A15" s="19"/>
      <c r="B15" s="13" t="s">
        <v>1332</v>
      </c>
      <c r="C15" s="15" t="s">
        <v>375</v>
      </c>
      <c r="D15" s="15" t="s">
        <v>375</v>
      </c>
      <c r="E15" s="15" t="s">
        <v>375</v>
      </c>
      <c r="F15" s="15" t="s">
        <v>375</v>
      </c>
      <c r="G15" s="15" t="s">
        <v>375</v>
      </c>
      <c r="H15" s="15" t="s">
        <v>375</v>
      </c>
      <c r="I15" s="15" t="s">
        <v>375</v>
      </c>
      <c r="J15" s="15" t="s">
        <v>375</v>
      </c>
      <c r="K15" s="15" t="s">
        <v>375</v>
      </c>
      <c r="L15" s="15" t="s">
        <v>375</v>
      </c>
      <c r="M15" s="15" t="s">
        <v>375</v>
      </c>
      <c r="N15" s="15" t="s">
        <v>375</v>
      </c>
      <c r="O15" s="15" t="s">
        <v>375</v>
      </c>
      <c r="P15" s="15" t="s">
        <v>375</v>
      </c>
      <c r="Q15" s="15" t="s">
        <v>375</v>
      </c>
      <c r="R15" s="15" t="s">
        <v>375</v>
      </c>
      <c r="S15" s="15" t="s">
        <v>375</v>
      </c>
      <c r="T15" s="15" t="s">
        <v>375</v>
      </c>
      <c r="U15" s="15" t="s">
        <v>375</v>
      </c>
      <c r="V15" s="15" t="s">
        <v>375</v>
      </c>
      <c r="W15" s="15" t="s">
        <v>375</v>
      </c>
      <c r="X15" s="15" t="s">
        <v>375</v>
      </c>
      <c r="Y15" s="15" t="s">
        <v>375</v>
      </c>
      <c r="Z15" s="15" t="s">
        <v>375</v>
      </c>
      <c r="AA15" s="15" t="s">
        <v>375</v>
      </c>
      <c r="AB15" s="15" t="s">
        <v>375</v>
      </c>
      <c r="AC15" s="15" t="s">
        <v>375</v>
      </c>
      <c r="AD15" s="15" t="s">
        <v>375</v>
      </c>
      <c r="AE15" s="15" t="s">
        <v>375</v>
      </c>
      <c r="AF15" s="15" t="s">
        <v>375</v>
      </c>
    </row>
    <row r="16" spans="1:32">
      <c r="A16" s="19"/>
      <c r="B16" s="11" t="s">
        <v>1333</v>
      </c>
      <c r="C16" s="12">
        <v>173</v>
      </c>
      <c r="D16" s="12">
        <v>4</v>
      </c>
      <c r="E16" s="12">
        <v>0</v>
      </c>
      <c r="F16" s="12">
        <v>4</v>
      </c>
      <c r="G16" s="12">
        <v>8</v>
      </c>
      <c r="H16" s="12">
        <v>13</v>
      </c>
      <c r="I16" s="12">
        <v>14</v>
      </c>
      <c r="J16" s="12">
        <v>2</v>
      </c>
      <c r="K16" s="12">
        <v>5</v>
      </c>
      <c r="L16" s="12">
        <v>3</v>
      </c>
      <c r="M16" s="12">
        <v>4</v>
      </c>
      <c r="N16" s="12">
        <v>8</v>
      </c>
      <c r="O16" s="12">
        <v>3</v>
      </c>
      <c r="P16" s="12">
        <v>1</v>
      </c>
      <c r="Q16" s="12">
        <v>11</v>
      </c>
      <c r="R16" s="12">
        <v>1</v>
      </c>
      <c r="S16" s="12">
        <v>5</v>
      </c>
      <c r="T16" s="12">
        <v>3</v>
      </c>
      <c r="U16" s="12">
        <v>4</v>
      </c>
      <c r="V16" s="12">
        <v>0</v>
      </c>
      <c r="W16" s="12">
        <v>1</v>
      </c>
      <c r="X16" s="12">
        <v>14</v>
      </c>
      <c r="Y16" s="12">
        <v>2</v>
      </c>
      <c r="Z16" s="12">
        <v>3</v>
      </c>
      <c r="AA16" s="12">
        <v>2</v>
      </c>
      <c r="AB16" s="12">
        <v>0</v>
      </c>
      <c r="AC16" s="12">
        <v>1</v>
      </c>
      <c r="AD16" s="12">
        <v>8</v>
      </c>
      <c r="AE16" s="12">
        <v>10</v>
      </c>
      <c r="AF16" s="12">
        <v>12</v>
      </c>
    </row>
    <row r="17" spans="1:32">
      <c r="A17" s="19"/>
      <c r="B17" s="13" t="s">
        <v>1334</v>
      </c>
      <c r="C17" s="14">
        <v>0.01</v>
      </c>
      <c r="D17" s="14">
        <v>0.01</v>
      </c>
      <c r="E17" s="15" t="s">
        <v>375</v>
      </c>
      <c r="F17" s="14">
        <v>0.01</v>
      </c>
      <c r="G17" s="14">
        <v>0.02</v>
      </c>
      <c r="H17" s="14">
        <v>0.02</v>
      </c>
      <c r="I17" s="14">
        <v>0.02</v>
      </c>
      <c r="J17" s="14">
        <v>0.01</v>
      </c>
      <c r="K17" s="14">
        <v>0.01</v>
      </c>
      <c r="L17" s="14">
        <v>0.01</v>
      </c>
      <c r="M17" s="14">
        <v>0.01</v>
      </c>
      <c r="N17" s="14">
        <v>0.02</v>
      </c>
      <c r="O17" s="14">
        <v>0.01</v>
      </c>
      <c r="P17" s="15" t="s">
        <v>375</v>
      </c>
      <c r="Q17" s="14">
        <v>0.03</v>
      </c>
      <c r="R17" s="14">
        <v>0.01</v>
      </c>
      <c r="S17" s="14">
        <v>0.01</v>
      </c>
      <c r="T17" s="14">
        <v>0.01</v>
      </c>
      <c r="U17" s="14">
        <v>0.02</v>
      </c>
      <c r="V17" s="15" t="s">
        <v>375</v>
      </c>
      <c r="W17" s="14">
        <v>0.01</v>
      </c>
      <c r="X17" s="14">
        <v>0.03</v>
      </c>
      <c r="Y17" s="14">
        <v>0.01</v>
      </c>
      <c r="Z17" s="14">
        <v>0.01</v>
      </c>
      <c r="AA17" s="14">
        <v>0.01</v>
      </c>
      <c r="AB17" s="15" t="s">
        <v>375</v>
      </c>
      <c r="AC17" s="15" t="s">
        <v>375</v>
      </c>
      <c r="AD17" s="14">
        <v>0.02</v>
      </c>
      <c r="AE17" s="14">
        <v>0.02</v>
      </c>
      <c r="AF17" s="14">
        <v>0.03</v>
      </c>
    </row>
    <row r="18" spans="1:32">
      <c r="A18" s="19"/>
      <c r="B18" s="11" t="s">
        <v>1335</v>
      </c>
      <c r="C18" s="12">
        <v>339</v>
      </c>
      <c r="D18" s="12">
        <v>18</v>
      </c>
      <c r="E18" s="12">
        <v>8</v>
      </c>
      <c r="F18" s="12">
        <v>8</v>
      </c>
      <c r="G18" s="12">
        <v>6</v>
      </c>
      <c r="H18" s="12">
        <v>16</v>
      </c>
      <c r="I18" s="12">
        <v>19</v>
      </c>
      <c r="J18" s="12">
        <v>3</v>
      </c>
      <c r="K18" s="12">
        <v>3</v>
      </c>
      <c r="L18" s="12">
        <v>2</v>
      </c>
      <c r="M18" s="12">
        <v>32</v>
      </c>
      <c r="N18" s="12">
        <v>9</v>
      </c>
      <c r="O18" s="12">
        <v>18</v>
      </c>
      <c r="P18" s="12">
        <v>10</v>
      </c>
      <c r="Q18" s="12">
        <v>24</v>
      </c>
      <c r="R18" s="12">
        <v>12</v>
      </c>
      <c r="S18" s="12">
        <v>6</v>
      </c>
      <c r="T18" s="12">
        <v>3</v>
      </c>
      <c r="U18" s="12">
        <v>5</v>
      </c>
      <c r="V18" s="12">
        <v>6</v>
      </c>
      <c r="W18" s="12">
        <v>4</v>
      </c>
      <c r="X18" s="12">
        <v>9</v>
      </c>
      <c r="Y18" s="12">
        <v>9</v>
      </c>
      <c r="Z18" s="12">
        <v>5</v>
      </c>
      <c r="AA18" s="12">
        <v>16</v>
      </c>
      <c r="AB18" s="12">
        <v>2</v>
      </c>
      <c r="AC18" s="12">
        <v>10</v>
      </c>
      <c r="AD18" s="12">
        <v>6</v>
      </c>
      <c r="AE18" s="12">
        <v>3</v>
      </c>
      <c r="AF18" s="12">
        <v>8</v>
      </c>
    </row>
    <row r="19" spans="1:32">
      <c r="A19" s="19"/>
      <c r="B19" s="13" t="s">
        <v>1336</v>
      </c>
      <c r="C19" s="14">
        <v>0.03</v>
      </c>
      <c r="D19" s="14">
        <v>0.04</v>
      </c>
      <c r="E19" s="14">
        <v>0.02</v>
      </c>
      <c r="F19" s="14">
        <v>0.02</v>
      </c>
      <c r="G19" s="14">
        <v>0.01</v>
      </c>
      <c r="H19" s="14">
        <v>0.03</v>
      </c>
      <c r="I19" s="14">
        <v>0.03</v>
      </c>
      <c r="J19" s="14">
        <v>0.03</v>
      </c>
      <c r="K19" s="14">
        <v>0.01</v>
      </c>
      <c r="L19" s="14">
        <v>0.01</v>
      </c>
      <c r="M19" s="14">
        <v>7.0000000000000007E-2</v>
      </c>
      <c r="N19" s="14">
        <v>0.02</v>
      </c>
      <c r="O19" s="14">
        <v>0.04</v>
      </c>
      <c r="P19" s="14">
        <v>0.02</v>
      </c>
      <c r="Q19" s="14">
        <v>0.05</v>
      </c>
      <c r="R19" s="14">
        <v>7.0000000000000007E-2</v>
      </c>
      <c r="S19" s="14">
        <v>0.02</v>
      </c>
      <c r="T19" s="14">
        <v>0.01</v>
      </c>
      <c r="U19" s="14">
        <v>0.03</v>
      </c>
      <c r="V19" s="14">
        <v>0.02</v>
      </c>
      <c r="W19" s="14">
        <v>0.02</v>
      </c>
      <c r="X19" s="14">
        <v>0.02</v>
      </c>
      <c r="Y19" s="14">
        <v>0.02</v>
      </c>
      <c r="Z19" s="14">
        <v>0.01</v>
      </c>
      <c r="AA19" s="14">
        <v>0.04</v>
      </c>
      <c r="AB19" s="15" t="s">
        <v>375</v>
      </c>
      <c r="AC19" s="14">
        <v>0.02</v>
      </c>
      <c r="AD19" s="14">
        <v>0.01</v>
      </c>
      <c r="AE19" s="14">
        <v>0.01</v>
      </c>
      <c r="AF19" s="14">
        <v>0.02</v>
      </c>
    </row>
    <row r="20" spans="1:32">
      <c r="A20" s="19"/>
      <c r="B20" s="11" t="s">
        <v>1337</v>
      </c>
      <c r="C20" s="12">
        <v>146</v>
      </c>
      <c r="D20" s="12">
        <v>7</v>
      </c>
      <c r="E20" s="12">
        <v>5</v>
      </c>
      <c r="F20" s="12">
        <v>5</v>
      </c>
      <c r="G20" s="12">
        <v>11</v>
      </c>
      <c r="H20" s="12">
        <v>10</v>
      </c>
      <c r="I20" s="12">
        <v>12</v>
      </c>
      <c r="J20" s="12">
        <v>2</v>
      </c>
      <c r="K20" s="12">
        <v>9</v>
      </c>
      <c r="L20" s="12">
        <v>7</v>
      </c>
      <c r="M20" s="12">
        <v>6</v>
      </c>
      <c r="N20" s="12">
        <v>9</v>
      </c>
      <c r="O20" s="12">
        <v>6</v>
      </c>
      <c r="P20" s="12">
        <v>3</v>
      </c>
      <c r="Q20" s="12">
        <v>2</v>
      </c>
      <c r="R20" s="12">
        <v>2</v>
      </c>
      <c r="S20" s="12">
        <v>4</v>
      </c>
      <c r="T20" s="12">
        <v>0</v>
      </c>
      <c r="U20" s="12">
        <v>1</v>
      </c>
      <c r="V20" s="12">
        <v>3</v>
      </c>
      <c r="W20" s="12">
        <v>4</v>
      </c>
      <c r="X20" s="12">
        <v>10</v>
      </c>
      <c r="Y20" s="12">
        <v>13</v>
      </c>
      <c r="Z20" s="12">
        <v>2</v>
      </c>
      <c r="AA20" s="12">
        <v>0</v>
      </c>
      <c r="AB20" s="12">
        <v>2</v>
      </c>
      <c r="AC20" s="12">
        <v>11</v>
      </c>
      <c r="AD20" s="12">
        <v>3</v>
      </c>
      <c r="AE20" s="12">
        <v>16</v>
      </c>
      <c r="AF20" s="12">
        <v>4</v>
      </c>
    </row>
    <row r="21" spans="1:32">
      <c r="A21" s="19"/>
      <c r="B21" s="13" t="s">
        <v>1338</v>
      </c>
      <c r="C21" s="14">
        <v>0.01</v>
      </c>
      <c r="D21" s="14">
        <v>0.01</v>
      </c>
      <c r="E21" s="14">
        <v>0.01</v>
      </c>
      <c r="F21" s="14">
        <v>0.01</v>
      </c>
      <c r="G21" s="14">
        <v>0.02</v>
      </c>
      <c r="H21" s="14">
        <v>0.02</v>
      </c>
      <c r="I21" s="14">
        <v>0.02</v>
      </c>
      <c r="J21" s="14">
        <v>0.02</v>
      </c>
      <c r="K21" s="14">
        <v>0.02</v>
      </c>
      <c r="L21" s="14">
        <v>0.02</v>
      </c>
      <c r="M21" s="14">
        <v>0.01</v>
      </c>
      <c r="N21" s="14">
        <v>0.02</v>
      </c>
      <c r="O21" s="14">
        <v>0.01</v>
      </c>
      <c r="P21" s="14">
        <v>0.01</v>
      </c>
      <c r="Q21" s="15" t="s">
        <v>375</v>
      </c>
      <c r="R21" s="14">
        <v>0.01</v>
      </c>
      <c r="S21" s="14">
        <v>0.01</v>
      </c>
      <c r="T21" s="15" t="s">
        <v>375</v>
      </c>
      <c r="U21" s="14">
        <v>0.01</v>
      </c>
      <c r="V21" s="14">
        <v>0.01</v>
      </c>
      <c r="W21" s="14">
        <v>0.02</v>
      </c>
      <c r="X21" s="14">
        <v>0.02</v>
      </c>
      <c r="Y21" s="14">
        <v>0.03</v>
      </c>
      <c r="Z21" s="14">
        <v>0.01</v>
      </c>
      <c r="AA21" s="15" t="s">
        <v>375</v>
      </c>
      <c r="AB21" s="15" t="s">
        <v>375</v>
      </c>
      <c r="AC21" s="14">
        <v>0.03</v>
      </c>
      <c r="AD21" s="14">
        <v>0.01</v>
      </c>
      <c r="AE21" s="14">
        <v>0.04</v>
      </c>
      <c r="AF21" s="14">
        <v>0.01</v>
      </c>
    </row>
    <row r="22" spans="1:32">
      <c r="A22" s="19"/>
      <c r="B22" s="11" t="s">
        <v>1339</v>
      </c>
      <c r="C22" s="12">
        <v>207</v>
      </c>
      <c r="D22" s="12">
        <v>2</v>
      </c>
      <c r="E22" s="12">
        <v>10</v>
      </c>
      <c r="F22" s="12">
        <v>7</v>
      </c>
      <c r="G22" s="12">
        <v>3</v>
      </c>
      <c r="H22" s="12">
        <v>11</v>
      </c>
      <c r="I22" s="12">
        <v>11</v>
      </c>
      <c r="J22" s="12">
        <v>0</v>
      </c>
      <c r="K22" s="12">
        <v>34</v>
      </c>
      <c r="L22" s="12">
        <v>7</v>
      </c>
      <c r="M22" s="12">
        <v>1</v>
      </c>
      <c r="N22" s="12">
        <v>15</v>
      </c>
      <c r="O22" s="12">
        <v>5</v>
      </c>
      <c r="P22" s="12">
        <v>3</v>
      </c>
      <c r="Q22" s="12">
        <v>0</v>
      </c>
      <c r="R22" s="12">
        <v>5</v>
      </c>
      <c r="S22" s="12">
        <v>30</v>
      </c>
      <c r="T22" s="12">
        <v>32</v>
      </c>
      <c r="U22" s="12">
        <v>2</v>
      </c>
      <c r="V22" s="12">
        <v>7</v>
      </c>
      <c r="W22" s="12">
        <v>3</v>
      </c>
      <c r="X22" s="12">
        <v>15</v>
      </c>
      <c r="Y22" s="12">
        <v>3</v>
      </c>
      <c r="Z22" s="12">
        <v>6</v>
      </c>
      <c r="AA22" s="12">
        <v>2</v>
      </c>
      <c r="AB22" s="12">
        <v>12</v>
      </c>
      <c r="AC22" s="12">
        <v>10</v>
      </c>
      <c r="AD22" s="12">
        <v>9</v>
      </c>
      <c r="AE22" s="12">
        <v>17</v>
      </c>
      <c r="AF22" s="12">
        <v>41</v>
      </c>
    </row>
    <row r="23" spans="1:32">
      <c r="A23" s="19"/>
      <c r="B23" s="13" t="s">
        <v>1340</v>
      </c>
      <c r="C23" s="14">
        <v>0.02</v>
      </c>
      <c r="D23" s="15" t="s">
        <v>375</v>
      </c>
      <c r="E23" s="14">
        <v>0.02</v>
      </c>
      <c r="F23" s="14">
        <v>0.02</v>
      </c>
      <c r="G23" s="14">
        <v>0.01</v>
      </c>
      <c r="H23" s="14">
        <v>0.02</v>
      </c>
      <c r="I23" s="14">
        <v>0.01</v>
      </c>
      <c r="J23" s="15" t="s">
        <v>375</v>
      </c>
      <c r="K23" s="14">
        <v>0.08</v>
      </c>
      <c r="L23" s="14">
        <v>0.02</v>
      </c>
      <c r="M23" s="15" t="s">
        <v>375</v>
      </c>
      <c r="N23" s="14">
        <v>0.03</v>
      </c>
      <c r="O23" s="14">
        <v>0.01</v>
      </c>
      <c r="P23" s="14">
        <v>0.01</v>
      </c>
      <c r="Q23" s="15" t="s">
        <v>375</v>
      </c>
      <c r="R23" s="14">
        <v>0.03</v>
      </c>
      <c r="S23" s="14">
        <v>7.0000000000000007E-2</v>
      </c>
      <c r="T23" s="14">
        <v>0.06</v>
      </c>
      <c r="U23" s="14">
        <v>0.01</v>
      </c>
      <c r="V23" s="14">
        <v>0.02</v>
      </c>
      <c r="W23" s="14">
        <v>0.02</v>
      </c>
      <c r="X23" s="14">
        <v>0.03</v>
      </c>
      <c r="Y23" s="14">
        <v>0.01</v>
      </c>
      <c r="Z23" s="14">
        <v>0.02</v>
      </c>
      <c r="AA23" s="15" t="s">
        <v>375</v>
      </c>
      <c r="AB23" s="14">
        <v>0.03</v>
      </c>
      <c r="AC23" s="14">
        <v>0.02</v>
      </c>
      <c r="AD23" s="14">
        <v>0.02</v>
      </c>
      <c r="AE23" s="14">
        <v>0.04</v>
      </c>
      <c r="AF23" s="14">
        <v>0.11</v>
      </c>
    </row>
    <row r="24" spans="1:32">
      <c r="A24" s="19"/>
      <c r="B24" s="11" t="s">
        <v>1341</v>
      </c>
      <c r="C24" s="12">
        <v>231</v>
      </c>
      <c r="D24" s="12">
        <v>17</v>
      </c>
      <c r="E24" s="12">
        <v>4</v>
      </c>
      <c r="F24" s="12">
        <v>3</v>
      </c>
      <c r="G24" s="12">
        <v>14</v>
      </c>
      <c r="H24" s="12">
        <v>15</v>
      </c>
      <c r="I24" s="12">
        <v>20</v>
      </c>
      <c r="J24" s="12">
        <v>5</v>
      </c>
      <c r="K24" s="12">
        <v>5</v>
      </c>
      <c r="L24" s="12">
        <v>10</v>
      </c>
      <c r="M24" s="12">
        <v>8</v>
      </c>
      <c r="N24" s="12">
        <v>2</v>
      </c>
      <c r="O24" s="12">
        <v>15</v>
      </c>
      <c r="P24" s="12">
        <v>0</v>
      </c>
      <c r="Q24" s="12">
        <v>5</v>
      </c>
      <c r="R24" s="12">
        <v>3</v>
      </c>
      <c r="S24" s="12">
        <v>10</v>
      </c>
      <c r="T24" s="12">
        <v>6</v>
      </c>
      <c r="U24" s="12">
        <v>13</v>
      </c>
      <c r="V24" s="12">
        <v>0</v>
      </c>
      <c r="W24" s="12">
        <v>4</v>
      </c>
      <c r="X24" s="12">
        <v>21</v>
      </c>
      <c r="Y24" s="12">
        <v>9</v>
      </c>
      <c r="Z24" s="12">
        <v>2</v>
      </c>
      <c r="AA24" s="12">
        <v>3</v>
      </c>
      <c r="AB24" s="12">
        <v>2</v>
      </c>
      <c r="AC24" s="12">
        <v>10</v>
      </c>
      <c r="AD24" s="12">
        <v>2</v>
      </c>
      <c r="AE24" s="12">
        <v>17</v>
      </c>
      <c r="AF24" s="12">
        <v>15</v>
      </c>
    </row>
    <row r="25" spans="1:32">
      <c r="A25" s="19"/>
      <c r="B25" s="13" t="s">
        <v>1342</v>
      </c>
      <c r="C25" s="14">
        <v>0.02</v>
      </c>
      <c r="D25" s="14">
        <v>0.03</v>
      </c>
      <c r="E25" s="14">
        <v>0.01</v>
      </c>
      <c r="F25" s="14">
        <v>0.01</v>
      </c>
      <c r="G25" s="14">
        <v>0.03</v>
      </c>
      <c r="H25" s="14">
        <v>0.03</v>
      </c>
      <c r="I25" s="14">
        <v>0.03</v>
      </c>
      <c r="J25" s="14">
        <v>0.04</v>
      </c>
      <c r="K25" s="14">
        <v>0.01</v>
      </c>
      <c r="L25" s="14">
        <v>0.03</v>
      </c>
      <c r="M25" s="14">
        <v>0.02</v>
      </c>
      <c r="N25" s="15" t="s">
        <v>375</v>
      </c>
      <c r="O25" s="14">
        <v>0.03</v>
      </c>
      <c r="P25" s="15" t="s">
        <v>375</v>
      </c>
      <c r="Q25" s="14">
        <v>0.01</v>
      </c>
      <c r="R25" s="14">
        <v>0.01</v>
      </c>
      <c r="S25" s="14">
        <v>0.02</v>
      </c>
      <c r="T25" s="14">
        <v>0.01</v>
      </c>
      <c r="U25" s="14">
        <v>7.0000000000000007E-2</v>
      </c>
      <c r="V25" s="15" t="s">
        <v>375</v>
      </c>
      <c r="W25" s="14">
        <v>0.02</v>
      </c>
      <c r="X25" s="14">
        <v>0.05</v>
      </c>
      <c r="Y25" s="14">
        <v>0.02</v>
      </c>
      <c r="Z25" s="15" t="s">
        <v>375</v>
      </c>
      <c r="AA25" s="14">
        <v>0.01</v>
      </c>
      <c r="AB25" s="14">
        <v>0.01</v>
      </c>
      <c r="AC25" s="14">
        <v>0.02</v>
      </c>
      <c r="AD25" s="14">
        <v>0.01</v>
      </c>
      <c r="AE25" s="14">
        <v>0.04</v>
      </c>
      <c r="AF25" s="14">
        <v>0.04</v>
      </c>
    </row>
    <row r="26" spans="1:32">
      <c r="A26" s="19"/>
      <c r="B26" s="11" t="s">
        <v>1343</v>
      </c>
      <c r="C26" s="12">
        <v>1022</v>
      </c>
      <c r="D26" s="12">
        <v>49</v>
      </c>
      <c r="E26" s="12">
        <v>16</v>
      </c>
      <c r="F26" s="12">
        <v>23</v>
      </c>
      <c r="G26" s="12">
        <v>85</v>
      </c>
      <c r="H26" s="12">
        <v>75</v>
      </c>
      <c r="I26" s="12">
        <v>87</v>
      </c>
      <c r="J26" s="12">
        <v>12</v>
      </c>
      <c r="K26" s="12">
        <v>37</v>
      </c>
      <c r="L26" s="12">
        <v>25</v>
      </c>
      <c r="M26" s="12">
        <v>10</v>
      </c>
      <c r="N26" s="12">
        <v>24</v>
      </c>
      <c r="O26" s="12">
        <v>59</v>
      </c>
      <c r="P26" s="12">
        <v>16</v>
      </c>
      <c r="Q26" s="12">
        <v>14</v>
      </c>
      <c r="R26" s="12">
        <v>11</v>
      </c>
      <c r="S26" s="12">
        <v>52</v>
      </c>
      <c r="T26" s="12">
        <v>34</v>
      </c>
      <c r="U26" s="12">
        <v>22</v>
      </c>
      <c r="V26" s="12">
        <v>17</v>
      </c>
      <c r="W26" s="12">
        <v>9</v>
      </c>
      <c r="X26" s="12">
        <v>109</v>
      </c>
      <c r="Y26" s="12">
        <v>25</v>
      </c>
      <c r="Z26" s="12">
        <v>13</v>
      </c>
      <c r="AA26" s="12">
        <v>16</v>
      </c>
      <c r="AB26" s="12">
        <v>6</v>
      </c>
      <c r="AC26" s="12">
        <v>36</v>
      </c>
      <c r="AD26" s="12">
        <v>38</v>
      </c>
      <c r="AE26" s="12">
        <v>83</v>
      </c>
      <c r="AF26" s="12">
        <v>85</v>
      </c>
    </row>
    <row r="27" spans="1:32">
      <c r="A27" s="19"/>
      <c r="B27" s="13" t="s">
        <v>1344</v>
      </c>
      <c r="C27" s="14">
        <v>0.09</v>
      </c>
      <c r="D27" s="14">
        <v>0.1</v>
      </c>
      <c r="E27" s="14">
        <v>0.04</v>
      </c>
      <c r="F27" s="14">
        <v>0.05</v>
      </c>
      <c r="G27" s="14">
        <v>0.19</v>
      </c>
      <c r="H27" s="14">
        <v>0.13</v>
      </c>
      <c r="I27" s="14">
        <v>0.12</v>
      </c>
      <c r="J27" s="14">
        <v>0.09</v>
      </c>
      <c r="K27" s="14">
        <v>0.09</v>
      </c>
      <c r="L27" s="14">
        <v>7.0000000000000007E-2</v>
      </c>
      <c r="M27" s="14">
        <v>0.02</v>
      </c>
      <c r="N27" s="14">
        <v>0.05</v>
      </c>
      <c r="O27" s="14">
        <v>0.12</v>
      </c>
      <c r="P27" s="14">
        <v>0.04</v>
      </c>
      <c r="Q27" s="14">
        <v>0.03</v>
      </c>
      <c r="R27" s="14">
        <v>0.06</v>
      </c>
      <c r="S27" s="14">
        <v>0.12</v>
      </c>
      <c r="T27" s="14">
        <v>7.0000000000000007E-2</v>
      </c>
      <c r="U27" s="14">
        <v>0.12</v>
      </c>
      <c r="V27" s="14">
        <v>0.05</v>
      </c>
      <c r="W27" s="14">
        <v>0.05</v>
      </c>
      <c r="X27" s="14">
        <v>0.23</v>
      </c>
      <c r="Y27" s="14">
        <v>0.06</v>
      </c>
      <c r="Z27" s="14">
        <v>0.04</v>
      </c>
      <c r="AA27" s="14">
        <v>0.03</v>
      </c>
      <c r="AB27" s="14">
        <v>0.01</v>
      </c>
      <c r="AC27" s="14">
        <v>0.08</v>
      </c>
      <c r="AD27" s="14">
        <v>0.09</v>
      </c>
      <c r="AE27" s="14">
        <v>0.18</v>
      </c>
      <c r="AF27" s="14">
        <v>0.22</v>
      </c>
    </row>
    <row r="28" spans="1:32">
      <c r="A28" s="19"/>
      <c r="B28" s="11" t="s">
        <v>1345</v>
      </c>
      <c r="C28" s="12">
        <v>1253</v>
      </c>
      <c r="D28" s="12">
        <v>68</v>
      </c>
      <c r="E28" s="12">
        <v>48</v>
      </c>
      <c r="F28" s="12">
        <v>113</v>
      </c>
      <c r="G28" s="12">
        <v>60</v>
      </c>
      <c r="H28" s="12">
        <v>94</v>
      </c>
      <c r="I28" s="12">
        <v>107</v>
      </c>
      <c r="J28" s="12">
        <v>13</v>
      </c>
      <c r="K28" s="12">
        <v>32</v>
      </c>
      <c r="L28" s="12">
        <v>42</v>
      </c>
      <c r="M28" s="12">
        <v>29</v>
      </c>
      <c r="N28" s="12">
        <v>36</v>
      </c>
      <c r="O28" s="12">
        <v>47</v>
      </c>
      <c r="P28" s="12">
        <v>49</v>
      </c>
      <c r="Q28" s="12">
        <v>40</v>
      </c>
      <c r="R28" s="12">
        <v>23</v>
      </c>
      <c r="S28" s="12">
        <v>31</v>
      </c>
      <c r="T28" s="12">
        <v>23</v>
      </c>
      <c r="U28" s="12">
        <v>41</v>
      </c>
      <c r="V28" s="12">
        <v>44</v>
      </c>
      <c r="W28" s="12">
        <v>45</v>
      </c>
      <c r="X28" s="12">
        <v>65</v>
      </c>
      <c r="Y28" s="12">
        <v>41</v>
      </c>
      <c r="Z28" s="12">
        <v>26</v>
      </c>
      <c r="AA28" s="12">
        <v>18</v>
      </c>
      <c r="AB28" s="12">
        <v>13</v>
      </c>
      <c r="AC28" s="12">
        <v>58</v>
      </c>
      <c r="AD28" s="12">
        <v>42</v>
      </c>
      <c r="AE28" s="12">
        <v>57</v>
      </c>
      <c r="AF28" s="12">
        <v>60</v>
      </c>
    </row>
    <row r="29" spans="1:32">
      <c r="A29" s="19"/>
      <c r="B29" s="13" t="s">
        <v>1346</v>
      </c>
      <c r="C29" s="14">
        <v>0.11</v>
      </c>
      <c r="D29" s="14">
        <v>0.14000000000000001</v>
      </c>
      <c r="E29" s="14">
        <v>0.11</v>
      </c>
      <c r="F29" s="14">
        <v>0.27</v>
      </c>
      <c r="G29" s="14">
        <v>0.14000000000000001</v>
      </c>
      <c r="H29" s="14">
        <v>0.16</v>
      </c>
      <c r="I29" s="14">
        <v>0.15</v>
      </c>
      <c r="J29" s="14">
        <v>0.1</v>
      </c>
      <c r="K29" s="14">
        <v>0.08</v>
      </c>
      <c r="L29" s="14">
        <v>0.11</v>
      </c>
      <c r="M29" s="14">
        <v>0.06</v>
      </c>
      <c r="N29" s="14">
        <v>0.08</v>
      </c>
      <c r="O29" s="14">
        <v>0.1</v>
      </c>
      <c r="P29" s="14">
        <v>0.12</v>
      </c>
      <c r="Q29" s="14">
        <v>0.09</v>
      </c>
      <c r="R29" s="14">
        <v>0.13</v>
      </c>
      <c r="S29" s="14">
        <v>7.0000000000000007E-2</v>
      </c>
      <c r="T29" s="14">
        <v>0.05</v>
      </c>
      <c r="U29" s="14">
        <v>0.21</v>
      </c>
      <c r="V29" s="14">
        <v>0.12</v>
      </c>
      <c r="W29" s="14">
        <v>0.25</v>
      </c>
      <c r="X29" s="14">
        <v>0.14000000000000001</v>
      </c>
      <c r="Y29" s="14">
        <v>0.11</v>
      </c>
      <c r="Z29" s="14">
        <v>7.0000000000000007E-2</v>
      </c>
      <c r="AA29" s="14">
        <v>0.04</v>
      </c>
      <c r="AB29" s="14">
        <v>0.03</v>
      </c>
      <c r="AC29" s="14">
        <v>0.12</v>
      </c>
      <c r="AD29" s="14">
        <v>0.1</v>
      </c>
      <c r="AE29" s="14">
        <v>0.12</v>
      </c>
      <c r="AF29" s="14">
        <v>0.15</v>
      </c>
    </row>
    <row r="30" spans="1:32">
      <c r="A30" s="19"/>
      <c r="B30" s="11" t="s">
        <v>1347</v>
      </c>
      <c r="C30" s="12">
        <v>514</v>
      </c>
      <c r="D30" s="12">
        <v>40</v>
      </c>
      <c r="E30" s="12">
        <v>16</v>
      </c>
      <c r="F30" s="12">
        <v>14</v>
      </c>
      <c r="G30" s="12">
        <v>18</v>
      </c>
      <c r="H30" s="12">
        <v>11</v>
      </c>
      <c r="I30" s="12">
        <v>17</v>
      </c>
      <c r="J30" s="12">
        <v>6</v>
      </c>
      <c r="K30" s="12">
        <v>18</v>
      </c>
      <c r="L30" s="12">
        <v>9</v>
      </c>
      <c r="M30" s="12">
        <v>34</v>
      </c>
      <c r="N30" s="12">
        <v>16</v>
      </c>
      <c r="O30" s="12">
        <v>36</v>
      </c>
      <c r="P30" s="12">
        <v>5</v>
      </c>
      <c r="Q30" s="12">
        <v>12</v>
      </c>
      <c r="R30" s="12">
        <v>9</v>
      </c>
      <c r="S30" s="12">
        <v>19</v>
      </c>
      <c r="T30" s="12">
        <v>19</v>
      </c>
      <c r="U30" s="12">
        <v>12</v>
      </c>
      <c r="V30" s="12">
        <v>9</v>
      </c>
      <c r="W30" s="12">
        <v>11</v>
      </c>
      <c r="X30" s="12">
        <v>19</v>
      </c>
      <c r="Y30" s="12">
        <v>12</v>
      </c>
      <c r="Z30" s="12">
        <v>36</v>
      </c>
      <c r="AA30" s="12">
        <v>15</v>
      </c>
      <c r="AB30" s="12">
        <v>10</v>
      </c>
      <c r="AC30" s="12">
        <v>25</v>
      </c>
      <c r="AD30" s="12">
        <v>8</v>
      </c>
      <c r="AE30" s="12">
        <v>14</v>
      </c>
      <c r="AF30" s="12">
        <v>20</v>
      </c>
    </row>
    <row r="31" spans="1:32">
      <c r="A31" s="19"/>
      <c r="B31" s="13" t="s">
        <v>1348</v>
      </c>
      <c r="C31" s="14">
        <v>0.04</v>
      </c>
      <c r="D31" s="14">
        <v>0.08</v>
      </c>
      <c r="E31" s="14">
        <v>0.04</v>
      </c>
      <c r="F31" s="14">
        <v>0.03</v>
      </c>
      <c r="G31" s="14">
        <v>0.04</v>
      </c>
      <c r="H31" s="14">
        <v>0.02</v>
      </c>
      <c r="I31" s="14">
        <v>0.02</v>
      </c>
      <c r="J31" s="14">
        <v>0.04</v>
      </c>
      <c r="K31" s="14">
        <v>0.04</v>
      </c>
      <c r="L31" s="14">
        <v>0.02</v>
      </c>
      <c r="M31" s="14">
        <v>0.08</v>
      </c>
      <c r="N31" s="14">
        <v>0.03</v>
      </c>
      <c r="O31" s="14">
        <v>7.0000000000000007E-2</v>
      </c>
      <c r="P31" s="14">
        <v>0.01</v>
      </c>
      <c r="Q31" s="14">
        <v>0.03</v>
      </c>
      <c r="R31" s="14">
        <v>0.05</v>
      </c>
      <c r="S31" s="14">
        <v>0.04</v>
      </c>
      <c r="T31" s="14">
        <v>0.04</v>
      </c>
      <c r="U31" s="14">
        <v>0.06</v>
      </c>
      <c r="V31" s="14">
        <v>0.02</v>
      </c>
      <c r="W31" s="14">
        <v>0.06</v>
      </c>
      <c r="X31" s="14">
        <v>0.04</v>
      </c>
      <c r="Y31" s="14">
        <v>0.03</v>
      </c>
      <c r="Z31" s="14">
        <v>0.09</v>
      </c>
      <c r="AA31" s="14">
        <v>0.03</v>
      </c>
      <c r="AB31" s="14">
        <v>0.02</v>
      </c>
      <c r="AC31" s="14">
        <v>0.05</v>
      </c>
      <c r="AD31" s="14">
        <v>0.02</v>
      </c>
      <c r="AE31" s="14">
        <v>0.03</v>
      </c>
      <c r="AF31" s="14">
        <v>0.05</v>
      </c>
    </row>
    <row r="32" spans="1:32">
      <c r="A32" s="19"/>
      <c r="B32" s="11" t="s">
        <v>1349</v>
      </c>
      <c r="C32" s="12">
        <v>1188</v>
      </c>
      <c r="D32" s="12">
        <v>70</v>
      </c>
      <c r="E32" s="12">
        <v>42</v>
      </c>
      <c r="F32" s="12">
        <v>28</v>
      </c>
      <c r="G32" s="12">
        <v>80</v>
      </c>
      <c r="H32" s="12">
        <v>47</v>
      </c>
      <c r="I32" s="12">
        <v>61</v>
      </c>
      <c r="J32" s="12">
        <v>13</v>
      </c>
      <c r="K32" s="12">
        <v>53</v>
      </c>
      <c r="L32" s="12">
        <v>47</v>
      </c>
      <c r="M32" s="12">
        <v>57</v>
      </c>
      <c r="N32" s="12">
        <v>51</v>
      </c>
      <c r="O32" s="12">
        <v>71</v>
      </c>
      <c r="P32" s="12">
        <v>60</v>
      </c>
      <c r="Q32" s="12">
        <v>17</v>
      </c>
      <c r="R32" s="12">
        <v>24</v>
      </c>
      <c r="S32" s="12">
        <v>65</v>
      </c>
      <c r="T32" s="12">
        <v>57</v>
      </c>
      <c r="U32" s="12">
        <v>23</v>
      </c>
      <c r="V32" s="12">
        <v>11</v>
      </c>
      <c r="W32" s="12">
        <v>15</v>
      </c>
      <c r="X32" s="12">
        <v>93</v>
      </c>
      <c r="Y32" s="12">
        <v>47</v>
      </c>
      <c r="Z32" s="12">
        <v>24</v>
      </c>
      <c r="AA32" s="12">
        <v>46</v>
      </c>
      <c r="AB32" s="12">
        <v>12</v>
      </c>
      <c r="AC32" s="12">
        <v>46</v>
      </c>
      <c r="AD32" s="12">
        <v>71</v>
      </c>
      <c r="AE32" s="12">
        <v>85</v>
      </c>
      <c r="AF32" s="12">
        <v>62</v>
      </c>
    </row>
    <row r="33" spans="1:32">
      <c r="A33" s="19"/>
      <c r="B33" s="13" t="s">
        <v>1350</v>
      </c>
      <c r="C33" s="14">
        <v>0.1</v>
      </c>
      <c r="D33" s="14">
        <v>0.14000000000000001</v>
      </c>
      <c r="E33" s="14">
        <v>0.1</v>
      </c>
      <c r="F33" s="14">
        <v>7.0000000000000007E-2</v>
      </c>
      <c r="G33" s="14">
        <v>0.18</v>
      </c>
      <c r="H33" s="14">
        <v>0.08</v>
      </c>
      <c r="I33" s="14">
        <v>0.09</v>
      </c>
      <c r="J33" s="14">
        <v>0.1</v>
      </c>
      <c r="K33" s="14">
        <v>0.13</v>
      </c>
      <c r="L33" s="14">
        <v>0.13</v>
      </c>
      <c r="M33" s="14">
        <v>0.13</v>
      </c>
      <c r="N33" s="14">
        <v>0.11</v>
      </c>
      <c r="O33" s="14">
        <v>0.14000000000000001</v>
      </c>
      <c r="P33" s="14">
        <v>0.15</v>
      </c>
      <c r="Q33" s="14">
        <v>0.04</v>
      </c>
      <c r="R33" s="14">
        <v>0.13</v>
      </c>
      <c r="S33" s="14">
        <v>0.15</v>
      </c>
      <c r="T33" s="14">
        <v>0.12</v>
      </c>
      <c r="U33" s="14">
        <v>0.12</v>
      </c>
      <c r="V33" s="14">
        <v>0.03</v>
      </c>
      <c r="W33" s="14">
        <v>0.08</v>
      </c>
      <c r="X33" s="14">
        <v>0.2</v>
      </c>
      <c r="Y33" s="14">
        <v>0.12</v>
      </c>
      <c r="Z33" s="14">
        <v>0.06</v>
      </c>
      <c r="AA33" s="14">
        <v>0.1</v>
      </c>
      <c r="AB33" s="14">
        <v>0.03</v>
      </c>
      <c r="AC33" s="14">
        <v>0.1</v>
      </c>
      <c r="AD33" s="14">
        <v>0.17</v>
      </c>
      <c r="AE33" s="14">
        <v>0.18</v>
      </c>
      <c r="AF33" s="14">
        <v>0.16</v>
      </c>
    </row>
    <row r="34" spans="1:32">
      <c r="A34" s="19"/>
      <c r="B34" s="11" t="s">
        <v>1351</v>
      </c>
      <c r="C34" s="12">
        <v>264</v>
      </c>
      <c r="D34" s="12">
        <v>14</v>
      </c>
      <c r="E34" s="12">
        <v>24</v>
      </c>
      <c r="F34" s="12">
        <v>3</v>
      </c>
      <c r="G34" s="12">
        <v>4</v>
      </c>
      <c r="H34" s="12">
        <v>18</v>
      </c>
      <c r="I34" s="12">
        <v>22</v>
      </c>
      <c r="J34" s="12">
        <v>4</v>
      </c>
      <c r="K34" s="12">
        <v>6</v>
      </c>
      <c r="L34" s="12">
        <v>20</v>
      </c>
      <c r="M34" s="12">
        <v>2</v>
      </c>
      <c r="N34" s="12">
        <v>4</v>
      </c>
      <c r="O34" s="12">
        <v>16</v>
      </c>
      <c r="P34" s="12">
        <v>17</v>
      </c>
      <c r="Q34" s="12">
        <v>4</v>
      </c>
      <c r="R34" s="12">
        <v>2</v>
      </c>
      <c r="S34" s="12">
        <v>18</v>
      </c>
      <c r="T34" s="12">
        <v>16</v>
      </c>
      <c r="U34" s="12">
        <v>4</v>
      </c>
      <c r="V34" s="12">
        <v>14</v>
      </c>
      <c r="W34" s="12">
        <v>11</v>
      </c>
      <c r="X34" s="12">
        <v>8</v>
      </c>
      <c r="Y34" s="12">
        <v>13</v>
      </c>
      <c r="Z34" s="12">
        <v>7</v>
      </c>
      <c r="AA34" s="12">
        <v>5</v>
      </c>
      <c r="AB34" s="12">
        <v>15</v>
      </c>
      <c r="AC34" s="12">
        <v>13</v>
      </c>
      <c r="AD34" s="12">
        <v>13</v>
      </c>
      <c r="AE34" s="12">
        <v>9</v>
      </c>
      <c r="AF34" s="12">
        <v>7</v>
      </c>
    </row>
    <row r="35" spans="1:32">
      <c r="A35" s="19"/>
      <c r="B35" s="13" t="s">
        <v>1352</v>
      </c>
      <c r="C35" s="14">
        <v>0.02</v>
      </c>
      <c r="D35" s="14">
        <v>0.03</v>
      </c>
      <c r="E35" s="14">
        <v>0.06</v>
      </c>
      <c r="F35" s="14">
        <v>0.01</v>
      </c>
      <c r="G35" s="14">
        <v>0.01</v>
      </c>
      <c r="H35" s="14">
        <v>0.03</v>
      </c>
      <c r="I35" s="14">
        <v>0.03</v>
      </c>
      <c r="J35" s="14">
        <v>0.03</v>
      </c>
      <c r="K35" s="14">
        <v>0.02</v>
      </c>
      <c r="L35" s="14">
        <v>0.05</v>
      </c>
      <c r="M35" s="15" t="s">
        <v>375</v>
      </c>
      <c r="N35" s="14">
        <v>0.01</v>
      </c>
      <c r="O35" s="14">
        <v>0.03</v>
      </c>
      <c r="P35" s="14">
        <v>0.04</v>
      </c>
      <c r="Q35" s="14">
        <v>0.01</v>
      </c>
      <c r="R35" s="14">
        <v>0.01</v>
      </c>
      <c r="S35" s="14">
        <v>0.04</v>
      </c>
      <c r="T35" s="14">
        <v>0.03</v>
      </c>
      <c r="U35" s="14">
        <v>0.02</v>
      </c>
      <c r="V35" s="14">
        <v>0.04</v>
      </c>
      <c r="W35" s="14">
        <v>0.06</v>
      </c>
      <c r="X35" s="14">
        <v>0.02</v>
      </c>
      <c r="Y35" s="14">
        <v>0.04</v>
      </c>
      <c r="Z35" s="14">
        <v>0.02</v>
      </c>
      <c r="AA35" s="14">
        <v>0.01</v>
      </c>
      <c r="AB35" s="14">
        <v>0.04</v>
      </c>
      <c r="AC35" s="14">
        <v>0.03</v>
      </c>
      <c r="AD35" s="14">
        <v>0.03</v>
      </c>
      <c r="AE35" s="14">
        <v>0.02</v>
      </c>
      <c r="AF35" s="14">
        <v>0.02</v>
      </c>
    </row>
    <row r="36" spans="1:32">
      <c r="A36" s="19"/>
      <c r="B36" s="11" t="s">
        <v>1353</v>
      </c>
      <c r="C36" s="12">
        <v>2303</v>
      </c>
      <c r="D36" s="12">
        <v>67</v>
      </c>
      <c r="E36" s="12">
        <v>94</v>
      </c>
      <c r="F36" s="12">
        <v>84</v>
      </c>
      <c r="G36" s="12">
        <v>46</v>
      </c>
      <c r="H36" s="12">
        <v>88</v>
      </c>
      <c r="I36" s="12">
        <v>124</v>
      </c>
      <c r="J36" s="12">
        <v>36</v>
      </c>
      <c r="K36" s="12">
        <v>88</v>
      </c>
      <c r="L36" s="12">
        <v>65</v>
      </c>
      <c r="M36" s="12">
        <v>74</v>
      </c>
      <c r="N36" s="12">
        <v>117</v>
      </c>
      <c r="O36" s="12">
        <v>79</v>
      </c>
      <c r="P36" s="12">
        <v>101</v>
      </c>
      <c r="Q36" s="12">
        <v>58</v>
      </c>
      <c r="R36" s="12">
        <v>25</v>
      </c>
      <c r="S36" s="12">
        <v>84</v>
      </c>
      <c r="T36" s="12">
        <v>130</v>
      </c>
      <c r="U36" s="12">
        <v>19</v>
      </c>
      <c r="V36" s="12">
        <v>126</v>
      </c>
      <c r="W36" s="12">
        <v>27</v>
      </c>
      <c r="X36" s="12">
        <v>20</v>
      </c>
      <c r="Y36" s="12">
        <v>74</v>
      </c>
      <c r="Z36" s="12">
        <v>153</v>
      </c>
      <c r="AA36" s="12">
        <v>138</v>
      </c>
      <c r="AB36" s="12">
        <v>153</v>
      </c>
      <c r="AC36" s="12">
        <v>93</v>
      </c>
      <c r="AD36" s="12">
        <v>88</v>
      </c>
      <c r="AE36" s="12">
        <v>66</v>
      </c>
      <c r="AF36" s="12">
        <v>30</v>
      </c>
    </row>
    <row r="37" spans="1:32">
      <c r="A37" s="19"/>
      <c r="B37" s="13" t="s">
        <v>1354</v>
      </c>
      <c r="C37" s="14">
        <v>0.2</v>
      </c>
      <c r="D37" s="14">
        <v>0.14000000000000001</v>
      </c>
      <c r="E37" s="14">
        <v>0.22</v>
      </c>
      <c r="F37" s="14">
        <v>0.2</v>
      </c>
      <c r="G37" s="14">
        <v>0.11</v>
      </c>
      <c r="H37" s="14">
        <v>0.15</v>
      </c>
      <c r="I37" s="14">
        <v>0.18</v>
      </c>
      <c r="J37" s="14">
        <v>0.28000000000000003</v>
      </c>
      <c r="K37" s="14">
        <v>0.21</v>
      </c>
      <c r="L37" s="14">
        <v>0.18</v>
      </c>
      <c r="M37" s="14">
        <v>0.16</v>
      </c>
      <c r="N37" s="14">
        <v>0.25</v>
      </c>
      <c r="O37" s="14">
        <v>0.16</v>
      </c>
      <c r="P37" s="14">
        <v>0.25</v>
      </c>
      <c r="Q37" s="14">
        <v>0.13</v>
      </c>
      <c r="R37" s="14">
        <v>0.14000000000000001</v>
      </c>
      <c r="S37" s="14">
        <v>0.2</v>
      </c>
      <c r="T37" s="14">
        <v>0.26</v>
      </c>
      <c r="U37" s="14">
        <v>0.1</v>
      </c>
      <c r="V37" s="14">
        <v>0.36</v>
      </c>
      <c r="W37" s="14">
        <v>0.15</v>
      </c>
      <c r="X37" s="14">
        <v>0.04</v>
      </c>
      <c r="Y37" s="14">
        <v>0.19</v>
      </c>
      <c r="Z37" s="14">
        <v>0.4</v>
      </c>
      <c r="AA37" s="14">
        <v>0.31</v>
      </c>
      <c r="AB37" s="14">
        <v>0.35</v>
      </c>
      <c r="AC37" s="14">
        <v>0.2</v>
      </c>
      <c r="AD37" s="14">
        <v>0.21</v>
      </c>
      <c r="AE37" s="14">
        <v>0.14000000000000001</v>
      </c>
      <c r="AF37" s="14">
        <v>0.08</v>
      </c>
    </row>
    <row r="38" spans="1:32">
      <c r="A38" s="19"/>
      <c r="B38" s="11" t="s">
        <v>1355</v>
      </c>
      <c r="C38" s="12">
        <v>1480</v>
      </c>
      <c r="D38" s="12">
        <v>31</v>
      </c>
      <c r="E38" s="12">
        <v>81</v>
      </c>
      <c r="F38" s="12">
        <v>47</v>
      </c>
      <c r="G38" s="12">
        <v>88</v>
      </c>
      <c r="H38" s="12">
        <v>74</v>
      </c>
      <c r="I38" s="12">
        <v>87</v>
      </c>
      <c r="J38" s="12">
        <v>14</v>
      </c>
      <c r="K38" s="12">
        <v>55</v>
      </c>
      <c r="L38" s="12">
        <v>79</v>
      </c>
      <c r="M38" s="12">
        <v>48</v>
      </c>
      <c r="N38" s="12">
        <v>92</v>
      </c>
      <c r="O38" s="12">
        <v>41</v>
      </c>
      <c r="P38" s="12">
        <v>62</v>
      </c>
      <c r="Q38" s="12">
        <v>63</v>
      </c>
      <c r="R38" s="12">
        <v>15</v>
      </c>
      <c r="S38" s="12">
        <v>66</v>
      </c>
      <c r="T38" s="12">
        <v>85</v>
      </c>
      <c r="U38" s="12">
        <v>8</v>
      </c>
      <c r="V38" s="12">
        <v>51</v>
      </c>
      <c r="W38" s="12">
        <v>24</v>
      </c>
      <c r="X38" s="12">
        <v>61</v>
      </c>
      <c r="Y38" s="12">
        <v>57</v>
      </c>
      <c r="Z38" s="12">
        <v>16</v>
      </c>
      <c r="AA38" s="12">
        <v>76</v>
      </c>
      <c r="AB38" s="12">
        <v>89</v>
      </c>
      <c r="AC38" s="12">
        <v>62</v>
      </c>
      <c r="AD38" s="12">
        <v>46</v>
      </c>
      <c r="AE38" s="12">
        <v>38</v>
      </c>
      <c r="AF38" s="12">
        <v>22</v>
      </c>
    </row>
    <row r="39" spans="1:32">
      <c r="A39" s="19"/>
      <c r="B39" s="13" t="s">
        <v>1356</v>
      </c>
      <c r="C39" s="14">
        <v>0.13</v>
      </c>
      <c r="D39" s="14">
        <v>0.06</v>
      </c>
      <c r="E39" s="14">
        <v>0.19</v>
      </c>
      <c r="F39" s="14">
        <v>0.11</v>
      </c>
      <c r="G39" s="14">
        <v>0.2</v>
      </c>
      <c r="H39" s="14">
        <v>0.13</v>
      </c>
      <c r="I39" s="14">
        <v>0.12</v>
      </c>
      <c r="J39" s="14">
        <v>0.11</v>
      </c>
      <c r="K39" s="14">
        <v>0.13</v>
      </c>
      <c r="L39" s="14">
        <v>0.21</v>
      </c>
      <c r="M39" s="14">
        <v>0.11</v>
      </c>
      <c r="N39" s="14">
        <v>0.2</v>
      </c>
      <c r="O39" s="14">
        <v>0.08</v>
      </c>
      <c r="P39" s="14">
        <v>0.15</v>
      </c>
      <c r="Q39" s="14">
        <v>0.14000000000000001</v>
      </c>
      <c r="R39" s="14">
        <v>0.08</v>
      </c>
      <c r="S39" s="14">
        <v>0.16</v>
      </c>
      <c r="T39" s="14">
        <v>0.17</v>
      </c>
      <c r="U39" s="14">
        <v>0.04</v>
      </c>
      <c r="V39" s="14">
        <v>0.15</v>
      </c>
      <c r="W39" s="14">
        <v>0.13</v>
      </c>
      <c r="X39" s="14">
        <v>0.13</v>
      </c>
      <c r="Y39" s="14">
        <v>0.15</v>
      </c>
      <c r="Z39" s="14">
        <v>0.04</v>
      </c>
      <c r="AA39" s="14">
        <v>0.17</v>
      </c>
      <c r="AB39" s="14">
        <v>0.2</v>
      </c>
      <c r="AC39" s="14">
        <v>0.13</v>
      </c>
      <c r="AD39" s="14">
        <v>0.11</v>
      </c>
      <c r="AE39" s="14">
        <v>0.08</v>
      </c>
      <c r="AF39" s="14">
        <v>0.06</v>
      </c>
    </row>
    <row r="40" spans="1:32">
      <c r="A40" s="19"/>
      <c r="B40" s="11" t="s">
        <v>1379</v>
      </c>
      <c r="C40" s="12">
        <v>2348</v>
      </c>
      <c r="D40" s="12">
        <v>106</v>
      </c>
      <c r="E40" s="12">
        <v>61</v>
      </c>
      <c r="F40" s="12">
        <v>73</v>
      </c>
      <c r="G40" s="12">
        <v>14</v>
      </c>
      <c r="H40" s="12">
        <v>99</v>
      </c>
      <c r="I40" s="12">
        <v>118</v>
      </c>
      <c r="J40" s="12">
        <v>19</v>
      </c>
      <c r="K40" s="12">
        <v>71</v>
      </c>
      <c r="L40" s="12">
        <v>51</v>
      </c>
      <c r="M40" s="12">
        <v>105</v>
      </c>
      <c r="N40" s="12">
        <v>75</v>
      </c>
      <c r="O40" s="12">
        <v>95</v>
      </c>
      <c r="P40" s="12">
        <v>77</v>
      </c>
      <c r="Q40" s="12">
        <v>183</v>
      </c>
      <c r="R40" s="12">
        <v>45</v>
      </c>
      <c r="S40" s="12">
        <v>38</v>
      </c>
      <c r="T40" s="12">
        <v>76</v>
      </c>
      <c r="U40" s="12">
        <v>34</v>
      </c>
      <c r="V40" s="12">
        <v>63</v>
      </c>
      <c r="W40" s="12">
        <v>22</v>
      </c>
      <c r="X40" s="12">
        <v>24</v>
      </c>
      <c r="Y40" s="12">
        <v>71</v>
      </c>
      <c r="Z40" s="12">
        <v>63</v>
      </c>
      <c r="AA40" s="12">
        <v>102</v>
      </c>
      <c r="AB40" s="12">
        <v>116</v>
      </c>
      <c r="AC40" s="12">
        <v>79</v>
      </c>
      <c r="AD40" s="12">
        <v>83</v>
      </c>
      <c r="AE40" s="12">
        <v>34</v>
      </c>
      <c r="AF40" s="12">
        <v>19</v>
      </c>
    </row>
    <row r="41" spans="1:32">
      <c r="A41" s="19"/>
      <c r="B41" s="13" t="s">
        <v>1380</v>
      </c>
      <c r="C41" s="14">
        <v>0.2</v>
      </c>
      <c r="D41" s="14">
        <v>0.21</v>
      </c>
      <c r="E41" s="14">
        <v>0.15</v>
      </c>
      <c r="F41" s="14">
        <v>0.18</v>
      </c>
      <c r="G41" s="14">
        <v>0.03</v>
      </c>
      <c r="H41" s="14">
        <v>0.17</v>
      </c>
      <c r="I41" s="14">
        <v>0.17</v>
      </c>
      <c r="J41" s="14">
        <v>0.15</v>
      </c>
      <c r="K41" s="14">
        <v>0.17</v>
      </c>
      <c r="L41" s="14">
        <v>0.14000000000000001</v>
      </c>
      <c r="M41" s="14">
        <v>0.23</v>
      </c>
      <c r="N41" s="14">
        <v>0.16</v>
      </c>
      <c r="O41" s="14">
        <v>0.19</v>
      </c>
      <c r="P41" s="14">
        <v>0.18</v>
      </c>
      <c r="Q41" s="14">
        <v>0.4</v>
      </c>
      <c r="R41" s="14">
        <v>0.25</v>
      </c>
      <c r="S41" s="14">
        <v>0.09</v>
      </c>
      <c r="T41" s="14">
        <v>0.16</v>
      </c>
      <c r="U41" s="14">
        <v>0.18</v>
      </c>
      <c r="V41" s="14">
        <v>0.18</v>
      </c>
      <c r="W41" s="14">
        <v>0.12</v>
      </c>
      <c r="X41" s="14">
        <v>0.05</v>
      </c>
      <c r="Y41" s="14">
        <v>0.18</v>
      </c>
      <c r="Z41" s="14">
        <v>0.17</v>
      </c>
      <c r="AA41" s="14">
        <v>0.23</v>
      </c>
      <c r="AB41" s="14">
        <v>0.26</v>
      </c>
      <c r="AC41" s="14">
        <v>0.17</v>
      </c>
      <c r="AD41" s="14">
        <v>0.2</v>
      </c>
      <c r="AE41" s="14">
        <v>7.0000000000000007E-2</v>
      </c>
      <c r="AF41" s="14">
        <v>0.05</v>
      </c>
    </row>
  </sheetData>
  <mergeCells count="9">
    <mergeCell ref="H3:L3"/>
    <mergeCell ref="C8:AF8"/>
    <mergeCell ref="B3:F3"/>
    <mergeCell ref="B5:F5"/>
    <mergeCell ref="A10:A41"/>
    <mergeCell ref="H5:L5"/>
    <mergeCell ref="B10:B11"/>
    <mergeCell ref="H4:L4"/>
    <mergeCell ref="B4:F4"/>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1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285</v>
      </c>
      <c r="C3" s="17"/>
      <c r="D3" s="17"/>
      <c r="E3" s="17"/>
      <c r="F3" s="17"/>
      <c r="H3" s="17" t="s">
        <v>286</v>
      </c>
      <c r="I3" s="17"/>
      <c r="J3" s="17"/>
      <c r="K3" s="17"/>
      <c r="L3" s="17"/>
    </row>
    <row r="4" spans="1:32" ht="27" customHeight="1">
      <c r="B4" s="17"/>
      <c r="C4" s="17"/>
      <c r="D4" s="17"/>
      <c r="E4" s="17"/>
      <c r="F4" s="17"/>
      <c r="H4" s="17"/>
      <c r="I4" s="17"/>
      <c r="J4" s="17"/>
      <c r="K4" s="17"/>
      <c r="L4" s="17"/>
    </row>
    <row r="5" spans="1:32" ht="12" customHeight="1">
      <c r="B5" s="17" t="s">
        <v>1377</v>
      </c>
      <c r="C5" s="17"/>
      <c r="D5" s="17"/>
      <c r="E5" s="17"/>
      <c r="F5" s="17"/>
      <c r="H5" s="17" t="s">
        <v>1378</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11720</v>
      </c>
      <c r="D10" s="10">
        <v>497</v>
      </c>
      <c r="E10" s="10">
        <v>418</v>
      </c>
      <c r="F10" s="10">
        <v>417</v>
      </c>
      <c r="G10" s="10">
        <v>442</v>
      </c>
      <c r="H10" s="10">
        <v>575</v>
      </c>
      <c r="I10" s="10">
        <v>705</v>
      </c>
      <c r="J10" s="10">
        <v>130</v>
      </c>
      <c r="K10" s="10">
        <v>419</v>
      </c>
      <c r="L10" s="10">
        <v>369</v>
      </c>
      <c r="M10" s="10">
        <v>452</v>
      </c>
      <c r="N10" s="10">
        <v>467</v>
      </c>
      <c r="O10" s="10">
        <v>495</v>
      </c>
      <c r="P10" s="10">
        <v>412</v>
      </c>
      <c r="Q10" s="10">
        <v>453</v>
      </c>
      <c r="R10" s="10">
        <v>182</v>
      </c>
      <c r="S10" s="10">
        <v>430</v>
      </c>
      <c r="T10" s="10">
        <v>490</v>
      </c>
      <c r="U10" s="10">
        <v>190</v>
      </c>
      <c r="V10" s="10">
        <v>352</v>
      </c>
      <c r="W10" s="10">
        <v>180</v>
      </c>
      <c r="X10" s="10">
        <v>468</v>
      </c>
      <c r="Y10" s="10">
        <v>386</v>
      </c>
      <c r="Z10" s="10">
        <v>381</v>
      </c>
      <c r="AA10" s="10">
        <v>448</v>
      </c>
      <c r="AB10" s="10">
        <v>444</v>
      </c>
      <c r="AC10" s="10">
        <v>468</v>
      </c>
      <c r="AD10" s="10">
        <v>419</v>
      </c>
      <c r="AE10" s="10">
        <v>464</v>
      </c>
      <c r="AF10" s="10">
        <v>387</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1357</v>
      </c>
      <c r="C12" s="12">
        <v>910</v>
      </c>
      <c r="D12" s="12">
        <v>33</v>
      </c>
      <c r="E12" s="12">
        <v>24</v>
      </c>
      <c r="F12" s="12">
        <v>22</v>
      </c>
      <c r="G12" s="12">
        <v>29</v>
      </c>
      <c r="H12" s="12">
        <v>44</v>
      </c>
      <c r="I12" s="12">
        <v>51</v>
      </c>
      <c r="J12" s="12">
        <v>7</v>
      </c>
      <c r="K12" s="12">
        <v>18</v>
      </c>
      <c r="L12" s="12">
        <v>14</v>
      </c>
      <c r="M12" s="12">
        <v>86</v>
      </c>
      <c r="N12" s="12">
        <v>35</v>
      </c>
      <c r="O12" s="12">
        <v>31</v>
      </c>
      <c r="P12" s="12">
        <v>21</v>
      </c>
      <c r="Q12" s="12">
        <v>56</v>
      </c>
      <c r="R12" s="12">
        <v>19</v>
      </c>
      <c r="S12" s="12">
        <v>17</v>
      </c>
      <c r="T12" s="12">
        <v>12</v>
      </c>
      <c r="U12" s="12">
        <v>12</v>
      </c>
      <c r="V12" s="12">
        <v>11</v>
      </c>
      <c r="W12" s="12">
        <v>10</v>
      </c>
      <c r="X12" s="12">
        <v>33</v>
      </c>
      <c r="Y12" s="12">
        <v>35</v>
      </c>
      <c r="Z12" s="12">
        <v>35</v>
      </c>
      <c r="AA12" s="12">
        <v>27</v>
      </c>
      <c r="AB12" s="12">
        <v>14</v>
      </c>
      <c r="AC12" s="12">
        <v>36</v>
      </c>
      <c r="AD12" s="12">
        <v>18</v>
      </c>
      <c r="AE12" s="12">
        <v>44</v>
      </c>
      <c r="AF12" s="12">
        <v>25</v>
      </c>
    </row>
    <row r="13" spans="1:32">
      <c r="A13" s="19"/>
      <c r="B13" s="13" t="s">
        <v>1358</v>
      </c>
      <c r="C13" s="14">
        <v>0.08</v>
      </c>
      <c r="D13" s="14">
        <v>7.0000000000000007E-2</v>
      </c>
      <c r="E13" s="14">
        <v>0.06</v>
      </c>
      <c r="F13" s="14">
        <v>0.05</v>
      </c>
      <c r="G13" s="14">
        <v>7.0000000000000007E-2</v>
      </c>
      <c r="H13" s="14">
        <v>0.08</v>
      </c>
      <c r="I13" s="14">
        <v>7.0000000000000007E-2</v>
      </c>
      <c r="J13" s="14">
        <v>0.06</v>
      </c>
      <c r="K13" s="14">
        <v>0.04</v>
      </c>
      <c r="L13" s="14">
        <v>0.04</v>
      </c>
      <c r="M13" s="14">
        <v>0.19</v>
      </c>
      <c r="N13" s="14">
        <v>0.08</v>
      </c>
      <c r="O13" s="14">
        <v>0.06</v>
      </c>
      <c r="P13" s="14">
        <v>0.05</v>
      </c>
      <c r="Q13" s="14">
        <v>0.12</v>
      </c>
      <c r="R13" s="14">
        <v>0.1</v>
      </c>
      <c r="S13" s="14">
        <v>0.04</v>
      </c>
      <c r="T13" s="14">
        <v>0.02</v>
      </c>
      <c r="U13" s="14">
        <v>0.06</v>
      </c>
      <c r="V13" s="14">
        <v>0.03</v>
      </c>
      <c r="W13" s="14">
        <v>0.06</v>
      </c>
      <c r="X13" s="14">
        <v>7.0000000000000007E-2</v>
      </c>
      <c r="Y13" s="14">
        <v>0.09</v>
      </c>
      <c r="Z13" s="14">
        <v>0.09</v>
      </c>
      <c r="AA13" s="14">
        <v>0.06</v>
      </c>
      <c r="AB13" s="14">
        <v>0.03</v>
      </c>
      <c r="AC13" s="14">
        <v>0.08</v>
      </c>
      <c r="AD13" s="14">
        <v>0.04</v>
      </c>
      <c r="AE13" s="14">
        <v>0.09</v>
      </c>
      <c r="AF13" s="14">
        <v>0.06</v>
      </c>
    </row>
    <row r="14" spans="1:32">
      <c r="A14" s="19"/>
      <c r="B14" s="11" t="s">
        <v>1359</v>
      </c>
      <c r="C14" s="12">
        <v>8462</v>
      </c>
      <c r="D14" s="12">
        <v>359</v>
      </c>
      <c r="E14" s="12">
        <v>332</v>
      </c>
      <c r="F14" s="12">
        <v>322</v>
      </c>
      <c r="G14" s="12">
        <v>399</v>
      </c>
      <c r="H14" s="12">
        <v>433</v>
      </c>
      <c r="I14" s="12">
        <v>536</v>
      </c>
      <c r="J14" s="12">
        <v>104</v>
      </c>
      <c r="K14" s="12">
        <v>330</v>
      </c>
      <c r="L14" s="12">
        <v>304</v>
      </c>
      <c r="M14" s="12">
        <v>261</v>
      </c>
      <c r="N14" s="12">
        <v>358</v>
      </c>
      <c r="O14" s="12">
        <v>369</v>
      </c>
      <c r="P14" s="12">
        <v>314</v>
      </c>
      <c r="Q14" s="12">
        <v>214</v>
      </c>
      <c r="R14" s="12">
        <v>118</v>
      </c>
      <c r="S14" s="12">
        <v>374</v>
      </c>
      <c r="T14" s="12">
        <v>402</v>
      </c>
      <c r="U14" s="12">
        <v>144</v>
      </c>
      <c r="V14" s="12">
        <v>279</v>
      </c>
      <c r="W14" s="12">
        <v>148</v>
      </c>
      <c r="X14" s="12">
        <v>411</v>
      </c>
      <c r="Y14" s="12">
        <v>280</v>
      </c>
      <c r="Z14" s="12">
        <v>283</v>
      </c>
      <c r="AA14" s="12">
        <v>319</v>
      </c>
      <c r="AB14" s="12">
        <v>314</v>
      </c>
      <c r="AC14" s="12">
        <v>352</v>
      </c>
      <c r="AD14" s="12">
        <v>318</v>
      </c>
      <c r="AE14" s="12">
        <v>386</v>
      </c>
      <c r="AF14" s="12">
        <v>343</v>
      </c>
    </row>
    <row r="15" spans="1:32">
      <c r="A15" s="19"/>
      <c r="B15" s="13" t="s">
        <v>1360</v>
      </c>
      <c r="C15" s="14">
        <v>0.72</v>
      </c>
      <c r="D15" s="14">
        <v>0.72</v>
      </c>
      <c r="E15" s="14">
        <v>0.79</v>
      </c>
      <c r="F15" s="14">
        <v>0.77</v>
      </c>
      <c r="G15" s="14">
        <v>0.9</v>
      </c>
      <c r="H15" s="14">
        <v>0.75</v>
      </c>
      <c r="I15" s="14">
        <v>0.76</v>
      </c>
      <c r="J15" s="14">
        <v>0.79</v>
      </c>
      <c r="K15" s="14">
        <v>0.79</v>
      </c>
      <c r="L15" s="14">
        <v>0.82000000000000006</v>
      </c>
      <c r="M15" s="14">
        <v>0.57999999999999996</v>
      </c>
      <c r="N15" s="14">
        <v>0.76</v>
      </c>
      <c r="O15" s="14">
        <v>0.75</v>
      </c>
      <c r="P15" s="14">
        <v>0.76</v>
      </c>
      <c r="Q15" s="14">
        <v>0.47</v>
      </c>
      <c r="R15" s="14">
        <v>0.65</v>
      </c>
      <c r="S15" s="14">
        <v>0.87</v>
      </c>
      <c r="T15" s="14">
        <v>0.82000000000000006</v>
      </c>
      <c r="U15" s="14">
        <v>0.76</v>
      </c>
      <c r="V15" s="14">
        <v>0.79</v>
      </c>
      <c r="W15" s="14">
        <v>0.82000000000000006</v>
      </c>
      <c r="X15" s="14">
        <v>0.88</v>
      </c>
      <c r="Y15" s="14">
        <v>0.73</v>
      </c>
      <c r="Z15" s="14">
        <v>0.74</v>
      </c>
      <c r="AA15" s="14">
        <v>0.71</v>
      </c>
      <c r="AB15" s="14">
        <v>0.71</v>
      </c>
      <c r="AC15" s="14">
        <v>0.75</v>
      </c>
      <c r="AD15" s="14">
        <v>0.76</v>
      </c>
      <c r="AE15" s="14">
        <v>0.83000000000000007</v>
      </c>
      <c r="AF15" s="14">
        <v>0.89</v>
      </c>
    </row>
    <row r="16" spans="1:32">
      <c r="A16" s="19"/>
      <c r="B16" s="11" t="s">
        <v>1361</v>
      </c>
      <c r="C16" s="12">
        <v>2348</v>
      </c>
      <c r="D16" s="12">
        <v>106</v>
      </c>
      <c r="E16" s="12">
        <v>61</v>
      </c>
      <c r="F16" s="12">
        <v>73</v>
      </c>
      <c r="G16" s="12">
        <v>14</v>
      </c>
      <c r="H16" s="12">
        <v>99</v>
      </c>
      <c r="I16" s="12">
        <v>118</v>
      </c>
      <c r="J16" s="12">
        <v>19</v>
      </c>
      <c r="K16" s="12">
        <v>71</v>
      </c>
      <c r="L16" s="12">
        <v>51</v>
      </c>
      <c r="M16" s="12">
        <v>105</v>
      </c>
      <c r="N16" s="12">
        <v>75</v>
      </c>
      <c r="O16" s="12">
        <v>95</v>
      </c>
      <c r="P16" s="12">
        <v>77</v>
      </c>
      <c r="Q16" s="12">
        <v>183</v>
      </c>
      <c r="R16" s="12">
        <v>45</v>
      </c>
      <c r="S16" s="12">
        <v>38</v>
      </c>
      <c r="T16" s="12">
        <v>76</v>
      </c>
      <c r="U16" s="12">
        <v>34</v>
      </c>
      <c r="V16" s="12">
        <v>63</v>
      </c>
      <c r="W16" s="12">
        <v>22</v>
      </c>
      <c r="X16" s="12">
        <v>24</v>
      </c>
      <c r="Y16" s="12">
        <v>71</v>
      </c>
      <c r="Z16" s="12">
        <v>63</v>
      </c>
      <c r="AA16" s="12">
        <v>102</v>
      </c>
      <c r="AB16" s="12">
        <v>116</v>
      </c>
      <c r="AC16" s="12">
        <v>79</v>
      </c>
      <c r="AD16" s="12">
        <v>83</v>
      </c>
      <c r="AE16" s="12">
        <v>34</v>
      </c>
      <c r="AF16" s="12">
        <v>19</v>
      </c>
    </row>
    <row r="17" spans="1:32">
      <c r="A17" s="19"/>
      <c r="B17" s="13" t="s">
        <v>1362</v>
      </c>
      <c r="C17" s="14">
        <v>0.2</v>
      </c>
      <c r="D17" s="14">
        <v>0.21</v>
      </c>
      <c r="E17" s="14">
        <v>0.15</v>
      </c>
      <c r="F17" s="14">
        <v>0.18</v>
      </c>
      <c r="G17" s="14">
        <v>0.03</v>
      </c>
      <c r="H17" s="14">
        <v>0.17</v>
      </c>
      <c r="I17" s="14">
        <v>0.17</v>
      </c>
      <c r="J17" s="14">
        <v>0.15</v>
      </c>
      <c r="K17" s="14">
        <v>0.17</v>
      </c>
      <c r="L17" s="14">
        <v>0.14000000000000001</v>
      </c>
      <c r="M17" s="14">
        <v>0.23</v>
      </c>
      <c r="N17" s="14">
        <v>0.16</v>
      </c>
      <c r="O17" s="14">
        <v>0.19</v>
      </c>
      <c r="P17" s="14">
        <v>0.19</v>
      </c>
      <c r="Q17" s="14">
        <v>0.41</v>
      </c>
      <c r="R17" s="14">
        <v>0.25</v>
      </c>
      <c r="S17" s="14">
        <v>0.09</v>
      </c>
      <c r="T17" s="14">
        <v>0.16</v>
      </c>
      <c r="U17" s="14">
        <v>0.18</v>
      </c>
      <c r="V17" s="14">
        <v>0.18</v>
      </c>
      <c r="W17" s="14">
        <v>0.12</v>
      </c>
      <c r="X17" s="14">
        <v>0.05</v>
      </c>
      <c r="Y17" s="14">
        <v>0.18</v>
      </c>
      <c r="Z17" s="14">
        <v>0.17</v>
      </c>
      <c r="AA17" s="14">
        <v>0.23</v>
      </c>
      <c r="AB17" s="14">
        <v>0.26</v>
      </c>
      <c r="AC17" s="14">
        <v>0.17</v>
      </c>
      <c r="AD17" s="14">
        <v>0.2</v>
      </c>
      <c r="AE17" s="14">
        <v>0.08</v>
      </c>
      <c r="AF17" s="14">
        <v>0.05</v>
      </c>
    </row>
  </sheetData>
  <mergeCells count="9">
    <mergeCell ref="B10:B11"/>
    <mergeCell ref="A10:A17"/>
    <mergeCell ref="H4:L4"/>
    <mergeCell ref="B4:F4"/>
    <mergeCell ref="H3:L3"/>
    <mergeCell ref="C8:AF8"/>
    <mergeCell ref="B3:F3"/>
    <mergeCell ref="B5:F5"/>
    <mergeCell ref="H5:L5"/>
  </mergeCells>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287</v>
      </c>
      <c r="C3" s="17"/>
      <c r="D3" s="17"/>
      <c r="E3" s="17"/>
      <c r="F3" s="17"/>
      <c r="H3" s="17" t="s">
        <v>288</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1381</v>
      </c>
      <c r="C12" s="12">
        <v>8320</v>
      </c>
      <c r="D12" s="12">
        <v>318</v>
      </c>
      <c r="E12" s="12">
        <v>350</v>
      </c>
      <c r="F12" s="12">
        <v>466</v>
      </c>
      <c r="G12" s="12">
        <v>269</v>
      </c>
      <c r="H12" s="12">
        <v>433</v>
      </c>
      <c r="I12" s="12">
        <v>500</v>
      </c>
      <c r="J12" s="12">
        <v>68</v>
      </c>
      <c r="K12" s="12">
        <v>304</v>
      </c>
      <c r="L12" s="12">
        <v>344</v>
      </c>
      <c r="M12" s="12">
        <v>305</v>
      </c>
      <c r="N12" s="12">
        <v>429</v>
      </c>
      <c r="O12" s="12">
        <v>264</v>
      </c>
      <c r="P12" s="12">
        <v>440</v>
      </c>
      <c r="Q12" s="12">
        <v>118</v>
      </c>
      <c r="R12" s="12">
        <v>171</v>
      </c>
      <c r="S12" s="12">
        <v>271</v>
      </c>
      <c r="T12" s="12">
        <v>366</v>
      </c>
      <c r="U12" s="12">
        <v>129</v>
      </c>
      <c r="V12" s="12">
        <v>284</v>
      </c>
      <c r="W12" s="12">
        <v>201</v>
      </c>
      <c r="X12" s="12">
        <v>361</v>
      </c>
      <c r="Y12" s="12">
        <v>465</v>
      </c>
      <c r="Z12" s="12">
        <v>404</v>
      </c>
      <c r="AA12" s="12">
        <v>436</v>
      </c>
      <c r="AB12" s="12">
        <v>442</v>
      </c>
      <c r="AC12" s="12">
        <v>642</v>
      </c>
      <c r="AD12" s="12">
        <v>410</v>
      </c>
      <c r="AE12" s="12">
        <v>308</v>
      </c>
      <c r="AF12" s="12">
        <v>138</v>
      </c>
    </row>
    <row r="13" spans="1:32">
      <c r="A13" s="19"/>
      <c r="B13" s="13" t="s">
        <v>1382</v>
      </c>
      <c r="C13" s="14">
        <v>0.32</v>
      </c>
      <c r="D13" s="14">
        <v>0.31</v>
      </c>
      <c r="E13" s="14">
        <v>0.34</v>
      </c>
      <c r="F13" s="14">
        <v>0.44</v>
      </c>
      <c r="G13" s="14">
        <v>0.26</v>
      </c>
      <c r="H13" s="14">
        <v>0.35</v>
      </c>
      <c r="I13" s="14">
        <v>0.33</v>
      </c>
      <c r="J13" s="14">
        <v>0.23</v>
      </c>
      <c r="K13" s="14">
        <v>0.3</v>
      </c>
      <c r="L13" s="14">
        <v>0.34</v>
      </c>
      <c r="M13" s="14">
        <v>0.3</v>
      </c>
      <c r="N13" s="14">
        <v>0.42</v>
      </c>
      <c r="O13" s="14">
        <v>0.26</v>
      </c>
      <c r="P13" s="14">
        <v>0.44</v>
      </c>
      <c r="Q13" s="14">
        <v>0.12</v>
      </c>
      <c r="R13" s="14">
        <v>0.34</v>
      </c>
      <c r="S13" s="14">
        <v>0.27</v>
      </c>
      <c r="T13" s="14">
        <v>0.36</v>
      </c>
      <c r="U13" s="14">
        <v>0.25</v>
      </c>
      <c r="V13" s="14">
        <v>0.28000000000000003</v>
      </c>
      <c r="W13" s="14">
        <v>0.4</v>
      </c>
      <c r="X13" s="14">
        <v>0.36</v>
      </c>
      <c r="Y13" s="14">
        <v>0.46</v>
      </c>
      <c r="Z13" s="14">
        <v>0.4</v>
      </c>
      <c r="AA13" s="14">
        <v>0.42</v>
      </c>
      <c r="AB13" s="14">
        <v>0.42</v>
      </c>
      <c r="AC13" s="14">
        <v>0.64</v>
      </c>
      <c r="AD13" s="14">
        <v>0.41</v>
      </c>
      <c r="AE13" s="14">
        <v>0.31</v>
      </c>
      <c r="AF13" s="14">
        <v>0.14000000000000001</v>
      </c>
    </row>
    <row r="14" spans="1:32">
      <c r="A14" s="19"/>
      <c r="B14" s="11" t="s">
        <v>1383</v>
      </c>
      <c r="C14" s="12">
        <v>10680</v>
      </c>
      <c r="D14" s="12">
        <v>341</v>
      </c>
      <c r="E14" s="12">
        <v>231</v>
      </c>
      <c r="F14" s="12">
        <v>326</v>
      </c>
      <c r="G14" s="12">
        <v>452</v>
      </c>
      <c r="H14" s="12">
        <v>461</v>
      </c>
      <c r="I14" s="12">
        <v>558</v>
      </c>
      <c r="J14" s="12">
        <v>97</v>
      </c>
      <c r="K14" s="12">
        <v>305</v>
      </c>
      <c r="L14" s="12">
        <v>177</v>
      </c>
      <c r="M14" s="12">
        <v>233</v>
      </c>
      <c r="N14" s="12">
        <v>291</v>
      </c>
      <c r="O14" s="12">
        <v>502</v>
      </c>
      <c r="P14" s="12">
        <v>309</v>
      </c>
      <c r="Q14" s="12">
        <v>715</v>
      </c>
      <c r="R14" s="12">
        <v>161</v>
      </c>
      <c r="S14" s="12">
        <v>384</v>
      </c>
      <c r="T14" s="12">
        <v>279</v>
      </c>
      <c r="U14" s="12">
        <v>260</v>
      </c>
      <c r="V14" s="12">
        <v>368</v>
      </c>
      <c r="W14" s="12">
        <v>179</v>
      </c>
      <c r="X14" s="12">
        <v>409</v>
      </c>
      <c r="Y14" s="12">
        <v>188</v>
      </c>
      <c r="Z14" s="12">
        <v>321</v>
      </c>
      <c r="AA14" s="12">
        <v>300</v>
      </c>
      <c r="AB14" s="12">
        <v>261</v>
      </c>
      <c r="AC14" s="12">
        <v>239</v>
      </c>
      <c r="AD14" s="12">
        <v>389</v>
      </c>
      <c r="AE14" s="12">
        <v>423</v>
      </c>
      <c r="AF14" s="12">
        <v>590</v>
      </c>
    </row>
    <row r="15" spans="1:32">
      <c r="A15" s="19"/>
      <c r="B15" s="13" t="s">
        <v>1384</v>
      </c>
      <c r="C15" s="14">
        <v>0.4</v>
      </c>
      <c r="D15" s="14">
        <v>0.34</v>
      </c>
      <c r="E15" s="14">
        <v>0.22</v>
      </c>
      <c r="F15" s="14">
        <v>0.31</v>
      </c>
      <c r="G15" s="14">
        <v>0.45</v>
      </c>
      <c r="H15" s="14">
        <v>0.38</v>
      </c>
      <c r="I15" s="14">
        <v>0.36</v>
      </c>
      <c r="J15" s="14">
        <v>0.32</v>
      </c>
      <c r="K15" s="14">
        <v>0.3</v>
      </c>
      <c r="L15" s="14">
        <v>0.18</v>
      </c>
      <c r="M15" s="14">
        <v>0.23</v>
      </c>
      <c r="N15" s="14">
        <v>0.28999999999999998</v>
      </c>
      <c r="O15" s="14">
        <v>0.5</v>
      </c>
      <c r="P15" s="14">
        <v>0.31</v>
      </c>
      <c r="Q15" s="14">
        <v>0.69000000000000006</v>
      </c>
      <c r="R15" s="14">
        <v>0.32</v>
      </c>
      <c r="S15" s="14">
        <v>0.38</v>
      </c>
      <c r="T15" s="14">
        <v>0.27</v>
      </c>
      <c r="U15" s="14">
        <v>0.51</v>
      </c>
      <c r="V15" s="14">
        <v>0.36</v>
      </c>
      <c r="W15" s="14">
        <v>0.36</v>
      </c>
      <c r="X15" s="14">
        <v>0.4</v>
      </c>
      <c r="Y15" s="14">
        <v>0.19</v>
      </c>
      <c r="Z15" s="14">
        <v>0.31</v>
      </c>
      <c r="AA15" s="14">
        <v>0.28999999999999998</v>
      </c>
      <c r="AB15" s="14">
        <v>0.25</v>
      </c>
      <c r="AC15" s="14">
        <v>0.24</v>
      </c>
      <c r="AD15" s="14">
        <v>0.39</v>
      </c>
      <c r="AE15" s="14">
        <v>0.42</v>
      </c>
      <c r="AF15" s="14">
        <v>0.57000000000000006</v>
      </c>
    </row>
    <row r="16" spans="1:32">
      <c r="A16" s="19"/>
      <c r="B16" s="11" t="s">
        <v>1385</v>
      </c>
      <c r="C16" s="12">
        <v>7447</v>
      </c>
      <c r="D16" s="12">
        <v>362</v>
      </c>
      <c r="E16" s="12">
        <v>464</v>
      </c>
      <c r="F16" s="12">
        <v>272</v>
      </c>
      <c r="G16" s="12">
        <v>295</v>
      </c>
      <c r="H16" s="12">
        <v>336</v>
      </c>
      <c r="I16" s="12">
        <v>469</v>
      </c>
      <c r="J16" s="12">
        <v>133</v>
      </c>
      <c r="K16" s="12">
        <v>397</v>
      </c>
      <c r="L16" s="12">
        <v>485</v>
      </c>
      <c r="M16" s="12">
        <v>469</v>
      </c>
      <c r="N16" s="12">
        <v>292</v>
      </c>
      <c r="O16" s="12">
        <v>237</v>
      </c>
      <c r="P16" s="12">
        <v>254</v>
      </c>
      <c r="Q16" s="12">
        <v>196</v>
      </c>
      <c r="R16" s="12">
        <v>168</v>
      </c>
      <c r="S16" s="12">
        <v>348</v>
      </c>
      <c r="T16" s="12">
        <v>378</v>
      </c>
      <c r="U16" s="12">
        <v>120</v>
      </c>
      <c r="V16" s="12">
        <v>374</v>
      </c>
      <c r="W16" s="12">
        <v>122</v>
      </c>
      <c r="X16" s="12">
        <v>239</v>
      </c>
      <c r="Y16" s="12">
        <v>348</v>
      </c>
      <c r="Z16" s="12">
        <v>291</v>
      </c>
      <c r="AA16" s="12">
        <v>301</v>
      </c>
      <c r="AB16" s="12">
        <v>338</v>
      </c>
      <c r="AC16" s="12">
        <v>124</v>
      </c>
      <c r="AD16" s="12">
        <v>204</v>
      </c>
      <c r="AE16" s="12">
        <v>270</v>
      </c>
      <c r="AF16" s="12">
        <v>303</v>
      </c>
    </row>
    <row r="17" spans="1:32">
      <c r="A17" s="19"/>
      <c r="B17" s="13" t="s">
        <v>1386</v>
      </c>
      <c r="C17" s="14">
        <v>0.28000000000000003</v>
      </c>
      <c r="D17" s="14">
        <v>0.35</v>
      </c>
      <c r="E17" s="14">
        <v>0.44</v>
      </c>
      <c r="F17" s="14">
        <v>0.25</v>
      </c>
      <c r="G17" s="14">
        <v>0.28999999999999998</v>
      </c>
      <c r="H17" s="14">
        <v>0.27</v>
      </c>
      <c r="I17" s="14">
        <v>0.31</v>
      </c>
      <c r="J17" s="14">
        <v>0.45</v>
      </c>
      <c r="K17" s="14">
        <v>0.4</v>
      </c>
      <c r="L17" s="14">
        <v>0.48</v>
      </c>
      <c r="M17" s="14">
        <v>0.47</v>
      </c>
      <c r="N17" s="14">
        <v>0.28999999999999998</v>
      </c>
      <c r="O17" s="14">
        <v>0.24</v>
      </c>
      <c r="P17" s="14">
        <v>0.25</v>
      </c>
      <c r="Q17" s="14">
        <v>0.19</v>
      </c>
      <c r="R17" s="14">
        <v>0.34</v>
      </c>
      <c r="S17" s="14">
        <v>0.35</v>
      </c>
      <c r="T17" s="14">
        <v>0.37</v>
      </c>
      <c r="U17" s="14">
        <v>0.24</v>
      </c>
      <c r="V17" s="14">
        <v>0.36</v>
      </c>
      <c r="W17" s="14">
        <v>0.24</v>
      </c>
      <c r="X17" s="14">
        <v>0.24</v>
      </c>
      <c r="Y17" s="14">
        <v>0.35</v>
      </c>
      <c r="Z17" s="14">
        <v>0.28999999999999998</v>
      </c>
      <c r="AA17" s="14">
        <v>0.28999999999999998</v>
      </c>
      <c r="AB17" s="14">
        <v>0.33</v>
      </c>
      <c r="AC17" s="14">
        <v>0.12</v>
      </c>
      <c r="AD17" s="14">
        <v>0.2</v>
      </c>
      <c r="AE17" s="14">
        <v>0.27</v>
      </c>
      <c r="AF17" s="14">
        <v>0.28999999999999998</v>
      </c>
    </row>
    <row r="18" spans="1:32">
      <c r="A18" s="19"/>
      <c r="B18" s="11" t="s">
        <v>386</v>
      </c>
      <c r="C18" s="12">
        <v>6</v>
      </c>
      <c r="D18" s="12">
        <v>0</v>
      </c>
      <c r="E18" s="12">
        <v>0</v>
      </c>
      <c r="F18" s="12">
        <v>0</v>
      </c>
      <c r="G18" s="12">
        <v>0</v>
      </c>
      <c r="H18" s="12">
        <v>0</v>
      </c>
      <c r="I18" s="12">
        <v>0</v>
      </c>
      <c r="J18" s="12">
        <v>0</v>
      </c>
      <c r="K18" s="12">
        <v>0</v>
      </c>
      <c r="L18" s="12">
        <v>0</v>
      </c>
      <c r="M18" s="12">
        <v>0</v>
      </c>
      <c r="N18" s="12">
        <v>0</v>
      </c>
      <c r="O18" s="12">
        <v>0</v>
      </c>
      <c r="P18" s="12">
        <v>0</v>
      </c>
      <c r="Q18" s="12">
        <v>1</v>
      </c>
      <c r="R18" s="12">
        <v>0</v>
      </c>
      <c r="S18" s="12">
        <v>0</v>
      </c>
      <c r="T18" s="12">
        <v>0</v>
      </c>
      <c r="U18" s="12">
        <v>0</v>
      </c>
      <c r="V18" s="12">
        <v>0</v>
      </c>
      <c r="W18" s="12">
        <v>0</v>
      </c>
      <c r="X18" s="12">
        <v>1</v>
      </c>
      <c r="Y18" s="12">
        <v>1</v>
      </c>
      <c r="Z18" s="12">
        <v>0</v>
      </c>
      <c r="AA18" s="12">
        <v>0</v>
      </c>
      <c r="AB18" s="12">
        <v>0</v>
      </c>
      <c r="AC18" s="12">
        <v>0</v>
      </c>
      <c r="AD18" s="12">
        <v>0</v>
      </c>
      <c r="AE18" s="12">
        <v>0</v>
      </c>
      <c r="AF18" s="12">
        <v>0</v>
      </c>
    </row>
    <row r="19" spans="1:32">
      <c r="A19" s="19"/>
      <c r="B19" s="13" t="s">
        <v>399</v>
      </c>
      <c r="C19" s="15" t="s">
        <v>375</v>
      </c>
      <c r="D19" s="15" t="s">
        <v>375</v>
      </c>
      <c r="E19" s="15" t="s">
        <v>375</v>
      </c>
      <c r="F19" s="15" t="s">
        <v>375</v>
      </c>
      <c r="G19" s="15" t="s">
        <v>375</v>
      </c>
      <c r="H19" s="15" t="s">
        <v>375</v>
      </c>
      <c r="I19" s="15" t="s">
        <v>375</v>
      </c>
      <c r="J19" s="15" t="s">
        <v>375</v>
      </c>
      <c r="K19" s="15" t="s">
        <v>375</v>
      </c>
      <c r="L19" s="15" t="s">
        <v>375</v>
      </c>
      <c r="M19" s="15" t="s">
        <v>375</v>
      </c>
      <c r="N19" s="15" t="s">
        <v>375</v>
      </c>
      <c r="O19" s="15" t="s">
        <v>375</v>
      </c>
      <c r="P19" s="15" t="s">
        <v>375</v>
      </c>
      <c r="Q19" s="15" t="s">
        <v>375</v>
      </c>
      <c r="R19" s="15" t="s">
        <v>375</v>
      </c>
      <c r="S19" s="15" t="s">
        <v>375</v>
      </c>
      <c r="T19" s="15" t="s">
        <v>375</v>
      </c>
      <c r="U19" s="15" t="s">
        <v>375</v>
      </c>
      <c r="V19" s="15" t="s">
        <v>375</v>
      </c>
      <c r="W19" s="15" t="s">
        <v>375</v>
      </c>
      <c r="X19" s="15" t="s">
        <v>375</v>
      </c>
      <c r="Y19" s="15" t="s">
        <v>375</v>
      </c>
      <c r="Z19" s="15" t="s">
        <v>375</v>
      </c>
      <c r="AA19" s="15" t="s">
        <v>375</v>
      </c>
      <c r="AB19" s="15" t="s">
        <v>375</v>
      </c>
      <c r="AC19" s="15" t="s">
        <v>375</v>
      </c>
      <c r="AD19" s="15" t="s">
        <v>375</v>
      </c>
      <c r="AE19" s="15" t="s">
        <v>375</v>
      </c>
      <c r="AF19" s="15" t="s">
        <v>375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289</v>
      </c>
      <c r="C3" s="17"/>
      <c r="D3" s="17"/>
      <c r="E3" s="17"/>
      <c r="F3" s="17"/>
      <c r="H3" s="17" t="s">
        <v>290</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1387</v>
      </c>
      <c r="C12" s="12">
        <v>1734</v>
      </c>
      <c r="D12" s="12">
        <v>104</v>
      </c>
      <c r="E12" s="12">
        <v>141</v>
      </c>
      <c r="F12" s="12">
        <v>56</v>
      </c>
      <c r="G12" s="12">
        <v>8</v>
      </c>
      <c r="H12" s="12">
        <v>62</v>
      </c>
      <c r="I12" s="12">
        <v>76</v>
      </c>
      <c r="J12" s="12">
        <v>13</v>
      </c>
      <c r="K12" s="12">
        <v>96</v>
      </c>
      <c r="L12" s="12">
        <v>75</v>
      </c>
      <c r="M12" s="12">
        <v>244</v>
      </c>
      <c r="N12" s="12">
        <v>65</v>
      </c>
      <c r="O12" s="12">
        <v>68</v>
      </c>
      <c r="P12" s="12">
        <v>75</v>
      </c>
      <c r="Q12" s="12">
        <v>63</v>
      </c>
      <c r="R12" s="12">
        <v>78</v>
      </c>
      <c r="S12" s="12">
        <v>54</v>
      </c>
      <c r="T12" s="12">
        <v>40</v>
      </c>
      <c r="U12" s="12">
        <v>31</v>
      </c>
      <c r="V12" s="12">
        <v>27</v>
      </c>
      <c r="W12" s="12">
        <v>50</v>
      </c>
      <c r="X12" s="12">
        <v>63</v>
      </c>
      <c r="Y12" s="12">
        <v>58</v>
      </c>
      <c r="Z12" s="12">
        <v>20</v>
      </c>
      <c r="AA12" s="12">
        <v>214</v>
      </c>
      <c r="AB12" s="12">
        <v>108</v>
      </c>
      <c r="AC12" s="12">
        <v>41</v>
      </c>
      <c r="AD12" s="12">
        <v>22</v>
      </c>
      <c r="AE12" s="12">
        <v>43</v>
      </c>
      <c r="AF12" s="12">
        <v>16</v>
      </c>
    </row>
    <row r="13" spans="1:32">
      <c r="A13" s="19"/>
      <c r="B13" s="13" t="s">
        <v>1388</v>
      </c>
      <c r="C13" s="14">
        <v>7.0000000000000007E-2</v>
      </c>
      <c r="D13" s="14">
        <v>0.1</v>
      </c>
      <c r="E13" s="14">
        <v>0.13</v>
      </c>
      <c r="F13" s="14">
        <v>0.05</v>
      </c>
      <c r="G13" s="14">
        <v>0.01</v>
      </c>
      <c r="H13" s="14">
        <v>0.05</v>
      </c>
      <c r="I13" s="14">
        <v>0.05</v>
      </c>
      <c r="J13" s="14">
        <v>0.05</v>
      </c>
      <c r="K13" s="14">
        <v>0.09</v>
      </c>
      <c r="L13" s="14">
        <v>0.08</v>
      </c>
      <c r="M13" s="14">
        <v>0.24</v>
      </c>
      <c r="N13" s="14">
        <v>0.06</v>
      </c>
      <c r="O13" s="14">
        <v>7.0000000000000007E-2</v>
      </c>
      <c r="P13" s="14">
        <v>7.0000000000000007E-2</v>
      </c>
      <c r="Q13" s="14">
        <v>0.06</v>
      </c>
      <c r="R13" s="14">
        <v>0.15</v>
      </c>
      <c r="S13" s="14">
        <v>0.05</v>
      </c>
      <c r="T13" s="14">
        <v>0.04</v>
      </c>
      <c r="U13" s="14">
        <v>0.06</v>
      </c>
      <c r="V13" s="14">
        <v>0.03</v>
      </c>
      <c r="W13" s="14">
        <v>0.1</v>
      </c>
      <c r="X13" s="14">
        <v>0.06</v>
      </c>
      <c r="Y13" s="14">
        <v>0.06</v>
      </c>
      <c r="Z13" s="14">
        <v>0.02</v>
      </c>
      <c r="AA13" s="14">
        <v>0.2</v>
      </c>
      <c r="AB13" s="14">
        <v>0.1</v>
      </c>
      <c r="AC13" s="14">
        <v>0.04</v>
      </c>
      <c r="AD13" s="14">
        <v>0.02</v>
      </c>
      <c r="AE13" s="14">
        <v>0.04</v>
      </c>
      <c r="AF13" s="14">
        <v>0.02</v>
      </c>
    </row>
    <row r="14" spans="1:32">
      <c r="A14" s="19"/>
      <c r="B14" s="11" t="s">
        <v>1389</v>
      </c>
      <c r="C14" s="12">
        <v>7021</v>
      </c>
      <c r="D14" s="12">
        <v>293</v>
      </c>
      <c r="E14" s="12">
        <v>445</v>
      </c>
      <c r="F14" s="12">
        <v>302</v>
      </c>
      <c r="G14" s="12">
        <v>63</v>
      </c>
      <c r="H14" s="12">
        <v>225</v>
      </c>
      <c r="I14" s="12">
        <v>279</v>
      </c>
      <c r="J14" s="12">
        <v>54</v>
      </c>
      <c r="K14" s="12">
        <v>208</v>
      </c>
      <c r="L14" s="12">
        <v>345</v>
      </c>
      <c r="M14" s="12">
        <v>576</v>
      </c>
      <c r="N14" s="12">
        <v>189</v>
      </c>
      <c r="O14" s="12">
        <v>308</v>
      </c>
      <c r="P14" s="12">
        <v>436</v>
      </c>
      <c r="Q14" s="12">
        <v>421</v>
      </c>
      <c r="R14" s="12">
        <v>174</v>
      </c>
      <c r="S14" s="12">
        <v>205</v>
      </c>
      <c r="T14" s="12">
        <v>185</v>
      </c>
      <c r="U14" s="12">
        <v>60</v>
      </c>
      <c r="V14" s="12">
        <v>134</v>
      </c>
      <c r="W14" s="12">
        <v>126</v>
      </c>
      <c r="X14" s="12">
        <v>139</v>
      </c>
      <c r="Y14" s="12">
        <v>203</v>
      </c>
      <c r="Z14" s="12">
        <v>185</v>
      </c>
      <c r="AA14" s="12">
        <v>382</v>
      </c>
      <c r="AB14" s="12">
        <v>527</v>
      </c>
      <c r="AC14" s="12">
        <v>147</v>
      </c>
      <c r="AD14" s="12">
        <v>176</v>
      </c>
      <c r="AE14" s="12">
        <v>165</v>
      </c>
      <c r="AF14" s="12">
        <v>86</v>
      </c>
    </row>
    <row r="15" spans="1:32">
      <c r="A15" s="19"/>
      <c r="B15" s="13" t="s">
        <v>1390</v>
      </c>
      <c r="C15" s="14">
        <v>0.26</v>
      </c>
      <c r="D15" s="14">
        <v>0.28999999999999998</v>
      </c>
      <c r="E15" s="14">
        <v>0.43</v>
      </c>
      <c r="F15" s="14">
        <v>0.28999999999999998</v>
      </c>
      <c r="G15" s="14">
        <v>0.06</v>
      </c>
      <c r="H15" s="14">
        <v>0.18</v>
      </c>
      <c r="I15" s="14">
        <v>0.18</v>
      </c>
      <c r="J15" s="14">
        <v>0.18</v>
      </c>
      <c r="K15" s="14">
        <v>0.21</v>
      </c>
      <c r="L15" s="14">
        <v>0.34</v>
      </c>
      <c r="M15" s="14">
        <v>0.57000000000000006</v>
      </c>
      <c r="N15" s="14">
        <v>0.19</v>
      </c>
      <c r="O15" s="14">
        <v>0.31</v>
      </c>
      <c r="P15" s="14">
        <v>0.44</v>
      </c>
      <c r="Q15" s="14">
        <v>0.41</v>
      </c>
      <c r="R15" s="14">
        <v>0.35</v>
      </c>
      <c r="S15" s="14">
        <v>0.21</v>
      </c>
      <c r="T15" s="14">
        <v>0.18</v>
      </c>
      <c r="U15" s="14">
        <v>0.12</v>
      </c>
      <c r="V15" s="14">
        <v>0.13</v>
      </c>
      <c r="W15" s="14">
        <v>0.25</v>
      </c>
      <c r="X15" s="14">
        <v>0.14000000000000001</v>
      </c>
      <c r="Y15" s="14">
        <v>0.2</v>
      </c>
      <c r="Z15" s="14">
        <v>0.18</v>
      </c>
      <c r="AA15" s="14">
        <v>0.37</v>
      </c>
      <c r="AB15" s="14">
        <v>0.51</v>
      </c>
      <c r="AC15" s="14">
        <v>0.15</v>
      </c>
      <c r="AD15" s="14">
        <v>0.18</v>
      </c>
      <c r="AE15" s="14">
        <v>0.17</v>
      </c>
      <c r="AF15" s="14">
        <v>0.08</v>
      </c>
    </row>
    <row r="16" spans="1:32">
      <c r="A16" s="19"/>
      <c r="B16" s="11" t="s">
        <v>1391</v>
      </c>
      <c r="C16" s="12">
        <v>17539</v>
      </c>
      <c r="D16" s="12">
        <v>621</v>
      </c>
      <c r="E16" s="12">
        <v>435</v>
      </c>
      <c r="F16" s="12">
        <v>703</v>
      </c>
      <c r="G16" s="12">
        <v>941</v>
      </c>
      <c r="H16" s="12">
        <v>939</v>
      </c>
      <c r="I16" s="12">
        <v>1166</v>
      </c>
      <c r="J16" s="12">
        <v>227</v>
      </c>
      <c r="K16" s="12">
        <v>685</v>
      </c>
      <c r="L16" s="12">
        <v>582</v>
      </c>
      <c r="M16" s="12">
        <v>183</v>
      </c>
      <c r="N16" s="12">
        <v>754</v>
      </c>
      <c r="O16" s="12">
        <v>614</v>
      </c>
      <c r="P16" s="12">
        <v>493</v>
      </c>
      <c r="Q16" s="12">
        <v>542</v>
      </c>
      <c r="R16" s="12">
        <v>249</v>
      </c>
      <c r="S16" s="12">
        <v>733</v>
      </c>
      <c r="T16" s="12">
        <v>791</v>
      </c>
      <c r="U16" s="12">
        <v>410</v>
      </c>
      <c r="V16" s="12">
        <v>862</v>
      </c>
      <c r="W16" s="12">
        <v>326</v>
      </c>
      <c r="X16" s="12">
        <v>806</v>
      </c>
      <c r="Y16" s="12">
        <v>719</v>
      </c>
      <c r="Z16" s="12">
        <v>810</v>
      </c>
      <c r="AA16" s="12">
        <v>435</v>
      </c>
      <c r="AB16" s="12">
        <v>405</v>
      </c>
      <c r="AC16" s="12">
        <v>817</v>
      </c>
      <c r="AD16" s="12">
        <v>793</v>
      </c>
      <c r="AE16" s="12">
        <v>791</v>
      </c>
      <c r="AF16" s="12">
        <v>915</v>
      </c>
    </row>
    <row r="17" spans="1:32">
      <c r="A17" s="19"/>
      <c r="B17" s="13" t="s">
        <v>1392</v>
      </c>
      <c r="C17" s="14">
        <v>0.66</v>
      </c>
      <c r="D17" s="14">
        <v>0.61</v>
      </c>
      <c r="E17" s="14">
        <v>0.42</v>
      </c>
      <c r="F17" s="14">
        <v>0.66</v>
      </c>
      <c r="G17" s="14">
        <v>0.93</v>
      </c>
      <c r="H17" s="14">
        <v>0.77</v>
      </c>
      <c r="I17" s="14">
        <v>0.76</v>
      </c>
      <c r="J17" s="14">
        <v>0.76</v>
      </c>
      <c r="K17" s="14">
        <v>0.68</v>
      </c>
      <c r="L17" s="14">
        <v>0.57999999999999996</v>
      </c>
      <c r="M17" s="14">
        <v>0.18</v>
      </c>
      <c r="N17" s="14">
        <v>0.75</v>
      </c>
      <c r="O17" s="14">
        <v>0.61</v>
      </c>
      <c r="P17" s="14">
        <v>0.49</v>
      </c>
      <c r="Q17" s="14">
        <v>0.53</v>
      </c>
      <c r="R17" s="14">
        <v>0.5</v>
      </c>
      <c r="S17" s="14">
        <v>0.73</v>
      </c>
      <c r="T17" s="14">
        <v>0.77</v>
      </c>
      <c r="U17" s="14">
        <v>0.81</v>
      </c>
      <c r="V17" s="14">
        <v>0.84</v>
      </c>
      <c r="W17" s="14">
        <v>0.65</v>
      </c>
      <c r="X17" s="14">
        <v>0.8</v>
      </c>
      <c r="Y17" s="14">
        <v>0.72</v>
      </c>
      <c r="Z17" s="14">
        <v>0.8</v>
      </c>
      <c r="AA17" s="14">
        <v>0.42</v>
      </c>
      <c r="AB17" s="14">
        <v>0.39</v>
      </c>
      <c r="AC17" s="14">
        <v>0.81</v>
      </c>
      <c r="AD17" s="14">
        <v>0.79</v>
      </c>
      <c r="AE17" s="14">
        <v>0.79</v>
      </c>
      <c r="AF17" s="14">
        <v>0.89</v>
      </c>
    </row>
    <row r="18" spans="1:32">
      <c r="A18" s="19"/>
      <c r="B18" s="11" t="s">
        <v>1094</v>
      </c>
      <c r="C18" s="12">
        <v>159</v>
      </c>
      <c r="D18" s="12">
        <v>4</v>
      </c>
      <c r="E18" s="12">
        <v>24</v>
      </c>
      <c r="F18" s="12">
        <v>4</v>
      </c>
      <c r="G18" s="12">
        <v>4</v>
      </c>
      <c r="H18" s="12">
        <v>4</v>
      </c>
      <c r="I18" s="12">
        <v>7</v>
      </c>
      <c r="J18" s="12">
        <v>3</v>
      </c>
      <c r="K18" s="12">
        <v>17</v>
      </c>
      <c r="L18" s="12">
        <v>4</v>
      </c>
      <c r="M18" s="12">
        <v>4</v>
      </c>
      <c r="N18" s="12">
        <v>3</v>
      </c>
      <c r="O18" s="12">
        <v>14</v>
      </c>
      <c r="P18" s="12">
        <v>0</v>
      </c>
      <c r="Q18" s="12">
        <v>5</v>
      </c>
      <c r="R18" s="12">
        <v>0</v>
      </c>
      <c r="S18" s="12">
        <v>12</v>
      </c>
      <c r="T18" s="12">
        <v>7</v>
      </c>
      <c r="U18" s="12">
        <v>7</v>
      </c>
      <c r="V18" s="12">
        <v>3</v>
      </c>
      <c r="W18" s="12">
        <v>0</v>
      </c>
      <c r="X18" s="12">
        <v>2</v>
      </c>
      <c r="Y18" s="12">
        <v>22</v>
      </c>
      <c r="Z18" s="12">
        <v>2</v>
      </c>
      <c r="AA18" s="12">
        <v>7</v>
      </c>
      <c r="AB18" s="12">
        <v>0</v>
      </c>
      <c r="AC18" s="12">
        <v>0</v>
      </c>
      <c r="AD18" s="12">
        <v>12</v>
      </c>
      <c r="AE18" s="12">
        <v>2</v>
      </c>
      <c r="AF18" s="12">
        <v>13</v>
      </c>
    </row>
    <row r="19" spans="1:32">
      <c r="A19" s="19"/>
      <c r="B19" s="13" t="s">
        <v>1095</v>
      </c>
      <c r="C19" s="14">
        <v>0.01</v>
      </c>
      <c r="D19" s="15" t="s">
        <v>375</v>
      </c>
      <c r="E19" s="14">
        <v>0.02</v>
      </c>
      <c r="F19" s="15" t="s">
        <v>375</v>
      </c>
      <c r="G19" s="15" t="s">
        <v>375</v>
      </c>
      <c r="H19" s="15" t="s">
        <v>375</v>
      </c>
      <c r="I19" s="14">
        <v>0.01</v>
      </c>
      <c r="J19" s="14">
        <v>0.01</v>
      </c>
      <c r="K19" s="14">
        <v>0.02</v>
      </c>
      <c r="L19" s="15" t="s">
        <v>375</v>
      </c>
      <c r="M19" s="14">
        <v>0.01</v>
      </c>
      <c r="N19" s="15" t="s">
        <v>375</v>
      </c>
      <c r="O19" s="14">
        <v>0.01</v>
      </c>
      <c r="P19" s="15" t="s">
        <v>375</v>
      </c>
      <c r="Q19" s="15" t="s">
        <v>375</v>
      </c>
      <c r="R19" s="15" t="s">
        <v>375</v>
      </c>
      <c r="S19" s="14">
        <v>0.01</v>
      </c>
      <c r="T19" s="14">
        <v>0.01</v>
      </c>
      <c r="U19" s="14">
        <v>0.01</v>
      </c>
      <c r="V19" s="15" t="s">
        <v>375</v>
      </c>
      <c r="W19" s="15" t="s">
        <v>375</v>
      </c>
      <c r="X19" s="15" t="s">
        <v>375</v>
      </c>
      <c r="Y19" s="14">
        <v>0.02</v>
      </c>
      <c r="Z19" s="15" t="s">
        <v>375</v>
      </c>
      <c r="AA19" s="14">
        <v>0.01</v>
      </c>
      <c r="AB19" s="15" t="s">
        <v>375</v>
      </c>
      <c r="AC19" s="15" t="s">
        <v>375</v>
      </c>
      <c r="AD19" s="14">
        <v>0.01</v>
      </c>
      <c r="AE19" s="15" t="s">
        <v>375</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291</v>
      </c>
      <c r="C3" s="17"/>
      <c r="D3" s="17"/>
      <c r="E3" s="17"/>
      <c r="F3" s="17"/>
      <c r="H3" s="17" t="s">
        <v>292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1393</v>
      </c>
      <c r="C12" s="12">
        <v>5273</v>
      </c>
      <c r="D12" s="12">
        <v>200</v>
      </c>
      <c r="E12" s="12">
        <v>87</v>
      </c>
      <c r="F12" s="12">
        <v>151</v>
      </c>
      <c r="G12" s="12">
        <v>657</v>
      </c>
      <c r="H12" s="12">
        <v>263</v>
      </c>
      <c r="I12" s="12">
        <v>312</v>
      </c>
      <c r="J12" s="12">
        <v>49</v>
      </c>
      <c r="K12" s="12">
        <v>135</v>
      </c>
      <c r="L12" s="12">
        <v>392</v>
      </c>
      <c r="M12" s="12">
        <v>82</v>
      </c>
      <c r="N12" s="12">
        <v>328</v>
      </c>
      <c r="O12" s="12">
        <v>171</v>
      </c>
      <c r="P12" s="12">
        <v>153</v>
      </c>
      <c r="Q12" s="12">
        <v>94</v>
      </c>
      <c r="R12" s="12">
        <v>86</v>
      </c>
      <c r="S12" s="12">
        <v>154</v>
      </c>
      <c r="T12" s="12">
        <v>221</v>
      </c>
      <c r="U12" s="12">
        <v>164</v>
      </c>
      <c r="V12" s="12">
        <v>96</v>
      </c>
      <c r="W12" s="12">
        <v>123</v>
      </c>
      <c r="X12" s="12">
        <v>451</v>
      </c>
      <c r="Y12" s="12">
        <v>341</v>
      </c>
      <c r="Z12" s="12">
        <v>126</v>
      </c>
      <c r="AA12" s="12">
        <v>38</v>
      </c>
      <c r="AB12" s="12">
        <v>72</v>
      </c>
      <c r="AC12" s="12">
        <v>332</v>
      </c>
      <c r="AD12" s="12">
        <v>210</v>
      </c>
      <c r="AE12" s="12">
        <v>353</v>
      </c>
      <c r="AF12" s="12">
        <v>439</v>
      </c>
    </row>
    <row r="13" spans="1:32">
      <c r="A13" s="19"/>
      <c r="B13" s="13" t="s">
        <v>1394</v>
      </c>
      <c r="C13" s="14">
        <v>0.2</v>
      </c>
      <c r="D13" s="14">
        <v>0.19</v>
      </c>
      <c r="E13" s="14">
        <v>0.08</v>
      </c>
      <c r="F13" s="14">
        <v>0.14000000000000001</v>
      </c>
      <c r="G13" s="14">
        <v>0.65</v>
      </c>
      <c r="H13" s="14">
        <v>0.21</v>
      </c>
      <c r="I13" s="14">
        <v>0.2</v>
      </c>
      <c r="J13" s="14">
        <v>0.17</v>
      </c>
      <c r="K13" s="14">
        <v>0.14000000000000001</v>
      </c>
      <c r="L13" s="14">
        <v>0.39</v>
      </c>
      <c r="M13" s="14">
        <v>0.08</v>
      </c>
      <c r="N13" s="14">
        <v>0.32</v>
      </c>
      <c r="O13" s="14">
        <v>0.17</v>
      </c>
      <c r="P13" s="14">
        <v>0.15</v>
      </c>
      <c r="Q13" s="14">
        <v>0.09</v>
      </c>
      <c r="R13" s="14">
        <v>0.17</v>
      </c>
      <c r="S13" s="14">
        <v>0.15</v>
      </c>
      <c r="T13" s="14">
        <v>0.22</v>
      </c>
      <c r="U13" s="14">
        <v>0.32</v>
      </c>
      <c r="V13" s="14">
        <v>0.1</v>
      </c>
      <c r="W13" s="14">
        <v>0.25</v>
      </c>
      <c r="X13" s="14">
        <v>0.45</v>
      </c>
      <c r="Y13" s="14">
        <v>0.34</v>
      </c>
      <c r="Z13" s="14">
        <v>0.12</v>
      </c>
      <c r="AA13" s="14">
        <v>0.04</v>
      </c>
      <c r="AB13" s="14">
        <v>7.0000000000000007E-2</v>
      </c>
      <c r="AC13" s="14">
        <v>0.33</v>
      </c>
      <c r="AD13" s="14">
        <v>0.21</v>
      </c>
      <c r="AE13" s="14">
        <v>0.35</v>
      </c>
      <c r="AF13" s="14">
        <v>0.43</v>
      </c>
    </row>
    <row r="14" spans="1:32">
      <c r="A14" s="19"/>
      <c r="B14" s="11" t="s">
        <v>1395</v>
      </c>
      <c r="C14" s="12">
        <v>17076</v>
      </c>
      <c r="D14" s="12">
        <v>670</v>
      </c>
      <c r="E14" s="12">
        <v>626</v>
      </c>
      <c r="F14" s="12">
        <v>775</v>
      </c>
      <c r="G14" s="12">
        <v>311</v>
      </c>
      <c r="H14" s="12">
        <v>826</v>
      </c>
      <c r="I14" s="12">
        <v>1018</v>
      </c>
      <c r="J14" s="12">
        <v>191</v>
      </c>
      <c r="K14" s="12">
        <v>687</v>
      </c>
      <c r="L14" s="12">
        <v>567</v>
      </c>
      <c r="M14" s="12">
        <v>575</v>
      </c>
      <c r="N14" s="12">
        <v>557</v>
      </c>
      <c r="O14" s="12">
        <v>652</v>
      </c>
      <c r="P14" s="12">
        <v>587</v>
      </c>
      <c r="Q14" s="12">
        <v>760</v>
      </c>
      <c r="R14" s="12">
        <v>347</v>
      </c>
      <c r="S14" s="12">
        <v>664</v>
      </c>
      <c r="T14" s="12">
        <v>649</v>
      </c>
      <c r="U14" s="12">
        <v>311</v>
      </c>
      <c r="V14" s="12">
        <v>722</v>
      </c>
      <c r="W14" s="12">
        <v>323</v>
      </c>
      <c r="X14" s="12">
        <v>491</v>
      </c>
      <c r="Y14" s="12">
        <v>526</v>
      </c>
      <c r="Z14" s="12">
        <v>800</v>
      </c>
      <c r="AA14" s="12">
        <v>822</v>
      </c>
      <c r="AB14" s="12">
        <v>570</v>
      </c>
      <c r="AC14" s="12">
        <v>619</v>
      </c>
      <c r="AD14" s="12">
        <v>661</v>
      </c>
      <c r="AE14" s="12">
        <v>579</v>
      </c>
      <c r="AF14" s="12">
        <v>527</v>
      </c>
    </row>
    <row r="15" spans="1:32">
      <c r="A15" s="19"/>
      <c r="B15" s="13" t="s">
        <v>1396</v>
      </c>
      <c r="C15" s="14">
        <v>0.65</v>
      </c>
      <c r="D15" s="14">
        <v>0.66</v>
      </c>
      <c r="E15" s="14">
        <v>0.6</v>
      </c>
      <c r="F15" s="14">
        <v>0.73</v>
      </c>
      <c r="G15" s="14">
        <v>0.3</v>
      </c>
      <c r="H15" s="14">
        <v>0.67</v>
      </c>
      <c r="I15" s="14">
        <v>0.67</v>
      </c>
      <c r="J15" s="14">
        <v>0.64</v>
      </c>
      <c r="K15" s="14">
        <v>0.68</v>
      </c>
      <c r="L15" s="14">
        <v>0.56000000000000005</v>
      </c>
      <c r="M15" s="14">
        <v>0.57000000000000006</v>
      </c>
      <c r="N15" s="14">
        <v>0.55000000000000004</v>
      </c>
      <c r="O15" s="14">
        <v>0.65</v>
      </c>
      <c r="P15" s="14">
        <v>0.57999999999999996</v>
      </c>
      <c r="Q15" s="14">
        <v>0.74</v>
      </c>
      <c r="R15" s="14">
        <v>0.69000000000000006</v>
      </c>
      <c r="S15" s="14">
        <v>0.66</v>
      </c>
      <c r="T15" s="14">
        <v>0.63</v>
      </c>
      <c r="U15" s="14">
        <v>0.61</v>
      </c>
      <c r="V15" s="14">
        <v>0.70000000000000007</v>
      </c>
      <c r="W15" s="14">
        <v>0.64</v>
      </c>
      <c r="X15" s="14">
        <v>0.49</v>
      </c>
      <c r="Y15" s="14">
        <v>0.53</v>
      </c>
      <c r="Z15" s="14">
        <v>0.79</v>
      </c>
      <c r="AA15" s="14">
        <v>0.79</v>
      </c>
      <c r="AB15" s="14">
        <v>0.55000000000000004</v>
      </c>
      <c r="AC15" s="14">
        <v>0.62</v>
      </c>
      <c r="AD15" s="14">
        <v>0.66</v>
      </c>
      <c r="AE15" s="14">
        <v>0.57999999999999996</v>
      </c>
      <c r="AF15" s="14">
        <v>0.51</v>
      </c>
    </row>
    <row r="16" spans="1:32">
      <c r="A16" s="19"/>
      <c r="B16" s="11" t="s">
        <v>1397</v>
      </c>
      <c r="C16" s="12">
        <v>3513</v>
      </c>
      <c r="D16" s="12">
        <v>129</v>
      </c>
      <c r="E16" s="12">
        <v>274</v>
      </c>
      <c r="F16" s="12">
        <v>119</v>
      </c>
      <c r="G16" s="12">
        <v>39</v>
      </c>
      <c r="H16" s="12">
        <v>124</v>
      </c>
      <c r="I16" s="12">
        <v>169</v>
      </c>
      <c r="J16" s="12">
        <v>46</v>
      </c>
      <c r="K16" s="12">
        <v>152</v>
      </c>
      <c r="L16" s="12">
        <v>40</v>
      </c>
      <c r="M16" s="12">
        <v>295</v>
      </c>
      <c r="N16" s="12">
        <v>110</v>
      </c>
      <c r="O16" s="12">
        <v>144</v>
      </c>
      <c r="P16" s="12">
        <v>237</v>
      </c>
      <c r="Q16" s="12">
        <v>165</v>
      </c>
      <c r="R16" s="12">
        <v>60</v>
      </c>
      <c r="S16" s="12">
        <v>168</v>
      </c>
      <c r="T16" s="12">
        <v>130</v>
      </c>
      <c r="U16" s="12">
        <v>28</v>
      </c>
      <c r="V16" s="12">
        <v>181</v>
      </c>
      <c r="W16" s="12">
        <v>48</v>
      </c>
      <c r="X16" s="12">
        <v>62</v>
      </c>
      <c r="Y16" s="12">
        <v>115</v>
      </c>
      <c r="Z16" s="12">
        <v>77</v>
      </c>
      <c r="AA16" s="12">
        <v>155</v>
      </c>
      <c r="AB16" s="12">
        <v>329</v>
      </c>
      <c r="AC16" s="12">
        <v>46</v>
      </c>
      <c r="AD16" s="12">
        <v>126</v>
      </c>
      <c r="AE16" s="12">
        <v>57</v>
      </c>
      <c r="AF16" s="12">
        <v>56</v>
      </c>
    </row>
    <row r="17" spans="1:32">
      <c r="A17" s="19"/>
      <c r="B17" s="13" t="s">
        <v>1398</v>
      </c>
      <c r="C17" s="14">
        <v>0.13</v>
      </c>
      <c r="D17" s="14">
        <v>0.13</v>
      </c>
      <c r="E17" s="14">
        <v>0.26</v>
      </c>
      <c r="F17" s="14">
        <v>0.11</v>
      </c>
      <c r="G17" s="14">
        <v>0.04</v>
      </c>
      <c r="H17" s="14">
        <v>0.1</v>
      </c>
      <c r="I17" s="14">
        <v>0.11</v>
      </c>
      <c r="J17" s="14">
        <v>0.15</v>
      </c>
      <c r="K17" s="14">
        <v>0.15</v>
      </c>
      <c r="L17" s="14">
        <v>0.04</v>
      </c>
      <c r="M17" s="14">
        <v>0.28999999999999998</v>
      </c>
      <c r="N17" s="14">
        <v>0.11</v>
      </c>
      <c r="O17" s="14">
        <v>0.15</v>
      </c>
      <c r="P17" s="14">
        <v>0.24</v>
      </c>
      <c r="Q17" s="14">
        <v>0.16</v>
      </c>
      <c r="R17" s="14">
        <v>0.12</v>
      </c>
      <c r="S17" s="14">
        <v>0.17</v>
      </c>
      <c r="T17" s="14">
        <v>0.13</v>
      </c>
      <c r="U17" s="14">
        <v>0.06</v>
      </c>
      <c r="V17" s="14">
        <v>0.18</v>
      </c>
      <c r="W17" s="14">
        <v>0.1</v>
      </c>
      <c r="X17" s="14">
        <v>0.06</v>
      </c>
      <c r="Y17" s="14">
        <v>0.11</v>
      </c>
      <c r="Z17" s="14">
        <v>0.08</v>
      </c>
      <c r="AA17" s="14">
        <v>0.15</v>
      </c>
      <c r="AB17" s="14">
        <v>0.32</v>
      </c>
      <c r="AC17" s="14">
        <v>0.04</v>
      </c>
      <c r="AD17" s="14">
        <v>0.12</v>
      </c>
      <c r="AE17" s="14">
        <v>0.06</v>
      </c>
      <c r="AF17" s="14">
        <v>0.05</v>
      </c>
    </row>
    <row r="18" spans="1:32">
      <c r="A18" s="19"/>
      <c r="B18" s="11" t="s">
        <v>1399</v>
      </c>
      <c r="C18" s="12">
        <v>544</v>
      </c>
      <c r="D18" s="12">
        <v>22</v>
      </c>
      <c r="E18" s="12">
        <v>55</v>
      </c>
      <c r="F18" s="12">
        <v>17</v>
      </c>
      <c r="G18" s="12">
        <v>8</v>
      </c>
      <c r="H18" s="12">
        <v>17</v>
      </c>
      <c r="I18" s="12">
        <v>28</v>
      </c>
      <c r="J18" s="12">
        <v>11</v>
      </c>
      <c r="K18" s="12">
        <v>23</v>
      </c>
      <c r="L18" s="12">
        <v>6</v>
      </c>
      <c r="M18" s="12">
        <v>56</v>
      </c>
      <c r="N18" s="12">
        <v>17</v>
      </c>
      <c r="O18" s="12">
        <v>32</v>
      </c>
      <c r="P18" s="12">
        <v>26</v>
      </c>
      <c r="Q18" s="12">
        <v>13</v>
      </c>
      <c r="R18" s="12">
        <v>8</v>
      </c>
      <c r="S18" s="12">
        <v>12</v>
      </c>
      <c r="T18" s="12">
        <v>20</v>
      </c>
      <c r="U18" s="12">
        <v>4</v>
      </c>
      <c r="V18" s="12">
        <v>24</v>
      </c>
      <c r="W18" s="12">
        <v>5</v>
      </c>
      <c r="X18" s="12">
        <v>4</v>
      </c>
      <c r="Y18" s="12">
        <v>20</v>
      </c>
      <c r="Z18" s="12">
        <v>5</v>
      </c>
      <c r="AA18" s="12">
        <v>22</v>
      </c>
      <c r="AB18" s="12">
        <v>68</v>
      </c>
      <c r="AC18" s="12">
        <v>7</v>
      </c>
      <c r="AD18" s="12">
        <v>6</v>
      </c>
      <c r="AE18" s="12">
        <v>8</v>
      </c>
      <c r="AF18" s="12">
        <v>10</v>
      </c>
    </row>
    <row r="19" spans="1:32">
      <c r="A19" s="19"/>
      <c r="B19" s="13" t="s">
        <v>1400</v>
      </c>
      <c r="C19" s="14">
        <v>0.02</v>
      </c>
      <c r="D19" s="14">
        <v>0.02</v>
      </c>
      <c r="E19" s="14">
        <v>0.05</v>
      </c>
      <c r="F19" s="14">
        <v>0.02</v>
      </c>
      <c r="G19" s="14">
        <v>0.01</v>
      </c>
      <c r="H19" s="14">
        <v>0.02</v>
      </c>
      <c r="I19" s="14">
        <v>0.02</v>
      </c>
      <c r="J19" s="14">
        <v>0.04</v>
      </c>
      <c r="K19" s="14">
        <v>0.02</v>
      </c>
      <c r="L19" s="14">
        <v>0.01</v>
      </c>
      <c r="M19" s="14">
        <v>0.06</v>
      </c>
      <c r="N19" s="14">
        <v>0.02</v>
      </c>
      <c r="O19" s="14">
        <v>0.03</v>
      </c>
      <c r="P19" s="14">
        <v>0.03</v>
      </c>
      <c r="Q19" s="14">
        <v>0.01</v>
      </c>
      <c r="R19" s="14">
        <v>0.02</v>
      </c>
      <c r="S19" s="14">
        <v>0.01</v>
      </c>
      <c r="T19" s="14">
        <v>0.02</v>
      </c>
      <c r="U19" s="14">
        <v>0.01</v>
      </c>
      <c r="V19" s="14">
        <v>0.02</v>
      </c>
      <c r="W19" s="14">
        <v>0.01</v>
      </c>
      <c r="X19" s="15" t="s">
        <v>375</v>
      </c>
      <c r="Y19" s="14">
        <v>0.02</v>
      </c>
      <c r="Z19" s="15" t="s">
        <v>375</v>
      </c>
      <c r="AA19" s="14">
        <v>0.02</v>
      </c>
      <c r="AB19" s="14">
        <v>0.06</v>
      </c>
      <c r="AC19" s="14">
        <v>0.01</v>
      </c>
      <c r="AD19" s="14">
        <v>0.01</v>
      </c>
      <c r="AE19" s="14">
        <v>0.01</v>
      </c>
      <c r="AF19" s="14">
        <v>0.01</v>
      </c>
    </row>
    <row r="20" spans="1:32">
      <c r="A20" s="19"/>
      <c r="B20" s="11" t="s">
        <v>386</v>
      </c>
      <c r="C20" s="12">
        <v>47</v>
      </c>
      <c r="D20" s="12">
        <v>0</v>
      </c>
      <c r="E20" s="12">
        <v>4</v>
      </c>
      <c r="F20" s="12">
        <v>3</v>
      </c>
      <c r="G20" s="12">
        <v>0</v>
      </c>
      <c r="H20" s="12">
        <v>0</v>
      </c>
      <c r="I20" s="12">
        <v>0</v>
      </c>
      <c r="J20" s="12">
        <v>0</v>
      </c>
      <c r="K20" s="12">
        <v>8</v>
      </c>
      <c r="L20" s="12">
        <v>1</v>
      </c>
      <c r="M20" s="12">
        <v>0</v>
      </c>
      <c r="N20" s="12">
        <v>0</v>
      </c>
      <c r="O20" s="12">
        <v>4</v>
      </c>
      <c r="P20" s="12">
        <v>0</v>
      </c>
      <c r="Q20" s="12">
        <v>1</v>
      </c>
      <c r="R20" s="12">
        <v>1</v>
      </c>
      <c r="S20" s="12">
        <v>6</v>
      </c>
      <c r="T20" s="12">
        <v>3</v>
      </c>
      <c r="U20" s="12">
        <v>1</v>
      </c>
      <c r="V20" s="12">
        <v>3</v>
      </c>
      <c r="W20" s="12">
        <v>2</v>
      </c>
      <c r="X20" s="12">
        <v>2</v>
      </c>
      <c r="Y20" s="12">
        <v>1</v>
      </c>
      <c r="Z20" s="12">
        <v>9</v>
      </c>
      <c r="AA20" s="12">
        <v>0</v>
      </c>
      <c r="AB20" s="12">
        <v>1</v>
      </c>
      <c r="AC20" s="12">
        <v>0</v>
      </c>
      <c r="AD20" s="12">
        <v>0</v>
      </c>
      <c r="AE20" s="12">
        <v>3</v>
      </c>
      <c r="AF20" s="12">
        <v>0</v>
      </c>
    </row>
    <row r="21" spans="1:32">
      <c r="A21" s="19"/>
      <c r="B21" s="13" t="s">
        <v>399</v>
      </c>
      <c r="C21" s="15" t="s">
        <v>375</v>
      </c>
      <c r="D21" s="15" t="s">
        <v>375</v>
      </c>
      <c r="E21" s="14">
        <v>0.01</v>
      </c>
      <c r="F21" s="15" t="s">
        <v>375</v>
      </c>
      <c r="G21" s="15" t="s">
        <v>375</v>
      </c>
      <c r="H21" s="15" t="s">
        <v>375</v>
      </c>
      <c r="I21" s="15" t="s">
        <v>375</v>
      </c>
      <c r="J21" s="15" t="s">
        <v>375</v>
      </c>
      <c r="K21" s="14">
        <v>0.01</v>
      </c>
      <c r="L21" s="15" t="s">
        <v>375</v>
      </c>
      <c r="M21" s="15" t="s">
        <v>375</v>
      </c>
      <c r="N21" s="15" t="s">
        <v>375</v>
      </c>
      <c r="O21" s="15" t="s">
        <v>375</v>
      </c>
      <c r="P21" s="15" t="s">
        <v>375</v>
      </c>
      <c r="Q21" s="15" t="s">
        <v>375</v>
      </c>
      <c r="R21" s="15" t="s">
        <v>375</v>
      </c>
      <c r="S21" s="14">
        <v>0.01</v>
      </c>
      <c r="T21" s="15" t="s">
        <v>375</v>
      </c>
      <c r="U21" s="15" t="s">
        <v>375</v>
      </c>
      <c r="V21" s="15" t="s">
        <v>375</v>
      </c>
      <c r="W21" s="15" t="s">
        <v>375</v>
      </c>
      <c r="X21" s="15" t="s">
        <v>375</v>
      </c>
      <c r="Y21" s="15" t="s">
        <v>375</v>
      </c>
      <c r="Z21" s="14">
        <v>0.01</v>
      </c>
      <c r="AA21" s="15" t="s">
        <v>375</v>
      </c>
      <c r="AB21" s="15" t="s">
        <v>375</v>
      </c>
      <c r="AC21" s="15" t="s">
        <v>375</v>
      </c>
      <c r="AD21" s="15" t="s">
        <v>375</v>
      </c>
      <c r="AE21" s="15" t="s">
        <v>375</v>
      </c>
      <c r="AF21" s="15" t="s">
        <v>375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293</v>
      </c>
      <c r="C3" s="17"/>
      <c r="D3" s="17"/>
      <c r="E3" s="17"/>
      <c r="F3" s="17"/>
      <c r="H3" s="17" t="s">
        <v>294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1393</v>
      </c>
      <c r="C12" s="12">
        <v>5279</v>
      </c>
      <c r="D12" s="12">
        <v>188</v>
      </c>
      <c r="E12" s="12">
        <v>91</v>
      </c>
      <c r="F12" s="12">
        <v>156</v>
      </c>
      <c r="G12" s="12">
        <v>622</v>
      </c>
      <c r="H12" s="12">
        <v>274</v>
      </c>
      <c r="I12" s="12">
        <v>320</v>
      </c>
      <c r="J12" s="12">
        <v>46</v>
      </c>
      <c r="K12" s="12">
        <v>120</v>
      </c>
      <c r="L12" s="12">
        <v>379</v>
      </c>
      <c r="M12" s="12">
        <v>76</v>
      </c>
      <c r="N12" s="12">
        <v>316</v>
      </c>
      <c r="O12" s="12">
        <v>182</v>
      </c>
      <c r="P12" s="12">
        <v>165</v>
      </c>
      <c r="Q12" s="12">
        <v>99</v>
      </c>
      <c r="R12" s="12">
        <v>84</v>
      </c>
      <c r="S12" s="12">
        <v>119</v>
      </c>
      <c r="T12" s="12">
        <v>230</v>
      </c>
      <c r="U12" s="12">
        <v>163</v>
      </c>
      <c r="V12" s="12">
        <v>104</v>
      </c>
      <c r="W12" s="12">
        <v>107</v>
      </c>
      <c r="X12" s="12">
        <v>420</v>
      </c>
      <c r="Y12" s="12">
        <v>339</v>
      </c>
      <c r="Z12" s="12">
        <v>146</v>
      </c>
      <c r="AA12" s="12">
        <v>47</v>
      </c>
      <c r="AB12" s="12">
        <v>69</v>
      </c>
      <c r="AC12" s="12">
        <v>314</v>
      </c>
      <c r="AD12" s="12">
        <v>221</v>
      </c>
      <c r="AE12" s="12">
        <v>329</v>
      </c>
      <c r="AF12" s="12">
        <v>389</v>
      </c>
    </row>
    <row r="13" spans="1:32">
      <c r="A13" s="19"/>
      <c r="B13" s="13" t="s">
        <v>1394</v>
      </c>
      <c r="C13" s="14">
        <v>0.2</v>
      </c>
      <c r="D13" s="14">
        <v>0.18</v>
      </c>
      <c r="E13" s="14">
        <v>0.09</v>
      </c>
      <c r="F13" s="14">
        <v>0.15</v>
      </c>
      <c r="G13" s="14">
        <v>0.61</v>
      </c>
      <c r="H13" s="14">
        <v>0.22</v>
      </c>
      <c r="I13" s="14">
        <v>0.21</v>
      </c>
      <c r="J13" s="14">
        <v>0.15</v>
      </c>
      <c r="K13" s="14">
        <v>0.12</v>
      </c>
      <c r="L13" s="14">
        <v>0.38</v>
      </c>
      <c r="M13" s="14">
        <v>0.08</v>
      </c>
      <c r="N13" s="14">
        <v>0.31</v>
      </c>
      <c r="O13" s="14">
        <v>0.18</v>
      </c>
      <c r="P13" s="14">
        <v>0.17</v>
      </c>
      <c r="Q13" s="14">
        <v>0.1</v>
      </c>
      <c r="R13" s="14">
        <v>0.17</v>
      </c>
      <c r="S13" s="14">
        <v>0.12</v>
      </c>
      <c r="T13" s="14">
        <v>0.23</v>
      </c>
      <c r="U13" s="14">
        <v>0.32</v>
      </c>
      <c r="V13" s="14">
        <v>0.1</v>
      </c>
      <c r="W13" s="14">
        <v>0.21</v>
      </c>
      <c r="X13" s="14">
        <v>0.42</v>
      </c>
      <c r="Y13" s="14">
        <v>0.34</v>
      </c>
      <c r="Z13" s="14">
        <v>0.14000000000000001</v>
      </c>
      <c r="AA13" s="14">
        <v>0.04</v>
      </c>
      <c r="AB13" s="14">
        <v>7.0000000000000007E-2</v>
      </c>
      <c r="AC13" s="14">
        <v>0.31</v>
      </c>
      <c r="AD13" s="14">
        <v>0.22</v>
      </c>
      <c r="AE13" s="14">
        <v>0.33</v>
      </c>
      <c r="AF13" s="14">
        <v>0.38</v>
      </c>
    </row>
    <row r="14" spans="1:32">
      <c r="A14" s="19"/>
      <c r="B14" s="11" t="s">
        <v>1395</v>
      </c>
      <c r="C14" s="12">
        <v>16997</v>
      </c>
      <c r="D14" s="12">
        <v>681</v>
      </c>
      <c r="E14" s="12">
        <v>623</v>
      </c>
      <c r="F14" s="12">
        <v>776</v>
      </c>
      <c r="G14" s="12">
        <v>347</v>
      </c>
      <c r="H14" s="12">
        <v>823</v>
      </c>
      <c r="I14" s="12">
        <v>1011</v>
      </c>
      <c r="J14" s="12">
        <v>188</v>
      </c>
      <c r="K14" s="12">
        <v>680</v>
      </c>
      <c r="L14" s="12">
        <v>576</v>
      </c>
      <c r="M14" s="12">
        <v>553</v>
      </c>
      <c r="N14" s="12">
        <v>584</v>
      </c>
      <c r="O14" s="12">
        <v>653</v>
      </c>
      <c r="P14" s="12">
        <v>579</v>
      </c>
      <c r="Q14" s="12">
        <v>743</v>
      </c>
      <c r="R14" s="12">
        <v>341</v>
      </c>
      <c r="S14" s="12">
        <v>717</v>
      </c>
      <c r="T14" s="12">
        <v>645</v>
      </c>
      <c r="U14" s="12">
        <v>310</v>
      </c>
      <c r="V14" s="12">
        <v>704</v>
      </c>
      <c r="W14" s="12">
        <v>323</v>
      </c>
      <c r="X14" s="12">
        <v>517</v>
      </c>
      <c r="Y14" s="12">
        <v>523</v>
      </c>
      <c r="Z14" s="12">
        <v>765</v>
      </c>
      <c r="AA14" s="12">
        <v>765</v>
      </c>
      <c r="AB14" s="12">
        <v>558</v>
      </c>
      <c r="AC14" s="12">
        <v>633</v>
      </c>
      <c r="AD14" s="12">
        <v>648</v>
      </c>
      <c r="AE14" s="12">
        <v>606</v>
      </c>
      <c r="AF14" s="12">
        <v>541</v>
      </c>
    </row>
    <row r="15" spans="1:32">
      <c r="A15" s="19"/>
      <c r="B15" s="13" t="s">
        <v>1396</v>
      </c>
      <c r="C15" s="14">
        <v>0.64</v>
      </c>
      <c r="D15" s="14">
        <v>0.67</v>
      </c>
      <c r="E15" s="14">
        <v>0.6</v>
      </c>
      <c r="F15" s="14">
        <v>0.73</v>
      </c>
      <c r="G15" s="14">
        <v>0.34</v>
      </c>
      <c r="H15" s="14">
        <v>0.67</v>
      </c>
      <c r="I15" s="14">
        <v>0.66</v>
      </c>
      <c r="J15" s="14">
        <v>0.63</v>
      </c>
      <c r="K15" s="14">
        <v>0.67</v>
      </c>
      <c r="L15" s="14">
        <v>0.57000000000000006</v>
      </c>
      <c r="M15" s="14">
        <v>0.55000000000000004</v>
      </c>
      <c r="N15" s="14">
        <v>0.57999999999999996</v>
      </c>
      <c r="O15" s="14">
        <v>0.65</v>
      </c>
      <c r="P15" s="14">
        <v>0.57999999999999996</v>
      </c>
      <c r="Q15" s="14">
        <v>0.72</v>
      </c>
      <c r="R15" s="14">
        <v>0.68</v>
      </c>
      <c r="S15" s="14">
        <v>0.71</v>
      </c>
      <c r="T15" s="14">
        <v>0.63</v>
      </c>
      <c r="U15" s="14">
        <v>0.61</v>
      </c>
      <c r="V15" s="14">
        <v>0.69000000000000006</v>
      </c>
      <c r="W15" s="14">
        <v>0.65</v>
      </c>
      <c r="X15" s="14">
        <v>0.51</v>
      </c>
      <c r="Y15" s="14">
        <v>0.52</v>
      </c>
      <c r="Z15" s="14">
        <v>0.75</v>
      </c>
      <c r="AA15" s="14">
        <v>0.74</v>
      </c>
      <c r="AB15" s="14">
        <v>0.54</v>
      </c>
      <c r="AC15" s="14">
        <v>0.63</v>
      </c>
      <c r="AD15" s="14">
        <v>0.65</v>
      </c>
      <c r="AE15" s="14">
        <v>0.6</v>
      </c>
      <c r="AF15" s="14">
        <v>0.52</v>
      </c>
    </row>
    <row r="16" spans="1:32">
      <c r="A16" s="19"/>
      <c r="B16" s="11" t="s">
        <v>1401</v>
      </c>
      <c r="C16" s="12">
        <v>3641</v>
      </c>
      <c r="D16" s="12">
        <v>129</v>
      </c>
      <c r="E16" s="12">
        <v>272</v>
      </c>
      <c r="F16" s="12">
        <v>120</v>
      </c>
      <c r="G16" s="12">
        <v>40</v>
      </c>
      <c r="H16" s="12">
        <v>122</v>
      </c>
      <c r="I16" s="12">
        <v>174</v>
      </c>
      <c r="J16" s="12">
        <v>52</v>
      </c>
      <c r="K16" s="12">
        <v>158</v>
      </c>
      <c r="L16" s="12">
        <v>44</v>
      </c>
      <c r="M16" s="12">
        <v>316</v>
      </c>
      <c r="N16" s="12">
        <v>98</v>
      </c>
      <c r="O16" s="12">
        <v>144</v>
      </c>
      <c r="P16" s="12">
        <v>234</v>
      </c>
      <c r="Q16" s="12">
        <v>173</v>
      </c>
      <c r="R16" s="12">
        <v>67</v>
      </c>
      <c r="S16" s="12">
        <v>149</v>
      </c>
      <c r="T16" s="12">
        <v>125</v>
      </c>
      <c r="U16" s="12">
        <v>27</v>
      </c>
      <c r="V16" s="12">
        <v>191</v>
      </c>
      <c r="W16" s="12">
        <v>60</v>
      </c>
      <c r="X16" s="12">
        <v>67</v>
      </c>
      <c r="Y16" s="12">
        <v>118</v>
      </c>
      <c r="Z16" s="12">
        <v>91</v>
      </c>
      <c r="AA16" s="12">
        <v>205</v>
      </c>
      <c r="AB16" s="12">
        <v>336</v>
      </c>
      <c r="AC16" s="12">
        <v>53</v>
      </c>
      <c r="AD16" s="12">
        <v>128</v>
      </c>
      <c r="AE16" s="12">
        <v>58</v>
      </c>
      <c r="AF16" s="12">
        <v>91</v>
      </c>
    </row>
    <row r="17" spans="1:32">
      <c r="A17" s="19"/>
      <c r="B17" s="13" t="s">
        <v>1398</v>
      </c>
      <c r="C17" s="14">
        <v>0.14000000000000001</v>
      </c>
      <c r="D17" s="14">
        <v>0.13</v>
      </c>
      <c r="E17" s="14">
        <v>0.26</v>
      </c>
      <c r="F17" s="14">
        <v>0.11</v>
      </c>
      <c r="G17" s="14">
        <v>0.04</v>
      </c>
      <c r="H17" s="14">
        <v>0.1</v>
      </c>
      <c r="I17" s="14">
        <v>0.11</v>
      </c>
      <c r="J17" s="14">
        <v>0.18</v>
      </c>
      <c r="K17" s="14">
        <v>0.16</v>
      </c>
      <c r="L17" s="14">
        <v>0.04</v>
      </c>
      <c r="M17" s="14">
        <v>0.31</v>
      </c>
      <c r="N17" s="14">
        <v>0.1</v>
      </c>
      <c r="O17" s="14">
        <v>0.15</v>
      </c>
      <c r="P17" s="14">
        <v>0.23</v>
      </c>
      <c r="Q17" s="14">
        <v>0.17</v>
      </c>
      <c r="R17" s="14">
        <v>0.13</v>
      </c>
      <c r="S17" s="14">
        <v>0.15</v>
      </c>
      <c r="T17" s="14">
        <v>0.12</v>
      </c>
      <c r="U17" s="14">
        <v>0.06</v>
      </c>
      <c r="V17" s="14">
        <v>0.19</v>
      </c>
      <c r="W17" s="14">
        <v>0.12</v>
      </c>
      <c r="X17" s="14">
        <v>7.0000000000000007E-2</v>
      </c>
      <c r="Y17" s="14">
        <v>0.12</v>
      </c>
      <c r="Z17" s="14">
        <v>0.09</v>
      </c>
      <c r="AA17" s="14">
        <v>0.2</v>
      </c>
      <c r="AB17" s="14">
        <v>0.32</v>
      </c>
      <c r="AC17" s="14">
        <v>0.05</v>
      </c>
      <c r="AD17" s="14">
        <v>0.13</v>
      </c>
      <c r="AE17" s="14">
        <v>0.06</v>
      </c>
      <c r="AF17" s="14">
        <v>0.09</v>
      </c>
    </row>
    <row r="18" spans="1:32">
      <c r="A18" s="19"/>
      <c r="B18" s="11" t="s">
        <v>1399</v>
      </c>
      <c r="C18" s="12">
        <v>487</v>
      </c>
      <c r="D18" s="12">
        <v>23</v>
      </c>
      <c r="E18" s="12">
        <v>58</v>
      </c>
      <c r="F18" s="12">
        <v>9</v>
      </c>
      <c r="G18" s="12">
        <v>6</v>
      </c>
      <c r="H18" s="12">
        <v>10</v>
      </c>
      <c r="I18" s="12">
        <v>22</v>
      </c>
      <c r="J18" s="12">
        <v>11</v>
      </c>
      <c r="K18" s="12">
        <v>29</v>
      </c>
      <c r="L18" s="12">
        <v>6</v>
      </c>
      <c r="M18" s="12">
        <v>62</v>
      </c>
      <c r="N18" s="12">
        <v>13</v>
      </c>
      <c r="O18" s="12">
        <v>23</v>
      </c>
      <c r="P18" s="12">
        <v>24</v>
      </c>
      <c r="Q18" s="12">
        <v>14</v>
      </c>
      <c r="R18" s="12">
        <v>6</v>
      </c>
      <c r="S18" s="12">
        <v>13</v>
      </c>
      <c r="T18" s="12">
        <v>20</v>
      </c>
      <c r="U18" s="12">
        <v>6</v>
      </c>
      <c r="V18" s="12">
        <v>25</v>
      </c>
      <c r="W18" s="12">
        <v>11</v>
      </c>
      <c r="X18" s="12">
        <v>3</v>
      </c>
      <c r="Y18" s="12">
        <v>23</v>
      </c>
      <c r="Z18" s="12">
        <v>5</v>
      </c>
      <c r="AA18" s="12">
        <v>20</v>
      </c>
      <c r="AB18" s="12">
        <v>76</v>
      </c>
      <c r="AC18" s="12">
        <v>5</v>
      </c>
      <c r="AD18" s="12">
        <v>5</v>
      </c>
      <c r="AE18" s="12">
        <v>7</v>
      </c>
      <c r="AF18" s="12">
        <v>9</v>
      </c>
    </row>
    <row r="19" spans="1:32">
      <c r="A19" s="19"/>
      <c r="B19" s="13" t="s">
        <v>1400</v>
      </c>
      <c r="C19" s="14">
        <v>0.02</v>
      </c>
      <c r="D19" s="14">
        <v>0.02</v>
      </c>
      <c r="E19" s="14">
        <v>0.05</v>
      </c>
      <c r="F19" s="14">
        <v>0.01</v>
      </c>
      <c r="G19" s="14">
        <v>0.01</v>
      </c>
      <c r="H19" s="14">
        <v>0.01</v>
      </c>
      <c r="I19" s="14">
        <v>0.02</v>
      </c>
      <c r="J19" s="14">
        <v>0.04</v>
      </c>
      <c r="K19" s="14">
        <v>0.03</v>
      </c>
      <c r="L19" s="14">
        <v>0.01</v>
      </c>
      <c r="M19" s="14">
        <v>0.06</v>
      </c>
      <c r="N19" s="14">
        <v>0.01</v>
      </c>
      <c r="O19" s="14">
        <v>0.02</v>
      </c>
      <c r="P19" s="14">
        <v>0.02</v>
      </c>
      <c r="Q19" s="14">
        <v>0.01</v>
      </c>
      <c r="R19" s="14">
        <v>0.01</v>
      </c>
      <c r="S19" s="14">
        <v>0.01</v>
      </c>
      <c r="T19" s="14">
        <v>0.02</v>
      </c>
      <c r="U19" s="14">
        <v>0.01</v>
      </c>
      <c r="V19" s="14">
        <v>0.02</v>
      </c>
      <c r="W19" s="14">
        <v>0.02</v>
      </c>
      <c r="X19" s="15" t="s">
        <v>375</v>
      </c>
      <c r="Y19" s="14">
        <v>0.02</v>
      </c>
      <c r="Z19" s="14">
        <v>0.01</v>
      </c>
      <c r="AA19" s="14">
        <v>0.02</v>
      </c>
      <c r="AB19" s="14">
        <v>7.0000000000000007E-2</v>
      </c>
      <c r="AC19" s="14">
        <v>0.01</v>
      </c>
      <c r="AD19" s="15" t="s">
        <v>375</v>
      </c>
      <c r="AE19" s="14">
        <v>0.01</v>
      </c>
      <c r="AF19" s="14">
        <v>0.01</v>
      </c>
    </row>
    <row r="20" spans="1:32">
      <c r="A20" s="19"/>
      <c r="B20" s="11" t="s">
        <v>386</v>
      </c>
      <c r="C20" s="12">
        <v>50</v>
      </c>
      <c r="D20" s="12">
        <v>0</v>
      </c>
      <c r="E20" s="12">
        <v>3</v>
      </c>
      <c r="F20" s="12">
        <v>3</v>
      </c>
      <c r="G20" s="12">
        <v>0</v>
      </c>
      <c r="H20" s="12">
        <v>0</v>
      </c>
      <c r="I20" s="12">
        <v>1</v>
      </c>
      <c r="J20" s="12">
        <v>1</v>
      </c>
      <c r="K20" s="12">
        <v>19</v>
      </c>
      <c r="L20" s="12">
        <v>1</v>
      </c>
      <c r="M20" s="12">
        <v>0</v>
      </c>
      <c r="N20" s="12">
        <v>0</v>
      </c>
      <c r="O20" s="12">
        <v>2</v>
      </c>
      <c r="P20" s="12">
        <v>1</v>
      </c>
      <c r="Q20" s="12">
        <v>3</v>
      </c>
      <c r="R20" s="12">
        <v>2</v>
      </c>
      <c r="S20" s="12">
        <v>6</v>
      </c>
      <c r="T20" s="12">
        <v>3</v>
      </c>
      <c r="U20" s="12">
        <v>1</v>
      </c>
      <c r="V20" s="12">
        <v>3</v>
      </c>
      <c r="W20" s="12">
        <v>0</v>
      </c>
      <c r="X20" s="12">
        <v>3</v>
      </c>
      <c r="Y20" s="12">
        <v>0</v>
      </c>
      <c r="Z20" s="12">
        <v>10</v>
      </c>
      <c r="AA20" s="12">
        <v>0</v>
      </c>
      <c r="AB20" s="12">
        <v>1</v>
      </c>
      <c r="AC20" s="12">
        <v>0</v>
      </c>
      <c r="AD20" s="12">
        <v>0</v>
      </c>
      <c r="AE20" s="12">
        <v>1</v>
      </c>
      <c r="AF20" s="12">
        <v>0</v>
      </c>
    </row>
    <row r="21" spans="1:32">
      <c r="A21" s="19"/>
      <c r="B21" s="13" t="s">
        <v>399</v>
      </c>
      <c r="C21" s="15" t="s">
        <v>375</v>
      </c>
      <c r="D21" s="15" t="s">
        <v>375</v>
      </c>
      <c r="E21" s="15" t="s">
        <v>375</v>
      </c>
      <c r="F21" s="15" t="s">
        <v>375</v>
      </c>
      <c r="G21" s="15" t="s">
        <v>375</v>
      </c>
      <c r="H21" s="15" t="s">
        <v>375</v>
      </c>
      <c r="I21" s="15" t="s">
        <v>375</v>
      </c>
      <c r="J21" s="15" t="s">
        <v>375</v>
      </c>
      <c r="K21" s="14">
        <v>0.02</v>
      </c>
      <c r="L21" s="15" t="s">
        <v>375</v>
      </c>
      <c r="M21" s="15" t="s">
        <v>375</v>
      </c>
      <c r="N21" s="15" t="s">
        <v>375</v>
      </c>
      <c r="O21" s="15" t="s">
        <v>375</v>
      </c>
      <c r="P21" s="15" t="s">
        <v>375</v>
      </c>
      <c r="Q21" s="15" t="s">
        <v>375</v>
      </c>
      <c r="R21" s="14">
        <v>0.01</v>
      </c>
      <c r="S21" s="14">
        <v>0.01</v>
      </c>
      <c r="T21" s="15" t="s">
        <v>375</v>
      </c>
      <c r="U21" s="15" t="s">
        <v>375</v>
      </c>
      <c r="V21" s="15" t="s">
        <v>375</v>
      </c>
      <c r="W21" s="15" t="s">
        <v>375</v>
      </c>
      <c r="X21" s="15" t="s">
        <v>375</v>
      </c>
      <c r="Y21" s="15" t="s">
        <v>375</v>
      </c>
      <c r="Z21" s="14">
        <v>0.01</v>
      </c>
      <c r="AA21" s="15" t="s">
        <v>375</v>
      </c>
      <c r="AB21" s="15" t="s">
        <v>375</v>
      </c>
      <c r="AC21" s="15" t="s">
        <v>375</v>
      </c>
      <c r="AD21" s="15" t="s">
        <v>375</v>
      </c>
      <c r="AE21" s="15" t="s">
        <v>375</v>
      </c>
      <c r="AF21" s="15" t="s">
        <v>375</v>
      </c>
    </row>
  </sheetData>
  <mergeCells count="9">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1402</v>
      </c>
      <c r="C3" s="17"/>
      <c r="D3" s="17"/>
      <c r="E3" s="17"/>
      <c r="F3" s="17"/>
      <c r="H3" s="17" t="s">
        <v>1403</v>
      </c>
      <c r="I3" s="17"/>
      <c r="J3" s="17"/>
      <c r="K3" s="17"/>
      <c r="L3" s="17"/>
    </row>
    <row r="4" spans="1:32" ht="27" customHeight="1">
      <c r="B4" s="17" t="s">
        <v>1404</v>
      </c>
      <c r="C4" s="17"/>
      <c r="D4" s="17"/>
      <c r="E4" s="17"/>
      <c r="F4" s="17"/>
      <c r="H4" s="17" t="s">
        <v>1405</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HYPERLINK("#Content!A149","&lt;&lt;Back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1406</v>
      </c>
      <c r="C12" s="12">
        <v>20687</v>
      </c>
      <c r="D12" s="12">
        <v>860</v>
      </c>
      <c r="E12" s="12">
        <v>743</v>
      </c>
      <c r="F12" s="12">
        <v>767</v>
      </c>
      <c r="G12" s="12">
        <v>961</v>
      </c>
      <c r="H12" s="12">
        <v>922</v>
      </c>
      <c r="I12" s="12">
        <v>1143</v>
      </c>
      <c r="J12" s="12">
        <v>221</v>
      </c>
      <c r="K12" s="12">
        <v>804</v>
      </c>
      <c r="L12" s="12">
        <v>871</v>
      </c>
      <c r="M12" s="12">
        <v>769</v>
      </c>
      <c r="N12" s="12">
        <v>865</v>
      </c>
      <c r="O12" s="12">
        <v>804</v>
      </c>
      <c r="P12" s="12">
        <v>704</v>
      </c>
      <c r="Q12" s="12">
        <v>726</v>
      </c>
      <c r="R12" s="12">
        <v>425</v>
      </c>
      <c r="S12" s="12">
        <v>849</v>
      </c>
      <c r="T12" s="12">
        <v>775</v>
      </c>
      <c r="U12" s="12">
        <v>459</v>
      </c>
      <c r="V12" s="12">
        <v>716</v>
      </c>
      <c r="W12" s="12">
        <v>414</v>
      </c>
      <c r="X12" s="12">
        <v>977</v>
      </c>
      <c r="Y12" s="12">
        <v>694</v>
      </c>
      <c r="Z12" s="12">
        <v>758</v>
      </c>
      <c r="AA12" s="12">
        <v>777</v>
      </c>
      <c r="AB12" s="12">
        <v>784</v>
      </c>
      <c r="AC12" s="12">
        <v>753</v>
      </c>
      <c r="AD12" s="12">
        <v>809</v>
      </c>
      <c r="AE12" s="12">
        <v>904</v>
      </c>
      <c r="AF12" s="12">
        <v>986</v>
      </c>
    </row>
    <row r="13" spans="1:32">
      <c r="A13" s="19"/>
      <c r="B13" s="13" t="s">
        <v>1407</v>
      </c>
      <c r="C13" s="14">
        <v>0.78</v>
      </c>
      <c r="D13" s="14">
        <v>0.84</v>
      </c>
      <c r="E13" s="14">
        <v>0.71</v>
      </c>
      <c r="F13" s="14">
        <v>0.72</v>
      </c>
      <c r="G13" s="14">
        <v>0.95000000000000007</v>
      </c>
      <c r="H13" s="14">
        <v>0.75</v>
      </c>
      <c r="I13" s="14">
        <v>0.75</v>
      </c>
      <c r="J13" s="14">
        <v>0.74</v>
      </c>
      <c r="K13" s="14">
        <v>0.8</v>
      </c>
      <c r="L13" s="14">
        <v>0.87</v>
      </c>
      <c r="M13" s="14">
        <v>0.76</v>
      </c>
      <c r="N13" s="14">
        <v>0.85</v>
      </c>
      <c r="O13" s="14">
        <v>0.8</v>
      </c>
      <c r="P13" s="14">
        <v>0.70000000000000007</v>
      </c>
      <c r="Q13" s="14">
        <v>0.70000000000000007</v>
      </c>
      <c r="R13" s="14">
        <v>0.85</v>
      </c>
      <c r="S13" s="14">
        <v>0.85</v>
      </c>
      <c r="T13" s="14">
        <v>0.76</v>
      </c>
      <c r="U13" s="14">
        <v>0.91</v>
      </c>
      <c r="V13" s="14">
        <v>0.70000000000000007</v>
      </c>
      <c r="W13" s="14">
        <v>0.83000000000000007</v>
      </c>
      <c r="X13" s="14">
        <v>0.97</v>
      </c>
      <c r="Y13" s="14">
        <v>0.69000000000000006</v>
      </c>
      <c r="Z13" s="14">
        <v>0.75</v>
      </c>
      <c r="AA13" s="14">
        <v>0.75</v>
      </c>
      <c r="AB13" s="14">
        <v>0.75</v>
      </c>
      <c r="AC13" s="14">
        <v>0.75</v>
      </c>
      <c r="AD13" s="14">
        <v>0.81</v>
      </c>
      <c r="AE13" s="14">
        <v>0.9</v>
      </c>
      <c r="AF13" s="14">
        <v>0.96</v>
      </c>
    </row>
    <row r="14" spans="1:32">
      <c r="A14" s="19"/>
      <c r="B14" s="11" t="s">
        <v>1408</v>
      </c>
      <c r="C14" s="12">
        <v>1901</v>
      </c>
      <c r="D14" s="12">
        <v>85</v>
      </c>
      <c r="E14" s="12">
        <v>87</v>
      </c>
      <c r="F14" s="12">
        <v>113</v>
      </c>
      <c r="G14" s="12">
        <v>27</v>
      </c>
      <c r="H14" s="12">
        <v>137</v>
      </c>
      <c r="I14" s="12">
        <v>165</v>
      </c>
      <c r="J14" s="12">
        <v>28</v>
      </c>
      <c r="K14" s="12">
        <v>65</v>
      </c>
      <c r="L14" s="12">
        <v>54</v>
      </c>
      <c r="M14" s="12">
        <v>53</v>
      </c>
      <c r="N14" s="12">
        <v>41</v>
      </c>
      <c r="O14" s="12">
        <v>64</v>
      </c>
      <c r="P14" s="12">
        <v>73</v>
      </c>
      <c r="Q14" s="12">
        <v>80</v>
      </c>
      <c r="R14" s="12">
        <v>15</v>
      </c>
      <c r="S14" s="12">
        <v>20</v>
      </c>
      <c r="T14" s="12">
        <v>50</v>
      </c>
      <c r="U14" s="12">
        <v>22</v>
      </c>
      <c r="V14" s="12">
        <v>124</v>
      </c>
      <c r="W14" s="12">
        <v>25</v>
      </c>
      <c r="X14" s="12">
        <v>14</v>
      </c>
      <c r="Y14" s="12">
        <v>131</v>
      </c>
      <c r="Z14" s="12">
        <v>75</v>
      </c>
      <c r="AA14" s="12">
        <v>55</v>
      </c>
      <c r="AB14" s="12">
        <v>65</v>
      </c>
      <c r="AC14" s="12">
        <v>62</v>
      </c>
      <c r="AD14" s="12">
        <v>69</v>
      </c>
      <c r="AE14" s="12">
        <v>38</v>
      </c>
      <c r="AF14" s="12">
        <v>28</v>
      </c>
    </row>
    <row r="15" spans="1:32">
      <c r="A15" s="19"/>
      <c r="B15" s="13" t="s">
        <v>1409</v>
      </c>
      <c r="C15" s="14">
        <v>7.0000000000000007E-2</v>
      </c>
      <c r="D15" s="14">
        <v>0.08</v>
      </c>
      <c r="E15" s="14">
        <v>0.08</v>
      </c>
      <c r="F15" s="14">
        <v>0.11</v>
      </c>
      <c r="G15" s="14">
        <v>0.03</v>
      </c>
      <c r="H15" s="14">
        <v>0.11</v>
      </c>
      <c r="I15" s="14">
        <v>0.11</v>
      </c>
      <c r="J15" s="14">
        <v>0.1</v>
      </c>
      <c r="K15" s="14">
        <v>0.06</v>
      </c>
      <c r="L15" s="14">
        <v>0.05</v>
      </c>
      <c r="M15" s="14">
        <v>0.05</v>
      </c>
      <c r="N15" s="14">
        <v>0.04</v>
      </c>
      <c r="O15" s="14">
        <v>0.06</v>
      </c>
      <c r="P15" s="14">
        <v>7.0000000000000007E-2</v>
      </c>
      <c r="Q15" s="14">
        <v>0.08</v>
      </c>
      <c r="R15" s="14">
        <v>0.03</v>
      </c>
      <c r="S15" s="14">
        <v>0.02</v>
      </c>
      <c r="T15" s="14">
        <v>0.05</v>
      </c>
      <c r="U15" s="14">
        <v>0.04</v>
      </c>
      <c r="V15" s="14">
        <v>0.12</v>
      </c>
      <c r="W15" s="14">
        <v>0.05</v>
      </c>
      <c r="X15" s="14">
        <v>0.01</v>
      </c>
      <c r="Y15" s="14">
        <v>0.13</v>
      </c>
      <c r="Z15" s="14">
        <v>7.0000000000000007E-2</v>
      </c>
      <c r="AA15" s="14">
        <v>0.05</v>
      </c>
      <c r="AB15" s="14">
        <v>0.06</v>
      </c>
      <c r="AC15" s="14">
        <v>0.06</v>
      </c>
      <c r="AD15" s="14">
        <v>7.0000000000000007E-2</v>
      </c>
      <c r="AE15" s="14">
        <v>0.04</v>
      </c>
      <c r="AF15" s="14">
        <v>0.03</v>
      </c>
    </row>
    <row r="16" spans="1:32">
      <c r="A16" s="19"/>
      <c r="B16" s="11" t="s">
        <v>1410</v>
      </c>
      <c r="C16" s="12">
        <v>493</v>
      </c>
      <c r="D16" s="12">
        <v>18</v>
      </c>
      <c r="E16" s="12">
        <v>22</v>
      </c>
      <c r="F16" s="12">
        <v>33</v>
      </c>
      <c r="G16" s="12">
        <v>3</v>
      </c>
      <c r="H16" s="12">
        <v>28</v>
      </c>
      <c r="I16" s="12">
        <v>37</v>
      </c>
      <c r="J16" s="12">
        <v>8</v>
      </c>
      <c r="K16" s="12">
        <v>25</v>
      </c>
      <c r="L16" s="12">
        <v>10</v>
      </c>
      <c r="M16" s="12">
        <v>12</v>
      </c>
      <c r="N16" s="12">
        <v>6</v>
      </c>
      <c r="O16" s="12">
        <v>17</v>
      </c>
      <c r="P16" s="12">
        <v>27</v>
      </c>
      <c r="Q16" s="12">
        <v>30</v>
      </c>
      <c r="R16" s="12">
        <v>3</v>
      </c>
      <c r="S16" s="12">
        <v>4</v>
      </c>
      <c r="T16" s="12">
        <v>7</v>
      </c>
      <c r="U16" s="12">
        <v>7</v>
      </c>
      <c r="V16" s="12">
        <v>39</v>
      </c>
      <c r="W16" s="12">
        <v>10</v>
      </c>
      <c r="X16" s="12">
        <v>7</v>
      </c>
      <c r="Y16" s="12">
        <v>39</v>
      </c>
      <c r="Z16" s="12">
        <v>16</v>
      </c>
      <c r="AA16" s="12">
        <v>12</v>
      </c>
      <c r="AB16" s="12">
        <v>17</v>
      </c>
      <c r="AC16" s="12">
        <v>22</v>
      </c>
      <c r="AD16" s="12">
        <v>14</v>
      </c>
      <c r="AE16" s="12">
        <v>19</v>
      </c>
      <c r="AF16" s="12">
        <v>3</v>
      </c>
    </row>
    <row r="17" spans="1:32">
      <c r="A17" s="19"/>
      <c r="B17" s="13" t="s">
        <v>1411</v>
      </c>
      <c r="C17" s="14">
        <v>0.02</v>
      </c>
      <c r="D17" s="14">
        <v>0.02</v>
      </c>
      <c r="E17" s="14">
        <v>0.02</v>
      </c>
      <c r="F17" s="14">
        <v>0.03</v>
      </c>
      <c r="G17" s="15" t="s">
        <v>375</v>
      </c>
      <c r="H17" s="14">
        <v>0.03</v>
      </c>
      <c r="I17" s="14">
        <v>0.02</v>
      </c>
      <c r="J17" s="14">
        <v>0.03</v>
      </c>
      <c r="K17" s="14">
        <v>0.03</v>
      </c>
      <c r="L17" s="14">
        <v>0.01</v>
      </c>
      <c r="M17" s="14">
        <v>0.01</v>
      </c>
      <c r="N17" s="14">
        <v>0.01</v>
      </c>
      <c r="O17" s="14">
        <v>0.02</v>
      </c>
      <c r="P17" s="14">
        <v>0.03</v>
      </c>
      <c r="Q17" s="14">
        <v>0.03</v>
      </c>
      <c r="R17" s="14">
        <v>0.01</v>
      </c>
      <c r="S17" s="15" t="s">
        <v>375</v>
      </c>
      <c r="T17" s="14">
        <v>0.01</v>
      </c>
      <c r="U17" s="14">
        <v>0.01</v>
      </c>
      <c r="V17" s="14">
        <v>0.04</v>
      </c>
      <c r="W17" s="14">
        <v>0.02</v>
      </c>
      <c r="X17" s="14">
        <v>0.01</v>
      </c>
      <c r="Y17" s="14">
        <v>0.04</v>
      </c>
      <c r="Z17" s="14">
        <v>0.02</v>
      </c>
      <c r="AA17" s="14">
        <v>0.01</v>
      </c>
      <c r="AB17" s="14">
        <v>0.02</v>
      </c>
      <c r="AC17" s="14">
        <v>0.02</v>
      </c>
      <c r="AD17" s="14">
        <v>0.01</v>
      </c>
      <c r="AE17" s="14">
        <v>0.02</v>
      </c>
      <c r="AF17" s="15" t="s">
        <v>375</v>
      </c>
    </row>
    <row r="18" spans="1:32">
      <c r="A18" s="19"/>
      <c r="B18" s="11" t="s">
        <v>1412</v>
      </c>
      <c r="C18" s="12">
        <v>199</v>
      </c>
      <c r="D18" s="12">
        <v>2</v>
      </c>
      <c r="E18" s="12">
        <v>7</v>
      </c>
      <c r="F18" s="12">
        <v>15</v>
      </c>
      <c r="G18" s="12">
        <v>2</v>
      </c>
      <c r="H18" s="12">
        <v>3</v>
      </c>
      <c r="I18" s="12">
        <v>7</v>
      </c>
      <c r="J18" s="12">
        <v>4</v>
      </c>
      <c r="K18" s="12">
        <v>1</v>
      </c>
      <c r="L18" s="12">
        <v>1</v>
      </c>
      <c r="M18" s="12">
        <v>2</v>
      </c>
      <c r="N18" s="12">
        <v>3</v>
      </c>
      <c r="O18" s="12">
        <v>9</v>
      </c>
      <c r="P18" s="12">
        <v>8</v>
      </c>
      <c r="Q18" s="12">
        <v>22</v>
      </c>
      <c r="R18" s="12">
        <v>1</v>
      </c>
      <c r="S18" s="12">
        <v>5</v>
      </c>
      <c r="T18" s="12">
        <v>3</v>
      </c>
      <c r="U18" s="12">
        <v>1</v>
      </c>
      <c r="V18" s="12">
        <v>5</v>
      </c>
      <c r="W18" s="12">
        <v>1</v>
      </c>
      <c r="X18" s="12">
        <v>9</v>
      </c>
      <c r="Y18" s="12">
        <v>9</v>
      </c>
      <c r="Z18" s="12">
        <v>6</v>
      </c>
      <c r="AA18" s="12">
        <v>2</v>
      </c>
      <c r="AB18" s="12">
        <v>3</v>
      </c>
      <c r="AC18" s="12">
        <v>7</v>
      </c>
      <c r="AD18" s="12">
        <v>5</v>
      </c>
      <c r="AE18" s="12">
        <v>4</v>
      </c>
      <c r="AF18" s="12">
        <v>1</v>
      </c>
    </row>
    <row r="19" spans="1:32">
      <c r="A19" s="19"/>
      <c r="B19" s="13" t="s">
        <v>1413</v>
      </c>
      <c r="C19" s="14">
        <v>0.01</v>
      </c>
      <c r="D19" s="15" t="s">
        <v>375</v>
      </c>
      <c r="E19" s="14">
        <v>0.01</v>
      </c>
      <c r="F19" s="14">
        <v>0.01</v>
      </c>
      <c r="G19" s="15" t="s">
        <v>375</v>
      </c>
      <c r="H19" s="15" t="s">
        <v>375</v>
      </c>
      <c r="I19" s="15" t="s">
        <v>375</v>
      </c>
      <c r="J19" s="14">
        <v>0.01</v>
      </c>
      <c r="K19" s="15" t="s">
        <v>375</v>
      </c>
      <c r="L19" s="15" t="s">
        <v>375</v>
      </c>
      <c r="M19" s="15" t="s">
        <v>375</v>
      </c>
      <c r="N19" s="15" t="s">
        <v>375</v>
      </c>
      <c r="O19" s="14">
        <v>0.01</v>
      </c>
      <c r="P19" s="14">
        <v>0.01</v>
      </c>
      <c r="Q19" s="14">
        <v>0.02</v>
      </c>
      <c r="R19" s="15" t="s">
        <v>375</v>
      </c>
      <c r="S19" s="14">
        <v>0.01</v>
      </c>
      <c r="T19" s="15" t="s">
        <v>375</v>
      </c>
      <c r="U19" s="15" t="s">
        <v>375</v>
      </c>
      <c r="V19" s="15" t="s">
        <v>375</v>
      </c>
      <c r="W19" s="15" t="s">
        <v>375</v>
      </c>
      <c r="X19" s="14">
        <v>0.01</v>
      </c>
      <c r="Y19" s="14">
        <v>0.01</v>
      </c>
      <c r="Z19" s="14">
        <v>0.01</v>
      </c>
      <c r="AA19" s="15" t="s">
        <v>375</v>
      </c>
      <c r="AB19" s="15" t="s">
        <v>375</v>
      </c>
      <c r="AC19" s="14">
        <v>0.01</v>
      </c>
      <c r="AD19" s="15" t="s">
        <v>375</v>
      </c>
      <c r="AE19" s="15" t="s">
        <v>375</v>
      </c>
      <c r="AF19" s="15" t="s">
        <v>375</v>
      </c>
    </row>
    <row r="20" spans="1:32">
      <c r="A20" s="19"/>
      <c r="B20" s="11" t="s">
        <v>1414</v>
      </c>
      <c r="C20" s="12">
        <v>347</v>
      </c>
      <c r="D20" s="12">
        <v>19</v>
      </c>
      <c r="E20" s="12">
        <v>15</v>
      </c>
      <c r="F20" s="12">
        <v>15</v>
      </c>
      <c r="G20" s="12">
        <v>2</v>
      </c>
      <c r="H20" s="12">
        <v>15</v>
      </c>
      <c r="I20" s="12">
        <v>24</v>
      </c>
      <c r="J20" s="12">
        <v>9</v>
      </c>
      <c r="K20" s="12">
        <v>17</v>
      </c>
      <c r="L20" s="12">
        <v>7</v>
      </c>
      <c r="M20" s="12">
        <v>6</v>
      </c>
      <c r="N20" s="12">
        <v>6</v>
      </c>
      <c r="O20" s="12">
        <v>15</v>
      </c>
      <c r="P20" s="12">
        <v>43</v>
      </c>
      <c r="Q20" s="12">
        <v>29</v>
      </c>
      <c r="R20" s="12">
        <v>3</v>
      </c>
      <c r="S20" s="12">
        <v>7</v>
      </c>
      <c r="T20" s="12">
        <v>7</v>
      </c>
      <c r="U20" s="12">
        <v>4</v>
      </c>
      <c r="V20" s="12">
        <v>9</v>
      </c>
      <c r="W20" s="12">
        <v>2</v>
      </c>
      <c r="X20" s="12">
        <v>0</v>
      </c>
      <c r="Y20" s="12">
        <v>11</v>
      </c>
      <c r="Z20" s="12">
        <v>5</v>
      </c>
      <c r="AA20" s="12">
        <v>7</v>
      </c>
      <c r="AB20" s="12">
        <v>8</v>
      </c>
      <c r="AC20" s="12">
        <v>34</v>
      </c>
      <c r="AD20" s="12">
        <v>17</v>
      </c>
      <c r="AE20" s="12">
        <v>2</v>
      </c>
      <c r="AF20" s="12">
        <v>3</v>
      </c>
    </row>
    <row r="21" spans="1:32">
      <c r="A21" s="19"/>
      <c r="B21" s="13" t="s">
        <v>1415</v>
      </c>
      <c r="C21" s="14">
        <v>0.01</v>
      </c>
      <c r="D21" s="14">
        <v>0.02</v>
      </c>
      <c r="E21" s="14">
        <v>0.02</v>
      </c>
      <c r="F21" s="14">
        <v>0.01</v>
      </c>
      <c r="G21" s="15" t="s">
        <v>375</v>
      </c>
      <c r="H21" s="14">
        <v>0.01</v>
      </c>
      <c r="I21" s="14">
        <v>0.02</v>
      </c>
      <c r="J21" s="14">
        <v>0.03</v>
      </c>
      <c r="K21" s="14">
        <v>0.02</v>
      </c>
      <c r="L21" s="14">
        <v>0.01</v>
      </c>
      <c r="M21" s="14">
        <v>0.01</v>
      </c>
      <c r="N21" s="14">
        <v>0.01</v>
      </c>
      <c r="O21" s="14">
        <v>0.02</v>
      </c>
      <c r="P21" s="14">
        <v>0.04</v>
      </c>
      <c r="Q21" s="14">
        <v>0.03</v>
      </c>
      <c r="R21" s="14">
        <v>0.01</v>
      </c>
      <c r="S21" s="14">
        <v>0.01</v>
      </c>
      <c r="T21" s="14">
        <v>0.01</v>
      </c>
      <c r="U21" s="14">
        <v>0.01</v>
      </c>
      <c r="V21" s="14">
        <v>0.01</v>
      </c>
      <c r="W21" s="15" t="s">
        <v>375</v>
      </c>
      <c r="X21" s="15" t="s">
        <v>375</v>
      </c>
      <c r="Y21" s="14">
        <v>0.01</v>
      </c>
      <c r="Z21" s="15" t="s">
        <v>375</v>
      </c>
      <c r="AA21" s="14">
        <v>0.01</v>
      </c>
      <c r="AB21" s="14">
        <v>0.01</v>
      </c>
      <c r="AC21" s="14">
        <v>0.03</v>
      </c>
      <c r="AD21" s="14">
        <v>0.02</v>
      </c>
      <c r="AE21" s="15" t="s">
        <v>375</v>
      </c>
      <c r="AF21" s="15" t="s">
        <v>375</v>
      </c>
    </row>
    <row r="22" spans="1:32">
      <c r="A22" s="19"/>
      <c r="B22" s="11" t="s">
        <v>1416</v>
      </c>
      <c r="C22" s="12">
        <v>2609</v>
      </c>
      <c r="D22" s="12">
        <v>32</v>
      </c>
      <c r="E22" s="12">
        <v>138</v>
      </c>
      <c r="F22" s="12">
        <v>111</v>
      </c>
      <c r="G22" s="12">
        <v>19</v>
      </c>
      <c r="H22" s="12">
        <v>109</v>
      </c>
      <c r="I22" s="12">
        <v>136</v>
      </c>
      <c r="J22" s="12">
        <v>26</v>
      </c>
      <c r="K22" s="12">
        <v>75</v>
      </c>
      <c r="L22" s="12">
        <v>63</v>
      </c>
      <c r="M22" s="12">
        <v>129</v>
      </c>
      <c r="N22" s="12">
        <v>77</v>
      </c>
      <c r="O22" s="12">
        <v>94</v>
      </c>
      <c r="P22" s="12">
        <v>122</v>
      </c>
      <c r="Q22" s="12">
        <v>141</v>
      </c>
      <c r="R22" s="12">
        <v>53</v>
      </c>
      <c r="S22" s="12">
        <v>115</v>
      </c>
      <c r="T22" s="12">
        <v>167</v>
      </c>
      <c r="U22" s="12">
        <v>15</v>
      </c>
      <c r="V22" s="12">
        <v>133</v>
      </c>
      <c r="W22" s="12">
        <v>37</v>
      </c>
      <c r="X22" s="12">
        <v>3</v>
      </c>
      <c r="Y22" s="12">
        <v>75</v>
      </c>
      <c r="Z22" s="12">
        <v>155</v>
      </c>
      <c r="AA22" s="12">
        <v>156</v>
      </c>
      <c r="AB22" s="12">
        <v>159</v>
      </c>
      <c r="AC22" s="12">
        <v>119</v>
      </c>
      <c r="AD22" s="12">
        <v>80</v>
      </c>
      <c r="AE22" s="12">
        <v>30</v>
      </c>
      <c r="AF22" s="12">
        <v>9</v>
      </c>
    </row>
    <row r="23" spans="1:32">
      <c r="A23" s="19"/>
      <c r="B23" s="13" t="s">
        <v>1417</v>
      </c>
      <c r="C23" s="14">
        <v>0.1</v>
      </c>
      <c r="D23" s="14">
        <v>0.03</v>
      </c>
      <c r="E23" s="14">
        <v>0.13</v>
      </c>
      <c r="F23" s="14">
        <v>0.11</v>
      </c>
      <c r="G23" s="14">
        <v>0.02</v>
      </c>
      <c r="H23" s="14">
        <v>0.09</v>
      </c>
      <c r="I23" s="14">
        <v>0.09</v>
      </c>
      <c r="J23" s="14">
        <v>0.09</v>
      </c>
      <c r="K23" s="14">
        <v>7.0000000000000007E-2</v>
      </c>
      <c r="L23" s="14">
        <v>0.06</v>
      </c>
      <c r="M23" s="14">
        <v>0.13</v>
      </c>
      <c r="N23" s="14">
        <v>0.08</v>
      </c>
      <c r="O23" s="14">
        <v>0.09</v>
      </c>
      <c r="P23" s="14">
        <v>0.12</v>
      </c>
      <c r="Q23" s="14">
        <v>0.14000000000000001</v>
      </c>
      <c r="R23" s="14">
        <v>0.1</v>
      </c>
      <c r="S23" s="14">
        <v>0.11</v>
      </c>
      <c r="T23" s="14">
        <v>0.16</v>
      </c>
      <c r="U23" s="14">
        <v>0.03</v>
      </c>
      <c r="V23" s="14">
        <v>0.13</v>
      </c>
      <c r="W23" s="14">
        <v>7.0000000000000007E-2</v>
      </c>
      <c r="X23" s="15" t="s">
        <v>375</v>
      </c>
      <c r="Y23" s="14">
        <v>0.08</v>
      </c>
      <c r="Z23" s="14">
        <v>0.15</v>
      </c>
      <c r="AA23" s="14">
        <v>0.15</v>
      </c>
      <c r="AB23" s="14">
        <v>0.15</v>
      </c>
      <c r="AC23" s="14">
        <v>0.12</v>
      </c>
      <c r="AD23" s="14">
        <v>0.08</v>
      </c>
      <c r="AE23" s="14">
        <v>0.03</v>
      </c>
      <c r="AF23" s="14">
        <v>0.01</v>
      </c>
    </row>
    <row r="24" spans="1:32">
      <c r="A24" s="19"/>
      <c r="B24" s="11" t="s">
        <v>1418</v>
      </c>
      <c r="C24" s="12">
        <v>217</v>
      </c>
      <c r="D24" s="12">
        <v>5</v>
      </c>
      <c r="E24" s="12">
        <v>34</v>
      </c>
      <c r="F24" s="12">
        <v>11</v>
      </c>
      <c r="G24" s="12">
        <v>2</v>
      </c>
      <c r="H24" s="12">
        <v>15</v>
      </c>
      <c r="I24" s="12">
        <v>16</v>
      </c>
      <c r="J24" s="12">
        <v>1</v>
      </c>
      <c r="K24" s="12">
        <v>19</v>
      </c>
      <c r="L24" s="12">
        <v>0</v>
      </c>
      <c r="M24" s="12">
        <v>37</v>
      </c>
      <c r="N24" s="12">
        <v>14</v>
      </c>
      <c r="O24" s="12">
        <v>1</v>
      </c>
      <c r="P24" s="12">
        <v>26</v>
      </c>
      <c r="Q24" s="12">
        <v>4</v>
      </c>
      <c r="R24" s="12">
        <v>1</v>
      </c>
      <c r="S24" s="12">
        <v>4</v>
      </c>
      <c r="T24" s="12">
        <v>13</v>
      </c>
      <c r="U24" s="12">
        <v>0</v>
      </c>
      <c r="V24" s="12">
        <v>0</v>
      </c>
      <c r="W24" s="12">
        <v>15</v>
      </c>
      <c r="X24" s="12">
        <v>0</v>
      </c>
      <c r="Y24" s="12">
        <v>43</v>
      </c>
      <c r="Z24" s="12">
        <v>0</v>
      </c>
      <c r="AA24" s="12">
        <v>29</v>
      </c>
      <c r="AB24" s="12">
        <v>5</v>
      </c>
      <c r="AC24" s="12">
        <v>8</v>
      </c>
      <c r="AD24" s="12">
        <v>10</v>
      </c>
      <c r="AE24" s="12">
        <v>5</v>
      </c>
      <c r="AF24" s="12">
        <v>0</v>
      </c>
    </row>
    <row r="25" spans="1:32">
      <c r="A25" s="19"/>
      <c r="B25" s="13" t="s">
        <v>1419</v>
      </c>
      <c r="C25" s="14">
        <v>0.01</v>
      </c>
      <c r="D25" s="14">
        <v>0.01</v>
      </c>
      <c r="E25" s="14">
        <v>0.03</v>
      </c>
      <c r="F25" s="14">
        <v>0.01</v>
      </c>
      <c r="G25" s="15" t="s">
        <v>375</v>
      </c>
      <c r="H25" s="14">
        <v>0.01</v>
      </c>
      <c r="I25" s="14">
        <v>0.01</v>
      </c>
      <c r="J25" s="15" t="s">
        <v>375</v>
      </c>
      <c r="K25" s="14">
        <v>0.02</v>
      </c>
      <c r="L25" s="15" t="s">
        <v>375</v>
      </c>
      <c r="M25" s="14">
        <v>0.04</v>
      </c>
      <c r="N25" s="14">
        <v>0.01</v>
      </c>
      <c r="O25" s="15" t="s">
        <v>375</v>
      </c>
      <c r="P25" s="14">
        <v>0.03</v>
      </c>
      <c r="Q25" s="15" t="s">
        <v>375</v>
      </c>
      <c r="R25" s="15" t="s">
        <v>375</v>
      </c>
      <c r="S25" s="15" t="s">
        <v>375</v>
      </c>
      <c r="T25" s="14">
        <v>0.01</v>
      </c>
      <c r="U25" s="15" t="s">
        <v>375</v>
      </c>
      <c r="V25" s="15" t="s">
        <v>375</v>
      </c>
      <c r="W25" s="14">
        <v>0.03</v>
      </c>
      <c r="X25" s="15" t="s">
        <v>375</v>
      </c>
      <c r="Y25" s="14">
        <v>0.04</v>
      </c>
      <c r="Z25" s="15" t="s">
        <v>375</v>
      </c>
      <c r="AA25" s="14">
        <v>0.03</v>
      </c>
      <c r="AB25" s="14">
        <v>0.01</v>
      </c>
      <c r="AC25" s="14">
        <v>0.01</v>
      </c>
      <c r="AD25" s="14">
        <v>0.01</v>
      </c>
      <c r="AE25" s="14">
        <v>0.01</v>
      </c>
      <c r="AF25" s="15" t="s">
        <v>375</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1420</v>
      </c>
      <c r="C3" s="17"/>
      <c r="D3" s="17"/>
      <c r="E3" s="17"/>
      <c r="F3" s="17"/>
      <c r="H3" s="17" t="s">
        <v>1421</v>
      </c>
      <c r="I3" s="17"/>
      <c r="J3" s="17"/>
      <c r="K3" s="17"/>
      <c r="L3" s="17"/>
    </row>
    <row r="4" spans="1:32" ht="27" customHeight="1">
      <c r="B4" s="17" t="s">
        <v>1422</v>
      </c>
      <c r="C4" s="17"/>
      <c r="D4" s="17"/>
      <c r="E4" s="17"/>
      <c r="F4" s="17"/>
      <c r="H4" s="17" t="s">
        <v>1423</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1406</v>
      </c>
      <c r="C12" s="12">
        <v>12299</v>
      </c>
      <c r="D12" s="12">
        <v>529</v>
      </c>
      <c r="E12" s="12">
        <v>469</v>
      </c>
      <c r="F12" s="12">
        <v>510</v>
      </c>
      <c r="G12" s="12">
        <v>617</v>
      </c>
      <c r="H12" s="12">
        <v>548</v>
      </c>
      <c r="I12" s="12">
        <v>675</v>
      </c>
      <c r="J12" s="12">
        <v>127</v>
      </c>
      <c r="K12" s="12">
        <v>516</v>
      </c>
      <c r="L12" s="12">
        <v>560</v>
      </c>
      <c r="M12" s="12">
        <v>445</v>
      </c>
      <c r="N12" s="12">
        <v>429</v>
      </c>
      <c r="O12" s="12">
        <v>433</v>
      </c>
      <c r="P12" s="12">
        <v>539</v>
      </c>
      <c r="Q12" s="12">
        <v>460</v>
      </c>
      <c r="R12" s="12">
        <v>318</v>
      </c>
      <c r="S12" s="12">
        <v>498</v>
      </c>
      <c r="T12" s="12">
        <v>469</v>
      </c>
      <c r="U12" s="12">
        <v>314</v>
      </c>
      <c r="V12" s="12">
        <v>466</v>
      </c>
      <c r="W12" s="12">
        <v>343</v>
      </c>
      <c r="X12" s="12">
        <v>657</v>
      </c>
      <c r="Y12" s="12">
        <v>470</v>
      </c>
      <c r="Z12" s="12">
        <v>454</v>
      </c>
      <c r="AA12" s="12">
        <v>459</v>
      </c>
      <c r="AB12" s="12">
        <v>486</v>
      </c>
      <c r="AC12" s="12">
        <v>488</v>
      </c>
      <c r="AD12" s="12">
        <v>455</v>
      </c>
      <c r="AE12" s="12">
        <v>569</v>
      </c>
      <c r="AF12" s="12">
        <v>667</v>
      </c>
    </row>
    <row r="13" spans="1:32">
      <c r="A13" s="19"/>
      <c r="B13" s="13" t="s">
        <v>1407</v>
      </c>
      <c r="C13" s="14">
        <v>0.46</v>
      </c>
      <c r="D13" s="14">
        <v>0.52</v>
      </c>
      <c r="E13" s="14">
        <v>0.45</v>
      </c>
      <c r="F13" s="14">
        <v>0.48</v>
      </c>
      <c r="G13" s="14">
        <v>0.61</v>
      </c>
      <c r="H13" s="14">
        <v>0.45</v>
      </c>
      <c r="I13" s="14">
        <v>0.44</v>
      </c>
      <c r="J13" s="14">
        <v>0.43</v>
      </c>
      <c r="K13" s="14">
        <v>0.51</v>
      </c>
      <c r="L13" s="14">
        <v>0.56000000000000005</v>
      </c>
      <c r="M13" s="14">
        <v>0.44</v>
      </c>
      <c r="N13" s="14">
        <v>0.42</v>
      </c>
      <c r="O13" s="14">
        <v>0.43</v>
      </c>
      <c r="P13" s="14">
        <v>0.54</v>
      </c>
      <c r="Q13" s="14">
        <v>0.45</v>
      </c>
      <c r="R13" s="14">
        <v>0.64</v>
      </c>
      <c r="S13" s="14">
        <v>0.5</v>
      </c>
      <c r="T13" s="14">
        <v>0.46</v>
      </c>
      <c r="U13" s="14">
        <v>0.62</v>
      </c>
      <c r="V13" s="14">
        <v>0.45</v>
      </c>
      <c r="W13" s="14">
        <v>0.69000000000000006</v>
      </c>
      <c r="X13" s="14">
        <v>0.65</v>
      </c>
      <c r="Y13" s="14">
        <v>0.47</v>
      </c>
      <c r="Z13" s="14">
        <v>0.45</v>
      </c>
      <c r="AA13" s="14">
        <v>0.44</v>
      </c>
      <c r="AB13" s="14">
        <v>0.47</v>
      </c>
      <c r="AC13" s="14">
        <v>0.49</v>
      </c>
      <c r="AD13" s="14">
        <v>0.45</v>
      </c>
      <c r="AE13" s="14">
        <v>0.57000000000000006</v>
      </c>
      <c r="AF13" s="14">
        <v>0.65</v>
      </c>
    </row>
    <row r="14" spans="1:32">
      <c r="A14" s="19"/>
      <c r="B14" s="11" t="s">
        <v>1408</v>
      </c>
      <c r="C14" s="12">
        <v>1220</v>
      </c>
      <c r="D14" s="12">
        <v>59</v>
      </c>
      <c r="E14" s="12">
        <v>69</v>
      </c>
      <c r="F14" s="12">
        <v>63</v>
      </c>
      <c r="G14" s="12">
        <v>40</v>
      </c>
      <c r="H14" s="12">
        <v>75</v>
      </c>
      <c r="I14" s="12">
        <v>95</v>
      </c>
      <c r="J14" s="12">
        <v>20</v>
      </c>
      <c r="K14" s="12">
        <v>62</v>
      </c>
      <c r="L14" s="12">
        <v>67</v>
      </c>
      <c r="M14" s="12">
        <v>38</v>
      </c>
      <c r="N14" s="12">
        <v>22</v>
      </c>
      <c r="O14" s="12">
        <v>25</v>
      </c>
      <c r="P14" s="12">
        <v>42</v>
      </c>
      <c r="Q14" s="12">
        <v>34</v>
      </c>
      <c r="R14" s="12">
        <v>16</v>
      </c>
      <c r="S14" s="12">
        <v>23</v>
      </c>
      <c r="T14" s="12">
        <v>27</v>
      </c>
      <c r="U14" s="12">
        <v>6</v>
      </c>
      <c r="V14" s="12">
        <v>128</v>
      </c>
      <c r="W14" s="12">
        <v>9</v>
      </c>
      <c r="X14" s="12">
        <v>51</v>
      </c>
      <c r="Y14" s="12">
        <v>88</v>
      </c>
      <c r="Z14" s="12">
        <v>76</v>
      </c>
      <c r="AA14" s="12">
        <v>18</v>
      </c>
      <c r="AB14" s="12">
        <v>52</v>
      </c>
      <c r="AC14" s="12">
        <v>27</v>
      </c>
      <c r="AD14" s="12">
        <v>58</v>
      </c>
      <c r="AE14" s="12">
        <v>25</v>
      </c>
      <c r="AF14" s="12">
        <v>30</v>
      </c>
    </row>
    <row r="15" spans="1:32">
      <c r="A15" s="19"/>
      <c r="B15" s="13" t="s">
        <v>1409</v>
      </c>
      <c r="C15" s="14">
        <v>0.05</v>
      </c>
      <c r="D15" s="14">
        <v>0.06</v>
      </c>
      <c r="E15" s="14">
        <v>0.06</v>
      </c>
      <c r="F15" s="14">
        <v>0.06</v>
      </c>
      <c r="G15" s="14">
        <v>0.04</v>
      </c>
      <c r="H15" s="14">
        <v>0.06</v>
      </c>
      <c r="I15" s="14">
        <v>0.06</v>
      </c>
      <c r="J15" s="14">
        <v>7.0000000000000007E-2</v>
      </c>
      <c r="K15" s="14">
        <v>0.06</v>
      </c>
      <c r="L15" s="14">
        <v>7.0000000000000007E-2</v>
      </c>
      <c r="M15" s="14">
        <v>0.04</v>
      </c>
      <c r="N15" s="14">
        <v>0.02</v>
      </c>
      <c r="O15" s="14">
        <v>0.03</v>
      </c>
      <c r="P15" s="14">
        <v>0.04</v>
      </c>
      <c r="Q15" s="14">
        <v>0.03</v>
      </c>
      <c r="R15" s="14">
        <v>0.03</v>
      </c>
      <c r="S15" s="14">
        <v>0.02</v>
      </c>
      <c r="T15" s="14">
        <v>0.03</v>
      </c>
      <c r="U15" s="14">
        <v>0.01</v>
      </c>
      <c r="V15" s="14">
        <v>0.12</v>
      </c>
      <c r="W15" s="14">
        <v>0.02</v>
      </c>
      <c r="X15" s="14">
        <v>0.05</v>
      </c>
      <c r="Y15" s="14">
        <v>0.09</v>
      </c>
      <c r="Z15" s="14">
        <v>7.0000000000000007E-2</v>
      </c>
      <c r="AA15" s="14">
        <v>0.02</v>
      </c>
      <c r="AB15" s="14">
        <v>0.05</v>
      </c>
      <c r="AC15" s="14">
        <v>0.03</v>
      </c>
      <c r="AD15" s="14">
        <v>0.06</v>
      </c>
      <c r="AE15" s="14">
        <v>0.03</v>
      </c>
      <c r="AF15" s="14">
        <v>0.03</v>
      </c>
    </row>
    <row r="16" spans="1:32">
      <c r="A16" s="19"/>
      <c r="B16" s="11" t="s">
        <v>1410</v>
      </c>
      <c r="C16" s="12">
        <v>379</v>
      </c>
      <c r="D16" s="12">
        <v>18</v>
      </c>
      <c r="E16" s="12">
        <v>19</v>
      </c>
      <c r="F16" s="12">
        <v>18</v>
      </c>
      <c r="G16" s="12">
        <v>14</v>
      </c>
      <c r="H16" s="12">
        <v>12</v>
      </c>
      <c r="I16" s="12">
        <v>16</v>
      </c>
      <c r="J16" s="12">
        <v>4</v>
      </c>
      <c r="K16" s="12">
        <v>18</v>
      </c>
      <c r="L16" s="12">
        <v>12</v>
      </c>
      <c r="M16" s="12">
        <v>13</v>
      </c>
      <c r="N16" s="12">
        <v>2</v>
      </c>
      <c r="O16" s="12">
        <v>11</v>
      </c>
      <c r="P16" s="12">
        <v>15</v>
      </c>
      <c r="Q16" s="12">
        <v>24</v>
      </c>
      <c r="R16" s="12">
        <v>6</v>
      </c>
      <c r="S16" s="12">
        <v>5</v>
      </c>
      <c r="T16" s="12">
        <v>10</v>
      </c>
      <c r="U16" s="12">
        <v>3</v>
      </c>
      <c r="V16" s="12">
        <v>39</v>
      </c>
      <c r="W16" s="12">
        <v>1</v>
      </c>
      <c r="X16" s="12">
        <v>17</v>
      </c>
      <c r="Y16" s="12">
        <v>34</v>
      </c>
      <c r="Z16" s="12">
        <v>24</v>
      </c>
      <c r="AA16" s="12">
        <v>3</v>
      </c>
      <c r="AB16" s="12">
        <v>14</v>
      </c>
      <c r="AC16" s="12">
        <v>9</v>
      </c>
      <c r="AD16" s="12">
        <v>24</v>
      </c>
      <c r="AE16" s="12">
        <v>10</v>
      </c>
      <c r="AF16" s="12">
        <v>11</v>
      </c>
    </row>
    <row r="17" spans="1:32">
      <c r="A17" s="19"/>
      <c r="B17" s="13" t="s">
        <v>1411</v>
      </c>
      <c r="C17" s="14">
        <v>0.01</v>
      </c>
      <c r="D17" s="14">
        <v>0.02</v>
      </c>
      <c r="E17" s="14">
        <v>0.02</v>
      </c>
      <c r="F17" s="14">
        <v>0.02</v>
      </c>
      <c r="G17" s="14">
        <v>0.01</v>
      </c>
      <c r="H17" s="14">
        <v>0.01</v>
      </c>
      <c r="I17" s="14">
        <v>0.01</v>
      </c>
      <c r="J17" s="14">
        <v>0.01</v>
      </c>
      <c r="K17" s="14">
        <v>0.02</v>
      </c>
      <c r="L17" s="14">
        <v>0.01</v>
      </c>
      <c r="M17" s="14">
        <v>0.01</v>
      </c>
      <c r="N17" s="15" t="s">
        <v>375</v>
      </c>
      <c r="O17" s="14">
        <v>0.01</v>
      </c>
      <c r="P17" s="14">
        <v>0.02</v>
      </c>
      <c r="Q17" s="14">
        <v>0.02</v>
      </c>
      <c r="R17" s="14">
        <v>0.01</v>
      </c>
      <c r="S17" s="15" t="s">
        <v>375</v>
      </c>
      <c r="T17" s="14">
        <v>0.01</v>
      </c>
      <c r="U17" s="14">
        <v>0.01</v>
      </c>
      <c r="V17" s="14">
        <v>0.04</v>
      </c>
      <c r="W17" s="15" t="s">
        <v>375</v>
      </c>
      <c r="X17" s="14">
        <v>0.02</v>
      </c>
      <c r="Y17" s="14">
        <v>0.03</v>
      </c>
      <c r="Z17" s="14">
        <v>0.02</v>
      </c>
      <c r="AA17" s="15" t="s">
        <v>375</v>
      </c>
      <c r="AB17" s="14">
        <v>0.01</v>
      </c>
      <c r="AC17" s="14">
        <v>0.01</v>
      </c>
      <c r="AD17" s="14">
        <v>0.02</v>
      </c>
      <c r="AE17" s="14">
        <v>0.01</v>
      </c>
      <c r="AF17" s="14">
        <v>0.01</v>
      </c>
    </row>
    <row r="18" spans="1:32">
      <c r="A18" s="19"/>
      <c r="B18" s="11" t="s">
        <v>1412</v>
      </c>
      <c r="C18" s="12">
        <v>154</v>
      </c>
      <c r="D18" s="12">
        <v>4</v>
      </c>
      <c r="E18" s="12">
        <v>6</v>
      </c>
      <c r="F18" s="12">
        <v>13</v>
      </c>
      <c r="G18" s="12">
        <v>1</v>
      </c>
      <c r="H18" s="12">
        <v>8</v>
      </c>
      <c r="I18" s="12">
        <v>9</v>
      </c>
      <c r="J18" s="12">
        <v>1</v>
      </c>
      <c r="K18" s="12">
        <v>4</v>
      </c>
      <c r="L18" s="12">
        <v>2</v>
      </c>
      <c r="M18" s="12">
        <v>7</v>
      </c>
      <c r="N18" s="12">
        <v>5</v>
      </c>
      <c r="O18" s="12">
        <v>3</v>
      </c>
      <c r="P18" s="12">
        <v>8</v>
      </c>
      <c r="Q18" s="12">
        <v>9</v>
      </c>
      <c r="R18" s="12">
        <v>0</v>
      </c>
      <c r="S18" s="12">
        <v>2</v>
      </c>
      <c r="T18" s="12">
        <v>3</v>
      </c>
      <c r="U18" s="12">
        <v>4</v>
      </c>
      <c r="V18" s="12">
        <v>6</v>
      </c>
      <c r="W18" s="12">
        <v>0</v>
      </c>
      <c r="X18" s="12">
        <v>7</v>
      </c>
      <c r="Y18" s="12">
        <v>4</v>
      </c>
      <c r="Z18" s="12">
        <v>7</v>
      </c>
      <c r="AA18" s="12">
        <v>1</v>
      </c>
      <c r="AB18" s="12">
        <v>6</v>
      </c>
      <c r="AC18" s="12">
        <v>1</v>
      </c>
      <c r="AD18" s="12">
        <v>17</v>
      </c>
      <c r="AE18" s="12">
        <v>4</v>
      </c>
      <c r="AF18" s="12">
        <v>4</v>
      </c>
    </row>
    <row r="19" spans="1:32">
      <c r="A19" s="19"/>
      <c r="B19" s="13" t="s">
        <v>1413</v>
      </c>
      <c r="C19" s="14">
        <v>0.01</v>
      </c>
      <c r="D19" s="15" t="s">
        <v>375</v>
      </c>
      <c r="E19" s="14">
        <v>0.01</v>
      </c>
      <c r="F19" s="14">
        <v>0.01</v>
      </c>
      <c r="G19" s="15" t="s">
        <v>375</v>
      </c>
      <c r="H19" s="14">
        <v>0.01</v>
      </c>
      <c r="I19" s="14">
        <v>0.01</v>
      </c>
      <c r="J19" s="15" t="s">
        <v>375</v>
      </c>
      <c r="K19" s="14">
        <v>0.01</v>
      </c>
      <c r="L19" s="15" t="s">
        <v>375</v>
      </c>
      <c r="M19" s="14">
        <v>0.01</v>
      </c>
      <c r="N19" s="14">
        <v>0.01</v>
      </c>
      <c r="O19" s="15" t="s">
        <v>375</v>
      </c>
      <c r="P19" s="14">
        <v>0.01</v>
      </c>
      <c r="Q19" s="14">
        <v>0.01</v>
      </c>
      <c r="R19" s="15" t="s">
        <v>375</v>
      </c>
      <c r="S19" s="15" t="s">
        <v>375</v>
      </c>
      <c r="T19" s="15" t="s">
        <v>375</v>
      </c>
      <c r="U19" s="14">
        <v>0.01</v>
      </c>
      <c r="V19" s="14">
        <v>0.01</v>
      </c>
      <c r="W19" s="15" t="s">
        <v>375</v>
      </c>
      <c r="X19" s="14">
        <v>0.01</v>
      </c>
      <c r="Y19" s="15" t="s">
        <v>375</v>
      </c>
      <c r="Z19" s="14">
        <v>0.01</v>
      </c>
      <c r="AA19" s="15" t="s">
        <v>375</v>
      </c>
      <c r="AB19" s="14">
        <v>0.01</v>
      </c>
      <c r="AC19" s="15" t="s">
        <v>375</v>
      </c>
      <c r="AD19" s="14">
        <v>0.02</v>
      </c>
      <c r="AE19" s="15" t="s">
        <v>375</v>
      </c>
      <c r="AF19" s="15" t="s">
        <v>375</v>
      </c>
    </row>
    <row r="20" spans="1:32">
      <c r="A20" s="19"/>
      <c r="B20" s="11" t="s">
        <v>1414</v>
      </c>
      <c r="C20" s="12">
        <v>808</v>
      </c>
      <c r="D20" s="12">
        <v>44</v>
      </c>
      <c r="E20" s="12">
        <v>42</v>
      </c>
      <c r="F20" s="12">
        <v>60</v>
      </c>
      <c r="G20" s="12">
        <v>14</v>
      </c>
      <c r="H20" s="12">
        <v>81</v>
      </c>
      <c r="I20" s="12">
        <v>96</v>
      </c>
      <c r="J20" s="12">
        <v>15</v>
      </c>
      <c r="K20" s="12">
        <v>58</v>
      </c>
      <c r="L20" s="12">
        <v>34</v>
      </c>
      <c r="M20" s="12">
        <v>19</v>
      </c>
      <c r="N20" s="12">
        <v>18</v>
      </c>
      <c r="O20" s="12">
        <v>23</v>
      </c>
      <c r="P20" s="12">
        <v>42</v>
      </c>
      <c r="Q20" s="12">
        <v>21</v>
      </c>
      <c r="R20" s="12">
        <v>10</v>
      </c>
      <c r="S20" s="12">
        <v>21</v>
      </c>
      <c r="T20" s="12">
        <v>16</v>
      </c>
      <c r="U20" s="12">
        <v>20</v>
      </c>
      <c r="V20" s="12">
        <v>29</v>
      </c>
      <c r="W20" s="12">
        <v>1</v>
      </c>
      <c r="X20" s="12">
        <v>15</v>
      </c>
      <c r="Y20" s="12">
        <v>25</v>
      </c>
      <c r="Z20" s="12">
        <v>22</v>
      </c>
      <c r="AA20" s="12">
        <v>32</v>
      </c>
      <c r="AB20" s="12">
        <v>20</v>
      </c>
      <c r="AC20" s="12">
        <v>21</v>
      </c>
      <c r="AD20" s="12">
        <v>35</v>
      </c>
      <c r="AE20" s="12">
        <v>7</v>
      </c>
      <c r="AF20" s="12">
        <v>9</v>
      </c>
    </row>
    <row r="21" spans="1:32">
      <c r="A21" s="19"/>
      <c r="B21" s="13" t="s">
        <v>1415</v>
      </c>
      <c r="C21" s="14">
        <v>0.03</v>
      </c>
      <c r="D21" s="14">
        <v>0.04</v>
      </c>
      <c r="E21" s="14">
        <v>0.04</v>
      </c>
      <c r="F21" s="14">
        <v>0.06</v>
      </c>
      <c r="G21" s="14">
        <v>0.01</v>
      </c>
      <c r="H21" s="14">
        <v>0.06</v>
      </c>
      <c r="I21" s="14">
        <v>0.06</v>
      </c>
      <c r="J21" s="14">
        <v>0.05</v>
      </c>
      <c r="K21" s="14">
        <v>0.06</v>
      </c>
      <c r="L21" s="14">
        <v>0.03</v>
      </c>
      <c r="M21" s="14">
        <v>0.02</v>
      </c>
      <c r="N21" s="14">
        <v>0.02</v>
      </c>
      <c r="O21" s="14">
        <v>0.02</v>
      </c>
      <c r="P21" s="14">
        <v>0.04</v>
      </c>
      <c r="Q21" s="14">
        <v>0.02</v>
      </c>
      <c r="R21" s="14">
        <v>0.02</v>
      </c>
      <c r="S21" s="14">
        <v>0.02</v>
      </c>
      <c r="T21" s="14">
        <v>0.02</v>
      </c>
      <c r="U21" s="14">
        <v>0.04</v>
      </c>
      <c r="V21" s="14">
        <v>0.03</v>
      </c>
      <c r="W21" s="15" t="s">
        <v>375</v>
      </c>
      <c r="X21" s="14">
        <v>0.01</v>
      </c>
      <c r="Y21" s="14">
        <v>0.03</v>
      </c>
      <c r="Z21" s="14">
        <v>0.02</v>
      </c>
      <c r="AA21" s="14">
        <v>0.03</v>
      </c>
      <c r="AB21" s="14">
        <v>0.02</v>
      </c>
      <c r="AC21" s="14">
        <v>0.02</v>
      </c>
      <c r="AD21" s="14">
        <v>0.04</v>
      </c>
      <c r="AE21" s="14">
        <v>0.01</v>
      </c>
      <c r="AF21" s="14">
        <v>0.01</v>
      </c>
    </row>
    <row r="22" spans="1:32">
      <c r="A22" s="19"/>
      <c r="B22" s="11" t="s">
        <v>1416</v>
      </c>
      <c r="C22" s="12">
        <v>11245</v>
      </c>
      <c r="D22" s="12">
        <v>354</v>
      </c>
      <c r="E22" s="12">
        <v>403</v>
      </c>
      <c r="F22" s="12">
        <v>387</v>
      </c>
      <c r="G22" s="12">
        <v>313</v>
      </c>
      <c r="H22" s="12">
        <v>481</v>
      </c>
      <c r="I22" s="12">
        <v>610</v>
      </c>
      <c r="J22" s="12">
        <v>129</v>
      </c>
      <c r="K22" s="12">
        <v>324</v>
      </c>
      <c r="L22" s="12">
        <v>329</v>
      </c>
      <c r="M22" s="12">
        <v>415</v>
      </c>
      <c r="N22" s="12">
        <v>512</v>
      </c>
      <c r="O22" s="12">
        <v>507</v>
      </c>
      <c r="P22" s="12">
        <v>323</v>
      </c>
      <c r="Q22" s="12">
        <v>479</v>
      </c>
      <c r="R22" s="12">
        <v>149</v>
      </c>
      <c r="S22" s="12">
        <v>439</v>
      </c>
      <c r="T22" s="12">
        <v>486</v>
      </c>
      <c r="U22" s="12">
        <v>145</v>
      </c>
      <c r="V22" s="12">
        <v>355</v>
      </c>
      <c r="W22" s="12">
        <v>146</v>
      </c>
      <c r="X22" s="12">
        <v>255</v>
      </c>
      <c r="Y22" s="12">
        <v>339</v>
      </c>
      <c r="Z22" s="12">
        <v>432</v>
      </c>
      <c r="AA22" s="12">
        <v>471</v>
      </c>
      <c r="AB22" s="12">
        <v>452</v>
      </c>
      <c r="AC22" s="12">
        <v>454</v>
      </c>
      <c r="AD22" s="12">
        <v>403</v>
      </c>
      <c r="AE22" s="12">
        <v>385</v>
      </c>
      <c r="AF22" s="12">
        <v>306</v>
      </c>
    </row>
    <row r="23" spans="1:32">
      <c r="A23" s="19"/>
      <c r="B23" s="13" t="s">
        <v>1417</v>
      </c>
      <c r="C23" s="14">
        <v>0.43</v>
      </c>
      <c r="D23" s="14">
        <v>0.35</v>
      </c>
      <c r="E23" s="14">
        <v>0.38</v>
      </c>
      <c r="F23" s="14">
        <v>0.36</v>
      </c>
      <c r="G23" s="14">
        <v>0.31</v>
      </c>
      <c r="H23" s="14">
        <v>0.39</v>
      </c>
      <c r="I23" s="14">
        <v>0.4</v>
      </c>
      <c r="J23" s="14">
        <v>0.44</v>
      </c>
      <c r="K23" s="14">
        <v>0.32</v>
      </c>
      <c r="L23" s="14">
        <v>0.33</v>
      </c>
      <c r="M23" s="14">
        <v>0.41</v>
      </c>
      <c r="N23" s="14">
        <v>0.51</v>
      </c>
      <c r="O23" s="14">
        <v>0.51</v>
      </c>
      <c r="P23" s="14">
        <v>0.32</v>
      </c>
      <c r="Q23" s="14">
        <v>0.47</v>
      </c>
      <c r="R23" s="14">
        <v>0.3</v>
      </c>
      <c r="S23" s="14">
        <v>0.44</v>
      </c>
      <c r="T23" s="14">
        <v>0.47</v>
      </c>
      <c r="U23" s="14">
        <v>0.28000000000000003</v>
      </c>
      <c r="V23" s="14">
        <v>0.35</v>
      </c>
      <c r="W23" s="14">
        <v>0.28999999999999998</v>
      </c>
      <c r="X23" s="14">
        <v>0.25</v>
      </c>
      <c r="Y23" s="14">
        <v>0.34</v>
      </c>
      <c r="Z23" s="14">
        <v>0.43</v>
      </c>
      <c r="AA23" s="14">
        <v>0.46</v>
      </c>
      <c r="AB23" s="14">
        <v>0.43</v>
      </c>
      <c r="AC23" s="14">
        <v>0.45</v>
      </c>
      <c r="AD23" s="14">
        <v>0.4</v>
      </c>
      <c r="AE23" s="14">
        <v>0.38</v>
      </c>
      <c r="AF23" s="14">
        <v>0.3</v>
      </c>
    </row>
    <row r="24" spans="1:32">
      <c r="A24" s="19"/>
      <c r="B24" s="11" t="s">
        <v>1418</v>
      </c>
      <c r="C24" s="12">
        <v>349</v>
      </c>
      <c r="D24" s="12">
        <v>13</v>
      </c>
      <c r="E24" s="12">
        <v>38</v>
      </c>
      <c r="F24" s="12">
        <v>12</v>
      </c>
      <c r="G24" s="12">
        <v>17</v>
      </c>
      <c r="H24" s="12">
        <v>26</v>
      </c>
      <c r="I24" s="12">
        <v>27</v>
      </c>
      <c r="J24" s="12">
        <v>1</v>
      </c>
      <c r="K24" s="12">
        <v>24</v>
      </c>
      <c r="L24" s="12">
        <v>1</v>
      </c>
      <c r="M24" s="12">
        <v>69</v>
      </c>
      <c r="N24" s="12">
        <v>22</v>
      </c>
      <c r="O24" s="12">
        <v>2</v>
      </c>
      <c r="P24" s="12">
        <v>34</v>
      </c>
      <c r="Q24" s="12">
        <v>4</v>
      </c>
      <c r="R24" s="12">
        <v>1</v>
      </c>
      <c r="S24" s="12">
        <v>16</v>
      </c>
      <c r="T24" s="12">
        <v>11</v>
      </c>
      <c r="U24" s="12">
        <v>17</v>
      </c>
      <c r="V24" s="12">
        <v>3</v>
      </c>
      <c r="W24" s="12">
        <v>2</v>
      </c>
      <c r="X24" s="12">
        <v>7</v>
      </c>
      <c r="Y24" s="12">
        <v>43</v>
      </c>
      <c r="Z24" s="12">
        <v>1</v>
      </c>
      <c r="AA24" s="12">
        <v>52</v>
      </c>
      <c r="AB24" s="12">
        <v>11</v>
      </c>
      <c r="AC24" s="12">
        <v>5</v>
      </c>
      <c r="AD24" s="12">
        <v>10</v>
      </c>
      <c r="AE24" s="12">
        <v>1</v>
      </c>
      <c r="AF24" s="12">
        <v>3</v>
      </c>
    </row>
    <row r="25" spans="1:32">
      <c r="A25" s="19"/>
      <c r="B25" s="13" t="s">
        <v>1419</v>
      </c>
      <c r="C25" s="14">
        <v>0.01</v>
      </c>
      <c r="D25" s="14">
        <v>0.01</v>
      </c>
      <c r="E25" s="14">
        <v>0.04</v>
      </c>
      <c r="F25" s="14">
        <v>0.01</v>
      </c>
      <c r="G25" s="14">
        <v>0.02</v>
      </c>
      <c r="H25" s="14">
        <v>0.02</v>
      </c>
      <c r="I25" s="14">
        <v>0.02</v>
      </c>
      <c r="J25" s="15" t="s">
        <v>375</v>
      </c>
      <c r="K25" s="14">
        <v>0.02</v>
      </c>
      <c r="L25" s="15" t="s">
        <v>375</v>
      </c>
      <c r="M25" s="14">
        <v>7.0000000000000007E-2</v>
      </c>
      <c r="N25" s="14">
        <v>0.02</v>
      </c>
      <c r="O25" s="15" t="s">
        <v>375</v>
      </c>
      <c r="P25" s="14">
        <v>0.03</v>
      </c>
      <c r="Q25" s="15" t="s">
        <v>375</v>
      </c>
      <c r="R25" s="15" t="s">
        <v>375</v>
      </c>
      <c r="S25" s="14">
        <v>0.02</v>
      </c>
      <c r="T25" s="14">
        <v>0.01</v>
      </c>
      <c r="U25" s="14">
        <v>0.03</v>
      </c>
      <c r="V25" s="15" t="s">
        <v>375</v>
      </c>
      <c r="W25" s="15" t="s">
        <v>375</v>
      </c>
      <c r="X25" s="14">
        <v>0.01</v>
      </c>
      <c r="Y25" s="14">
        <v>0.04</v>
      </c>
      <c r="Z25" s="15" t="s">
        <v>375</v>
      </c>
      <c r="AA25" s="14">
        <v>0.05</v>
      </c>
      <c r="AB25" s="14">
        <v>0.01</v>
      </c>
      <c r="AC25" s="15" t="s">
        <v>375</v>
      </c>
      <c r="AD25" s="14">
        <v>0.01</v>
      </c>
      <c r="AE25" s="15" t="s">
        <v>375</v>
      </c>
      <c r="AF25" s="15" t="s">
        <v>375</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1424</v>
      </c>
      <c r="C3" s="17"/>
      <c r="D3" s="17"/>
      <c r="E3" s="17"/>
      <c r="F3" s="17"/>
      <c r="H3" s="17" t="s">
        <v>1425</v>
      </c>
      <c r="I3" s="17"/>
      <c r="J3" s="17"/>
      <c r="K3" s="17"/>
      <c r="L3" s="17"/>
    </row>
    <row r="4" spans="1:32" ht="27" customHeight="1">
      <c r="B4" s="17" t="s">
        <v>1426</v>
      </c>
      <c r="C4" s="17"/>
      <c r="D4" s="17"/>
      <c r="E4" s="17"/>
      <c r="F4" s="17"/>
      <c r="H4" s="17" t="s">
        <v>1427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1406</v>
      </c>
      <c r="C12" s="12">
        <v>21001</v>
      </c>
      <c r="D12" s="12">
        <v>852</v>
      </c>
      <c r="E12" s="12">
        <v>785</v>
      </c>
      <c r="F12" s="12">
        <v>741</v>
      </c>
      <c r="G12" s="12">
        <v>946</v>
      </c>
      <c r="H12" s="12">
        <v>944</v>
      </c>
      <c r="I12" s="12">
        <v>1156</v>
      </c>
      <c r="J12" s="12">
        <v>211</v>
      </c>
      <c r="K12" s="12">
        <v>815</v>
      </c>
      <c r="L12" s="12">
        <v>796</v>
      </c>
      <c r="M12" s="12">
        <v>748</v>
      </c>
      <c r="N12" s="12">
        <v>895</v>
      </c>
      <c r="O12" s="12">
        <v>810</v>
      </c>
      <c r="P12" s="12">
        <v>737</v>
      </c>
      <c r="Q12" s="12">
        <v>829</v>
      </c>
      <c r="R12" s="12">
        <v>397</v>
      </c>
      <c r="S12" s="12">
        <v>847</v>
      </c>
      <c r="T12" s="12">
        <v>817</v>
      </c>
      <c r="U12" s="12">
        <v>459</v>
      </c>
      <c r="V12" s="12">
        <v>700</v>
      </c>
      <c r="W12" s="12">
        <v>428</v>
      </c>
      <c r="X12" s="12">
        <v>957</v>
      </c>
      <c r="Y12" s="12">
        <v>775</v>
      </c>
      <c r="Z12" s="12">
        <v>695</v>
      </c>
      <c r="AA12" s="12">
        <v>764</v>
      </c>
      <c r="AB12" s="12">
        <v>761</v>
      </c>
      <c r="AC12" s="12">
        <v>802</v>
      </c>
      <c r="AD12" s="12">
        <v>755</v>
      </c>
      <c r="AE12" s="12">
        <v>907</v>
      </c>
      <c r="AF12" s="12">
        <v>987</v>
      </c>
    </row>
    <row r="13" spans="1:32">
      <c r="A13" s="19"/>
      <c r="B13" s="13" t="s">
        <v>1407</v>
      </c>
      <c r="C13" s="14">
        <v>0.79</v>
      </c>
      <c r="D13" s="14">
        <v>0.84</v>
      </c>
      <c r="E13" s="14">
        <v>0.75</v>
      </c>
      <c r="F13" s="14">
        <v>0.70000000000000007</v>
      </c>
      <c r="G13" s="14">
        <v>0.93</v>
      </c>
      <c r="H13" s="14">
        <v>0.77</v>
      </c>
      <c r="I13" s="14">
        <v>0.76</v>
      </c>
      <c r="J13" s="14">
        <v>0.71</v>
      </c>
      <c r="K13" s="14">
        <v>0.81</v>
      </c>
      <c r="L13" s="14">
        <v>0.79</v>
      </c>
      <c r="M13" s="14">
        <v>0.74</v>
      </c>
      <c r="N13" s="14">
        <v>0.89</v>
      </c>
      <c r="O13" s="14">
        <v>0.81</v>
      </c>
      <c r="P13" s="14">
        <v>0.73</v>
      </c>
      <c r="Q13" s="14">
        <v>0.8</v>
      </c>
      <c r="R13" s="14">
        <v>0.79</v>
      </c>
      <c r="S13" s="14">
        <v>0.84</v>
      </c>
      <c r="T13" s="14">
        <v>0.8</v>
      </c>
      <c r="U13" s="14">
        <v>0.9</v>
      </c>
      <c r="V13" s="14">
        <v>0.68</v>
      </c>
      <c r="W13" s="14">
        <v>0.85</v>
      </c>
      <c r="X13" s="14">
        <v>0.95000000000000007</v>
      </c>
      <c r="Y13" s="14">
        <v>0.77</v>
      </c>
      <c r="Z13" s="14">
        <v>0.68</v>
      </c>
      <c r="AA13" s="14">
        <v>0.74</v>
      </c>
      <c r="AB13" s="14">
        <v>0.73</v>
      </c>
      <c r="AC13" s="14">
        <v>0.8</v>
      </c>
      <c r="AD13" s="14">
        <v>0.75</v>
      </c>
      <c r="AE13" s="14">
        <v>0.91</v>
      </c>
      <c r="AF13" s="14">
        <v>0.96</v>
      </c>
    </row>
    <row r="14" spans="1:32">
      <c r="A14" s="19"/>
      <c r="B14" s="11" t="s">
        <v>1408</v>
      </c>
      <c r="C14" s="12">
        <v>1556</v>
      </c>
      <c r="D14" s="12">
        <v>73</v>
      </c>
      <c r="E14" s="12">
        <v>58</v>
      </c>
      <c r="F14" s="12">
        <v>95</v>
      </c>
      <c r="G14" s="12">
        <v>17</v>
      </c>
      <c r="H14" s="12">
        <v>93</v>
      </c>
      <c r="I14" s="12">
        <v>120</v>
      </c>
      <c r="J14" s="12">
        <v>27</v>
      </c>
      <c r="K14" s="12">
        <v>45</v>
      </c>
      <c r="L14" s="12">
        <v>79</v>
      </c>
      <c r="M14" s="12">
        <v>58</v>
      </c>
      <c r="N14" s="12">
        <v>34</v>
      </c>
      <c r="O14" s="12">
        <v>55</v>
      </c>
      <c r="P14" s="12">
        <v>61</v>
      </c>
      <c r="Q14" s="12">
        <v>61</v>
      </c>
      <c r="R14" s="12">
        <v>22</v>
      </c>
      <c r="S14" s="12">
        <v>26</v>
      </c>
      <c r="T14" s="12">
        <v>34</v>
      </c>
      <c r="U14" s="12">
        <v>17</v>
      </c>
      <c r="V14" s="12">
        <v>108</v>
      </c>
      <c r="W14" s="12">
        <v>13</v>
      </c>
      <c r="X14" s="12">
        <v>13</v>
      </c>
      <c r="Y14" s="12">
        <v>87</v>
      </c>
      <c r="Z14" s="12">
        <v>76</v>
      </c>
      <c r="AA14" s="12">
        <v>53</v>
      </c>
      <c r="AB14" s="12">
        <v>52</v>
      </c>
      <c r="AC14" s="12">
        <v>50</v>
      </c>
      <c r="AD14" s="12">
        <v>73</v>
      </c>
      <c r="AE14" s="12">
        <v>28</v>
      </c>
      <c r="AF14" s="12">
        <v>22</v>
      </c>
    </row>
    <row r="15" spans="1:32">
      <c r="A15" s="19"/>
      <c r="B15" s="13" t="s">
        <v>1409</v>
      </c>
      <c r="C15" s="14">
        <v>0.06</v>
      </c>
      <c r="D15" s="14">
        <v>7.0000000000000007E-2</v>
      </c>
      <c r="E15" s="14">
        <v>0.05</v>
      </c>
      <c r="F15" s="14">
        <v>0.09</v>
      </c>
      <c r="G15" s="14">
        <v>0.02</v>
      </c>
      <c r="H15" s="14">
        <v>0.08</v>
      </c>
      <c r="I15" s="14">
        <v>0.08</v>
      </c>
      <c r="J15" s="14">
        <v>0.09</v>
      </c>
      <c r="K15" s="14">
        <v>0.04</v>
      </c>
      <c r="L15" s="14">
        <v>0.08</v>
      </c>
      <c r="M15" s="14">
        <v>0.06</v>
      </c>
      <c r="N15" s="14">
        <v>0.03</v>
      </c>
      <c r="O15" s="14">
        <v>0.05</v>
      </c>
      <c r="P15" s="14">
        <v>0.06</v>
      </c>
      <c r="Q15" s="14">
        <v>0.06</v>
      </c>
      <c r="R15" s="14">
        <v>0.04</v>
      </c>
      <c r="S15" s="14">
        <v>0.03</v>
      </c>
      <c r="T15" s="14">
        <v>0.03</v>
      </c>
      <c r="U15" s="14">
        <v>0.04</v>
      </c>
      <c r="V15" s="14">
        <v>0.1</v>
      </c>
      <c r="W15" s="14">
        <v>0.03</v>
      </c>
      <c r="X15" s="14">
        <v>0.01</v>
      </c>
      <c r="Y15" s="14">
        <v>0.09</v>
      </c>
      <c r="Z15" s="14">
        <v>0.08</v>
      </c>
      <c r="AA15" s="14">
        <v>0.05</v>
      </c>
      <c r="AB15" s="14">
        <v>0.05</v>
      </c>
      <c r="AC15" s="14">
        <v>0.05</v>
      </c>
      <c r="AD15" s="14">
        <v>7.0000000000000007E-2</v>
      </c>
      <c r="AE15" s="14">
        <v>0.03</v>
      </c>
      <c r="AF15" s="14">
        <v>0.02</v>
      </c>
    </row>
    <row r="16" spans="1:32">
      <c r="A16" s="19"/>
      <c r="B16" s="11" t="s">
        <v>1410</v>
      </c>
      <c r="C16" s="12">
        <v>454</v>
      </c>
      <c r="D16" s="12">
        <v>19</v>
      </c>
      <c r="E16" s="12">
        <v>18</v>
      </c>
      <c r="F16" s="12">
        <v>29</v>
      </c>
      <c r="G16" s="12">
        <v>4</v>
      </c>
      <c r="H16" s="12">
        <v>14</v>
      </c>
      <c r="I16" s="12">
        <v>29</v>
      </c>
      <c r="J16" s="12">
        <v>15</v>
      </c>
      <c r="K16" s="12">
        <v>8</v>
      </c>
      <c r="L16" s="12">
        <v>21</v>
      </c>
      <c r="M16" s="12">
        <v>16</v>
      </c>
      <c r="N16" s="12">
        <v>5</v>
      </c>
      <c r="O16" s="12">
        <v>16</v>
      </c>
      <c r="P16" s="12">
        <v>17</v>
      </c>
      <c r="Q16" s="12">
        <v>29</v>
      </c>
      <c r="R16" s="12">
        <v>8</v>
      </c>
      <c r="S16" s="12">
        <v>4</v>
      </c>
      <c r="T16" s="12">
        <v>1</v>
      </c>
      <c r="U16" s="12">
        <v>4</v>
      </c>
      <c r="V16" s="12">
        <v>23</v>
      </c>
      <c r="W16" s="12">
        <v>6</v>
      </c>
      <c r="X16" s="12">
        <v>9</v>
      </c>
      <c r="Y16" s="12">
        <v>30</v>
      </c>
      <c r="Z16" s="12">
        <v>21</v>
      </c>
      <c r="AA16" s="12">
        <v>13</v>
      </c>
      <c r="AB16" s="12">
        <v>13</v>
      </c>
      <c r="AC16" s="12">
        <v>7</v>
      </c>
      <c r="AD16" s="12">
        <v>32</v>
      </c>
      <c r="AE16" s="12">
        <v>16</v>
      </c>
      <c r="AF16" s="12">
        <v>5</v>
      </c>
    </row>
    <row r="17" spans="1:32">
      <c r="A17" s="19"/>
      <c r="B17" s="13" t="s">
        <v>1411</v>
      </c>
      <c r="C17" s="14">
        <v>0.02</v>
      </c>
      <c r="D17" s="14">
        <v>0.02</v>
      </c>
      <c r="E17" s="14">
        <v>0.02</v>
      </c>
      <c r="F17" s="14">
        <v>0.03</v>
      </c>
      <c r="G17" s="15" t="s">
        <v>375</v>
      </c>
      <c r="H17" s="14">
        <v>0.01</v>
      </c>
      <c r="I17" s="14">
        <v>0.02</v>
      </c>
      <c r="J17" s="14">
        <v>0.05</v>
      </c>
      <c r="K17" s="14">
        <v>0.01</v>
      </c>
      <c r="L17" s="14">
        <v>0.02</v>
      </c>
      <c r="M17" s="14">
        <v>0.02</v>
      </c>
      <c r="N17" s="15" t="s">
        <v>375</v>
      </c>
      <c r="O17" s="14">
        <v>0.02</v>
      </c>
      <c r="P17" s="14">
        <v>0.02</v>
      </c>
      <c r="Q17" s="14">
        <v>0.03</v>
      </c>
      <c r="R17" s="14">
        <v>0.02</v>
      </c>
      <c r="S17" s="15" t="s">
        <v>375</v>
      </c>
      <c r="T17" s="15" t="s">
        <v>375</v>
      </c>
      <c r="U17" s="14">
        <v>0.01</v>
      </c>
      <c r="V17" s="14">
        <v>0.02</v>
      </c>
      <c r="W17" s="14">
        <v>0.01</v>
      </c>
      <c r="X17" s="14">
        <v>0.01</v>
      </c>
      <c r="Y17" s="14">
        <v>0.03</v>
      </c>
      <c r="Z17" s="14">
        <v>0.02</v>
      </c>
      <c r="AA17" s="14">
        <v>0.01</v>
      </c>
      <c r="AB17" s="14">
        <v>0.01</v>
      </c>
      <c r="AC17" s="14">
        <v>0.01</v>
      </c>
      <c r="AD17" s="14">
        <v>0.03</v>
      </c>
      <c r="AE17" s="14">
        <v>0.02</v>
      </c>
      <c r="AF17" s="14">
        <v>0.01</v>
      </c>
    </row>
    <row r="18" spans="1:32">
      <c r="A18" s="19"/>
      <c r="B18" s="11" t="s">
        <v>1412</v>
      </c>
      <c r="C18" s="12">
        <v>206</v>
      </c>
      <c r="D18" s="12">
        <v>4</v>
      </c>
      <c r="E18" s="12">
        <v>9</v>
      </c>
      <c r="F18" s="12">
        <v>13</v>
      </c>
      <c r="G18" s="12">
        <v>1</v>
      </c>
      <c r="H18" s="12">
        <v>12</v>
      </c>
      <c r="I18" s="12">
        <v>15</v>
      </c>
      <c r="J18" s="12">
        <v>3</v>
      </c>
      <c r="K18" s="12">
        <v>6</v>
      </c>
      <c r="L18" s="12">
        <v>12</v>
      </c>
      <c r="M18" s="12">
        <v>4</v>
      </c>
      <c r="N18" s="12">
        <v>2</v>
      </c>
      <c r="O18" s="12">
        <v>8</v>
      </c>
      <c r="P18" s="12">
        <v>9</v>
      </c>
      <c r="Q18" s="12">
        <v>6</v>
      </c>
      <c r="R18" s="12">
        <v>1</v>
      </c>
      <c r="S18" s="12">
        <v>5</v>
      </c>
      <c r="T18" s="12">
        <v>2</v>
      </c>
      <c r="U18" s="12">
        <v>2</v>
      </c>
      <c r="V18" s="12">
        <v>8</v>
      </c>
      <c r="W18" s="12">
        <v>1</v>
      </c>
      <c r="X18" s="12">
        <v>9</v>
      </c>
      <c r="Y18" s="12">
        <v>7</v>
      </c>
      <c r="Z18" s="12">
        <v>23</v>
      </c>
      <c r="AA18" s="12">
        <v>2</v>
      </c>
      <c r="AB18" s="12">
        <v>3</v>
      </c>
      <c r="AC18" s="12">
        <v>6</v>
      </c>
      <c r="AD18" s="12">
        <v>9</v>
      </c>
      <c r="AE18" s="12">
        <v>1</v>
      </c>
      <c r="AF18" s="12">
        <v>1</v>
      </c>
    </row>
    <row r="19" spans="1:32">
      <c r="A19" s="19"/>
      <c r="B19" s="13" t="s">
        <v>1413</v>
      </c>
      <c r="C19" s="14">
        <v>0.01</v>
      </c>
      <c r="D19" s="15" t="s">
        <v>375</v>
      </c>
      <c r="E19" s="14">
        <v>0.01</v>
      </c>
      <c r="F19" s="14">
        <v>0.01</v>
      </c>
      <c r="G19" s="15" t="s">
        <v>375</v>
      </c>
      <c r="H19" s="14">
        <v>0.01</v>
      </c>
      <c r="I19" s="14">
        <v>0.01</v>
      </c>
      <c r="J19" s="14">
        <v>0.01</v>
      </c>
      <c r="K19" s="14">
        <v>0.01</v>
      </c>
      <c r="L19" s="14">
        <v>0.01</v>
      </c>
      <c r="M19" s="15" t="s">
        <v>375</v>
      </c>
      <c r="N19" s="15" t="s">
        <v>375</v>
      </c>
      <c r="O19" s="14">
        <v>0.01</v>
      </c>
      <c r="P19" s="14">
        <v>0.01</v>
      </c>
      <c r="Q19" s="14">
        <v>0.01</v>
      </c>
      <c r="R19" s="15" t="s">
        <v>375</v>
      </c>
      <c r="S19" s="14">
        <v>0.01</v>
      </c>
      <c r="T19" s="15" t="s">
        <v>375</v>
      </c>
      <c r="U19" s="15" t="s">
        <v>375</v>
      </c>
      <c r="V19" s="14">
        <v>0.01</v>
      </c>
      <c r="W19" s="15" t="s">
        <v>375</v>
      </c>
      <c r="X19" s="14">
        <v>0.01</v>
      </c>
      <c r="Y19" s="14">
        <v>0.01</v>
      </c>
      <c r="Z19" s="14">
        <v>0.02</v>
      </c>
      <c r="AA19" s="15" t="s">
        <v>375</v>
      </c>
      <c r="AB19" s="15" t="s">
        <v>375</v>
      </c>
      <c r="AC19" s="15" t="s">
        <v>375</v>
      </c>
      <c r="AD19" s="14">
        <v>0.01</v>
      </c>
      <c r="AE19" s="15" t="s">
        <v>375</v>
      </c>
      <c r="AF19" s="15" t="s">
        <v>375</v>
      </c>
    </row>
    <row r="20" spans="1:32">
      <c r="A20" s="19"/>
      <c r="B20" s="11" t="s">
        <v>1414</v>
      </c>
      <c r="C20" s="12">
        <v>383</v>
      </c>
      <c r="D20" s="12">
        <v>12</v>
      </c>
      <c r="E20" s="12">
        <v>9</v>
      </c>
      <c r="F20" s="12">
        <v>37</v>
      </c>
      <c r="G20" s="12">
        <v>5</v>
      </c>
      <c r="H20" s="12">
        <v>29</v>
      </c>
      <c r="I20" s="12">
        <v>38</v>
      </c>
      <c r="J20" s="12">
        <v>8</v>
      </c>
      <c r="K20" s="12">
        <v>17</v>
      </c>
      <c r="L20" s="12">
        <v>16</v>
      </c>
      <c r="M20" s="12">
        <v>10</v>
      </c>
      <c r="N20" s="12">
        <v>6</v>
      </c>
      <c r="O20" s="12">
        <v>13</v>
      </c>
      <c r="P20" s="12">
        <v>42</v>
      </c>
      <c r="Q20" s="12">
        <v>15</v>
      </c>
      <c r="R20" s="12">
        <v>7</v>
      </c>
      <c r="S20" s="12">
        <v>4</v>
      </c>
      <c r="T20" s="12">
        <v>8</v>
      </c>
      <c r="U20" s="12">
        <v>7</v>
      </c>
      <c r="V20" s="12">
        <v>16</v>
      </c>
      <c r="W20" s="12">
        <v>0</v>
      </c>
      <c r="X20" s="12">
        <v>10</v>
      </c>
      <c r="Y20" s="12">
        <v>5</v>
      </c>
      <c r="Z20" s="12">
        <v>15</v>
      </c>
      <c r="AA20" s="12">
        <v>10</v>
      </c>
      <c r="AB20" s="12">
        <v>13</v>
      </c>
      <c r="AC20" s="12">
        <v>16</v>
      </c>
      <c r="AD20" s="12">
        <v>18</v>
      </c>
      <c r="AE20" s="12">
        <v>4</v>
      </c>
      <c r="AF20" s="12">
        <v>2</v>
      </c>
    </row>
    <row r="21" spans="1:32">
      <c r="A21" s="19"/>
      <c r="B21" s="13" t="s">
        <v>1415</v>
      </c>
      <c r="C21" s="14">
        <v>0.01</v>
      </c>
      <c r="D21" s="14">
        <v>0.01</v>
      </c>
      <c r="E21" s="14">
        <v>0.01</v>
      </c>
      <c r="F21" s="14">
        <v>0.03</v>
      </c>
      <c r="G21" s="15" t="s">
        <v>375</v>
      </c>
      <c r="H21" s="14">
        <v>0.02</v>
      </c>
      <c r="I21" s="14">
        <v>0.02</v>
      </c>
      <c r="J21" s="14">
        <v>0.03</v>
      </c>
      <c r="K21" s="14">
        <v>0.02</v>
      </c>
      <c r="L21" s="14">
        <v>0.02</v>
      </c>
      <c r="M21" s="14">
        <v>0.01</v>
      </c>
      <c r="N21" s="14">
        <v>0.01</v>
      </c>
      <c r="O21" s="14">
        <v>0.01</v>
      </c>
      <c r="P21" s="14">
        <v>0.04</v>
      </c>
      <c r="Q21" s="14">
        <v>0.01</v>
      </c>
      <c r="R21" s="14">
        <v>0.02</v>
      </c>
      <c r="S21" s="15" t="s">
        <v>375</v>
      </c>
      <c r="T21" s="14">
        <v>0.01</v>
      </c>
      <c r="U21" s="14">
        <v>0.01</v>
      </c>
      <c r="V21" s="14">
        <v>0.02</v>
      </c>
      <c r="W21" s="15" t="s">
        <v>375</v>
      </c>
      <c r="X21" s="14">
        <v>0.01</v>
      </c>
      <c r="Y21" s="15" t="s">
        <v>375</v>
      </c>
      <c r="Z21" s="14">
        <v>0.02</v>
      </c>
      <c r="AA21" s="14">
        <v>0.01</v>
      </c>
      <c r="AB21" s="14">
        <v>0.01</v>
      </c>
      <c r="AC21" s="14">
        <v>0.01</v>
      </c>
      <c r="AD21" s="14">
        <v>0.02</v>
      </c>
      <c r="AE21" s="15" t="s">
        <v>375</v>
      </c>
      <c r="AF21" s="15" t="s">
        <v>375</v>
      </c>
    </row>
    <row r="22" spans="1:32">
      <c r="A22" s="19"/>
      <c r="B22" s="11" t="s">
        <v>1416</v>
      </c>
      <c r="C22" s="12">
        <v>2607</v>
      </c>
      <c r="D22" s="12">
        <v>56</v>
      </c>
      <c r="E22" s="12">
        <v>125</v>
      </c>
      <c r="F22" s="12">
        <v>136</v>
      </c>
      <c r="G22" s="12">
        <v>37</v>
      </c>
      <c r="H22" s="12">
        <v>120</v>
      </c>
      <c r="I22" s="12">
        <v>151</v>
      </c>
      <c r="J22" s="12">
        <v>31</v>
      </c>
      <c r="K22" s="12">
        <v>94</v>
      </c>
      <c r="L22" s="12">
        <v>82</v>
      </c>
      <c r="M22" s="12">
        <v>125</v>
      </c>
      <c r="N22" s="12">
        <v>55</v>
      </c>
      <c r="O22" s="12">
        <v>101</v>
      </c>
      <c r="P22" s="12">
        <v>107</v>
      </c>
      <c r="Q22" s="12">
        <v>87</v>
      </c>
      <c r="R22" s="12">
        <v>65</v>
      </c>
      <c r="S22" s="12">
        <v>112</v>
      </c>
      <c r="T22" s="12">
        <v>153</v>
      </c>
      <c r="U22" s="12">
        <v>19</v>
      </c>
      <c r="V22" s="12">
        <v>171</v>
      </c>
      <c r="W22" s="12">
        <v>37</v>
      </c>
      <c r="X22" s="12">
        <v>13</v>
      </c>
      <c r="Y22" s="12">
        <v>57</v>
      </c>
      <c r="Z22" s="12">
        <v>187</v>
      </c>
      <c r="AA22" s="12">
        <v>158</v>
      </c>
      <c r="AB22" s="12">
        <v>192</v>
      </c>
      <c r="AC22" s="12">
        <v>117</v>
      </c>
      <c r="AD22" s="12">
        <v>103</v>
      </c>
      <c r="AE22" s="12">
        <v>40</v>
      </c>
      <c r="AF22" s="12">
        <v>14</v>
      </c>
    </row>
    <row r="23" spans="1:32">
      <c r="A23" s="19"/>
      <c r="B23" s="13" t="s">
        <v>1417</v>
      </c>
      <c r="C23" s="14">
        <v>0.1</v>
      </c>
      <c r="D23" s="14">
        <v>0.05</v>
      </c>
      <c r="E23" s="14">
        <v>0.12</v>
      </c>
      <c r="F23" s="14">
        <v>0.13</v>
      </c>
      <c r="G23" s="14">
        <v>0.04</v>
      </c>
      <c r="H23" s="14">
        <v>0.1</v>
      </c>
      <c r="I23" s="14">
        <v>0.1</v>
      </c>
      <c r="J23" s="14">
        <v>0.11</v>
      </c>
      <c r="K23" s="14">
        <v>0.09</v>
      </c>
      <c r="L23" s="14">
        <v>0.08</v>
      </c>
      <c r="M23" s="14">
        <v>0.12</v>
      </c>
      <c r="N23" s="14">
        <v>0.06</v>
      </c>
      <c r="O23" s="14">
        <v>0.1</v>
      </c>
      <c r="P23" s="14">
        <v>0.11</v>
      </c>
      <c r="Q23" s="14">
        <v>0.09</v>
      </c>
      <c r="R23" s="14">
        <v>0.13</v>
      </c>
      <c r="S23" s="14">
        <v>0.11</v>
      </c>
      <c r="T23" s="14">
        <v>0.15</v>
      </c>
      <c r="U23" s="14">
        <v>0.04</v>
      </c>
      <c r="V23" s="14">
        <v>0.17</v>
      </c>
      <c r="W23" s="14">
        <v>0.08</v>
      </c>
      <c r="X23" s="14">
        <v>0.01</v>
      </c>
      <c r="Y23" s="14">
        <v>0.06</v>
      </c>
      <c r="Z23" s="14">
        <v>0.18</v>
      </c>
      <c r="AA23" s="14">
        <v>0.15</v>
      </c>
      <c r="AB23" s="14">
        <v>0.19</v>
      </c>
      <c r="AC23" s="14">
        <v>0.12</v>
      </c>
      <c r="AD23" s="14">
        <v>0.1</v>
      </c>
      <c r="AE23" s="14">
        <v>0.04</v>
      </c>
      <c r="AF23" s="14">
        <v>0.01</v>
      </c>
    </row>
    <row r="24" spans="1:32">
      <c r="A24" s="19"/>
      <c r="B24" s="11" t="s">
        <v>1418</v>
      </c>
      <c r="C24" s="12">
        <v>245</v>
      </c>
      <c r="D24" s="12">
        <v>6</v>
      </c>
      <c r="E24" s="12">
        <v>42</v>
      </c>
      <c r="F24" s="12">
        <v>12</v>
      </c>
      <c r="G24" s="12">
        <v>6</v>
      </c>
      <c r="H24" s="12">
        <v>17</v>
      </c>
      <c r="I24" s="12">
        <v>18</v>
      </c>
      <c r="J24" s="12">
        <v>1</v>
      </c>
      <c r="K24" s="12">
        <v>22</v>
      </c>
      <c r="L24" s="12">
        <v>0</v>
      </c>
      <c r="M24" s="12">
        <v>46</v>
      </c>
      <c r="N24" s="12">
        <v>14</v>
      </c>
      <c r="O24" s="12">
        <v>1</v>
      </c>
      <c r="P24" s="12">
        <v>30</v>
      </c>
      <c r="Q24" s="12">
        <v>4</v>
      </c>
      <c r="R24" s="12">
        <v>1</v>
      </c>
      <c r="S24" s="12">
        <v>6</v>
      </c>
      <c r="T24" s="12">
        <v>8</v>
      </c>
      <c r="U24" s="12">
        <v>0</v>
      </c>
      <c r="V24" s="12">
        <v>1</v>
      </c>
      <c r="W24" s="12">
        <v>17</v>
      </c>
      <c r="X24" s="12">
        <v>0</v>
      </c>
      <c r="Y24" s="12">
        <v>42</v>
      </c>
      <c r="Z24" s="12">
        <v>0</v>
      </c>
      <c r="AA24" s="12">
        <v>36</v>
      </c>
      <c r="AB24" s="12">
        <v>7</v>
      </c>
      <c r="AC24" s="12">
        <v>7</v>
      </c>
      <c r="AD24" s="12">
        <v>13</v>
      </c>
      <c r="AE24" s="12">
        <v>5</v>
      </c>
      <c r="AF24" s="12">
        <v>0</v>
      </c>
    </row>
    <row r="25" spans="1:32">
      <c r="A25" s="19"/>
      <c r="B25" s="13" t="s">
        <v>1419</v>
      </c>
      <c r="C25" s="14">
        <v>0.01</v>
      </c>
      <c r="D25" s="14">
        <v>0.01</v>
      </c>
      <c r="E25" s="14">
        <v>0.04</v>
      </c>
      <c r="F25" s="14">
        <v>0.01</v>
      </c>
      <c r="G25" s="14">
        <v>0.01</v>
      </c>
      <c r="H25" s="14">
        <v>0.01</v>
      </c>
      <c r="I25" s="14">
        <v>0.01</v>
      </c>
      <c r="J25" s="15" t="s">
        <v>375</v>
      </c>
      <c r="K25" s="14">
        <v>0.02</v>
      </c>
      <c r="L25" s="15" t="s">
        <v>375</v>
      </c>
      <c r="M25" s="14">
        <v>0.05</v>
      </c>
      <c r="N25" s="14">
        <v>0.01</v>
      </c>
      <c r="O25" s="15" t="s">
        <v>375</v>
      </c>
      <c r="P25" s="14">
        <v>0.03</v>
      </c>
      <c r="Q25" s="15" t="s">
        <v>375</v>
      </c>
      <c r="R25" s="15" t="s">
        <v>375</v>
      </c>
      <c r="S25" s="14">
        <v>0.01</v>
      </c>
      <c r="T25" s="14">
        <v>0.01</v>
      </c>
      <c r="U25" s="15" t="s">
        <v>375</v>
      </c>
      <c r="V25" s="15" t="s">
        <v>375</v>
      </c>
      <c r="W25" s="14">
        <v>0.03</v>
      </c>
      <c r="X25" s="15" t="s">
        <v>375</v>
      </c>
      <c r="Y25" s="14">
        <v>0.04</v>
      </c>
      <c r="Z25" s="15" t="s">
        <v>375</v>
      </c>
      <c r="AA25" s="14">
        <v>0.04</v>
      </c>
      <c r="AB25" s="14">
        <v>0.01</v>
      </c>
      <c r="AC25" s="14">
        <v>0.01</v>
      </c>
      <c r="AD25" s="14">
        <v>0.02</v>
      </c>
      <c r="AE25" s="15" t="s">
        <v>375</v>
      </c>
      <c r="AF25" s="15" t="s">
        <v>375</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1428</v>
      </c>
      <c r="C3" s="17"/>
      <c r="D3" s="17"/>
      <c r="E3" s="17"/>
      <c r="F3" s="17"/>
      <c r="H3" s="17" t="s">
        <v>1429</v>
      </c>
      <c r="I3" s="17"/>
      <c r="J3" s="17"/>
      <c r="K3" s="17"/>
      <c r="L3" s="17"/>
    </row>
    <row r="4" spans="1:32" ht="27" customHeight="1">
      <c r="B4" s="17" t="s">
        <v>1430</v>
      </c>
      <c r="C4" s="17"/>
      <c r="D4" s="17"/>
      <c r="E4" s="17"/>
      <c r="F4" s="17"/>
      <c r="H4" s="17" t="s">
        <v>1431</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1406</v>
      </c>
      <c r="C12" s="12">
        <v>5775</v>
      </c>
      <c r="D12" s="12">
        <v>308</v>
      </c>
      <c r="E12" s="12">
        <v>191</v>
      </c>
      <c r="F12" s="12">
        <v>197</v>
      </c>
      <c r="G12" s="12">
        <v>174</v>
      </c>
      <c r="H12" s="12">
        <v>256</v>
      </c>
      <c r="I12" s="12">
        <v>288</v>
      </c>
      <c r="J12" s="12">
        <v>33</v>
      </c>
      <c r="K12" s="12">
        <v>261</v>
      </c>
      <c r="L12" s="12">
        <v>256</v>
      </c>
      <c r="M12" s="12">
        <v>153</v>
      </c>
      <c r="N12" s="12">
        <v>207</v>
      </c>
      <c r="O12" s="12">
        <v>201</v>
      </c>
      <c r="P12" s="12">
        <v>284</v>
      </c>
      <c r="Q12" s="12">
        <v>228</v>
      </c>
      <c r="R12" s="12">
        <v>169</v>
      </c>
      <c r="S12" s="12">
        <v>292</v>
      </c>
      <c r="T12" s="12">
        <v>230</v>
      </c>
      <c r="U12" s="12">
        <v>175</v>
      </c>
      <c r="V12" s="12">
        <v>284</v>
      </c>
      <c r="W12" s="12">
        <v>159</v>
      </c>
      <c r="X12" s="12">
        <v>379</v>
      </c>
      <c r="Y12" s="12">
        <v>192</v>
      </c>
      <c r="Z12" s="12">
        <v>176</v>
      </c>
      <c r="AA12" s="12">
        <v>356</v>
      </c>
      <c r="AB12" s="12">
        <v>338</v>
      </c>
      <c r="AC12" s="12">
        <v>214</v>
      </c>
      <c r="AD12" s="12">
        <v>159</v>
      </c>
      <c r="AE12" s="12">
        <v>154</v>
      </c>
      <c r="AF12" s="12">
        <v>202</v>
      </c>
    </row>
    <row r="13" spans="1:32">
      <c r="A13" s="19"/>
      <c r="B13" s="13" t="s">
        <v>1407</v>
      </c>
      <c r="C13" s="14">
        <v>0.22</v>
      </c>
      <c r="D13" s="14">
        <v>0.3</v>
      </c>
      <c r="E13" s="14">
        <v>0.18</v>
      </c>
      <c r="F13" s="14">
        <v>0.18</v>
      </c>
      <c r="G13" s="14">
        <v>0.17</v>
      </c>
      <c r="H13" s="14">
        <v>0.21</v>
      </c>
      <c r="I13" s="14">
        <v>0.19</v>
      </c>
      <c r="J13" s="14">
        <v>0.11</v>
      </c>
      <c r="K13" s="14">
        <v>0.26</v>
      </c>
      <c r="L13" s="14">
        <v>0.25</v>
      </c>
      <c r="M13" s="14">
        <v>0.15</v>
      </c>
      <c r="N13" s="14">
        <v>0.2</v>
      </c>
      <c r="O13" s="14">
        <v>0.2</v>
      </c>
      <c r="P13" s="14">
        <v>0.28000000000000003</v>
      </c>
      <c r="Q13" s="14">
        <v>0.22</v>
      </c>
      <c r="R13" s="14">
        <v>0.34</v>
      </c>
      <c r="S13" s="14">
        <v>0.28999999999999998</v>
      </c>
      <c r="T13" s="14">
        <v>0.23</v>
      </c>
      <c r="U13" s="14">
        <v>0.34</v>
      </c>
      <c r="V13" s="14">
        <v>0.28000000000000003</v>
      </c>
      <c r="W13" s="14">
        <v>0.32</v>
      </c>
      <c r="X13" s="14">
        <v>0.38</v>
      </c>
      <c r="Y13" s="14">
        <v>0.19</v>
      </c>
      <c r="Z13" s="14">
        <v>0.18</v>
      </c>
      <c r="AA13" s="14">
        <v>0.34</v>
      </c>
      <c r="AB13" s="14">
        <v>0.32</v>
      </c>
      <c r="AC13" s="14">
        <v>0.21</v>
      </c>
      <c r="AD13" s="14">
        <v>0.16</v>
      </c>
      <c r="AE13" s="14">
        <v>0.15</v>
      </c>
      <c r="AF13" s="14">
        <v>0.19</v>
      </c>
    </row>
    <row r="14" spans="1:32">
      <c r="A14" s="19"/>
      <c r="B14" s="11" t="s">
        <v>1408</v>
      </c>
      <c r="C14" s="12">
        <v>1420</v>
      </c>
      <c r="D14" s="12">
        <v>74</v>
      </c>
      <c r="E14" s="12">
        <v>42</v>
      </c>
      <c r="F14" s="12">
        <v>92</v>
      </c>
      <c r="G14" s="12">
        <v>32</v>
      </c>
      <c r="H14" s="12">
        <v>85</v>
      </c>
      <c r="I14" s="12">
        <v>103</v>
      </c>
      <c r="J14" s="12">
        <v>18</v>
      </c>
      <c r="K14" s="12">
        <v>79</v>
      </c>
      <c r="L14" s="12">
        <v>87</v>
      </c>
      <c r="M14" s="12">
        <v>81</v>
      </c>
      <c r="N14" s="12">
        <v>49</v>
      </c>
      <c r="O14" s="12">
        <v>20</v>
      </c>
      <c r="P14" s="12">
        <v>80</v>
      </c>
      <c r="Q14" s="12">
        <v>58</v>
      </c>
      <c r="R14" s="12">
        <v>45</v>
      </c>
      <c r="S14" s="12">
        <v>26</v>
      </c>
      <c r="T14" s="12">
        <v>69</v>
      </c>
      <c r="U14" s="12">
        <v>16</v>
      </c>
      <c r="V14" s="12">
        <v>63</v>
      </c>
      <c r="W14" s="12">
        <v>45</v>
      </c>
      <c r="X14" s="12">
        <v>64</v>
      </c>
      <c r="Y14" s="12">
        <v>74</v>
      </c>
      <c r="Z14" s="12">
        <v>54</v>
      </c>
      <c r="AA14" s="12">
        <v>48</v>
      </c>
      <c r="AB14" s="12">
        <v>45</v>
      </c>
      <c r="AC14" s="12">
        <v>46</v>
      </c>
      <c r="AD14" s="12">
        <v>98</v>
      </c>
      <c r="AE14" s="12">
        <v>37</v>
      </c>
      <c r="AF14" s="12">
        <v>49</v>
      </c>
    </row>
    <row r="15" spans="1:32">
      <c r="A15" s="19"/>
      <c r="B15" s="13" t="s">
        <v>1409</v>
      </c>
      <c r="C15" s="14">
        <v>0.05</v>
      </c>
      <c r="D15" s="14">
        <v>7.0000000000000007E-2</v>
      </c>
      <c r="E15" s="14">
        <v>0.04</v>
      </c>
      <c r="F15" s="14">
        <v>0.09</v>
      </c>
      <c r="G15" s="14">
        <v>0.03</v>
      </c>
      <c r="H15" s="14">
        <v>7.0000000000000007E-2</v>
      </c>
      <c r="I15" s="14">
        <v>7.0000000000000007E-2</v>
      </c>
      <c r="J15" s="14">
        <v>0.06</v>
      </c>
      <c r="K15" s="14">
        <v>0.08</v>
      </c>
      <c r="L15" s="14">
        <v>0.09</v>
      </c>
      <c r="M15" s="14">
        <v>0.08</v>
      </c>
      <c r="N15" s="14">
        <v>0.05</v>
      </c>
      <c r="O15" s="14">
        <v>0.02</v>
      </c>
      <c r="P15" s="14">
        <v>0.08</v>
      </c>
      <c r="Q15" s="14">
        <v>0.06</v>
      </c>
      <c r="R15" s="14">
        <v>0.09</v>
      </c>
      <c r="S15" s="14">
        <v>0.03</v>
      </c>
      <c r="T15" s="14">
        <v>7.0000000000000007E-2</v>
      </c>
      <c r="U15" s="14">
        <v>0.03</v>
      </c>
      <c r="V15" s="14">
        <v>0.06</v>
      </c>
      <c r="W15" s="14">
        <v>0.09</v>
      </c>
      <c r="X15" s="14">
        <v>0.06</v>
      </c>
      <c r="Y15" s="14">
        <v>7.0000000000000007E-2</v>
      </c>
      <c r="Z15" s="14">
        <v>0.05</v>
      </c>
      <c r="AA15" s="14">
        <v>0.05</v>
      </c>
      <c r="AB15" s="14">
        <v>0.04</v>
      </c>
      <c r="AC15" s="14">
        <v>0.05</v>
      </c>
      <c r="AD15" s="14">
        <v>0.1</v>
      </c>
      <c r="AE15" s="14">
        <v>0.04</v>
      </c>
      <c r="AF15" s="14">
        <v>0.05</v>
      </c>
    </row>
    <row r="16" spans="1:32">
      <c r="A16" s="19"/>
      <c r="B16" s="11" t="s">
        <v>1410</v>
      </c>
      <c r="C16" s="12">
        <v>921</v>
      </c>
      <c r="D16" s="12">
        <v>28</v>
      </c>
      <c r="E16" s="12">
        <v>33</v>
      </c>
      <c r="F16" s="12">
        <v>41</v>
      </c>
      <c r="G16" s="12">
        <v>37</v>
      </c>
      <c r="H16" s="12">
        <v>30</v>
      </c>
      <c r="I16" s="12">
        <v>50</v>
      </c>
      <c r="J16" s="12">
        <v>20</v>
      </c>
      <c r="K16" s="12">
        <v>73</v>
      </c>
      <c r="L16" s="12">
        <v>87</v>
      </c>
      <c r="M16" s="12">
        <v>72</v>
      </c>
      <c r="N16" s="12">
        <v>15</v>
      </c>
      <c r="O16" s="12">
        <v>17</v>
      </c>
      <c r="P16" s="12">
        <v>53</v>
      </c>
      <c r="Q16" s="12">
        <v>44</v>
      </c>
      <c r="R16" s="12">
        <v>29</v>
      </c>
      <c r="S16" s="12">
        <v>33</v>
      </c>
      <c r="T16" s="12">
        <v>37</v>
      </c>
      <c r="U16" s="12">
        <v>4</v>
      </c>
      <c r="V16" s="12">
        <v>71</v>
      </c>
      <c r="W16" s="12">
        <v>57</v>
      </c>
      <c r="X16" s="12">
        <v>29</v>
      </c>
      <c r="Y16" s="12">
        <v>68</v>
      </c>
      <c r="Z16" s="12">
        <v>50</v>
      </c>
      <c r="AA16" s="12">
        <v>26</v>
      </c>
      <c r="AB16" s="12">
        <v>29</v>
      </c>
      <c r="AC16" s="12">
        <v>25</v>
      </c>
      <c r="AD16" s="12">
        <v>103</v>
      </c>
      <c r="AE16" s="12">
        <v>23</v>
      </c>
      <c r="AF16" s="12">
        <v>42</v>
      </c>
    </row>
    <row r="17" spans="1:32">
      <c r="A17" s="19"/>
      <c r="B17" s="13" t="s">
        <v>1411</v>
      </c>
      <c r="C17" s="14">
        <v>0.03</v>
      </c>
      <c r="D17" s="14">
        <v>0.03</v>
      </c>
      <c r="E17" s="14">
        <v>0.03</v>
      </c>
      <c r="F17" s="14">
        <v>0.04</v>
      </c>
      <c r="G17" s="14">
        <v>0.04</v>
      </c>
      <c r="H17" s="14">
        <v>0.02</v>
      </c>
      <c r="I17" s="14">
        <v>0.03</v>
      </c>
      <c r="J17" s="14">
        <v>7.0000000000000007E-2</v>
      </c>
      <c r="K17" s="14">
        <v>7.0000000000000007E-2</v>
      </c>
      <c r="L17" s="14">
        <v>0.09</v>
      </c>
      <c r="M17" s="14">
        <v>7.0000000000000007E-2</v>
      </c>
      <c r="N17" s="14">
        <v>0.02</v>
      </c>
      <c r="O17" s="14">
        <v>0.02</v>
      </c>
      <c r="P17" s="14">
        <v>0.05</v>
      </c>
      <c r="Q17" s="14">
        <v>0.04</v>
      </c>
      <c r="R17" s="14">
        <v>0.06</v>
      </c>
      <c r="S17" s="14">
        <v>0.03</v>
      </c>
      <c r="T17" s="14">
        <v>0.04</v>
      </c>
      <c r="U17" s="14">
        <v>0.01</v>
      </c>
      <c r="V17" s="14">
        <v>7.0000000000000007E-2</v>
      </c>
      <c r="W17" s="14">
        <v>0.11</v>
      </c>
      <c r="X17" s="14">
        <v>0.03</v>
      </c>
      <c r="Y17" s="14">
        <v>7.0000000000000007E-2</v>
      </c>
      <c r="Z17" s="14">
        <v>0.05</v>
      </c>
      <c r="AA17" s="14">
        <v>0.02</v>
      </c>
      <c r="AB17" s="14">
        <v>0.03</v>
      </c>
      <c r="AC17" s="14">
        <v>0.03</v>
      </c>
      <c r="AD17" s="14">
        <v>0.1</v>
      </c>
      <c r="AE17" s="14">
        <v>0.02</v>
      </c>
      <c r="AF17" s="14">
        <v>0.04</v>
      </c>
    </row>
    <row r="18" spans="1:32">
      <c r="A18" s="19"/>
      <c r="B18" s="11" t="s">
        <v>1412</v>
      </c>
      <c r="C18" s="12">
        <v>965</v>
      </c>
      <c r="D18" s="12">
        <v>18</v>
      </c>
      <c r="E18" s="12">
        <v>49</v>
      </c>
      <c r="F18" s="12">
        <v>42</v>
      </c>
      <c r="G18" s="12">
        <v>48</v>
      </c>
      <c r="H18" s="12">
        <v>35</v>
      </c>
      <c r="I18" s="12">
        <v>48</v>
      </c>
      <c r="J18" s="12">
        <v>13</v>
      </c>
      <c r="K18" s="12">
        <v>66</v>
      </c>
      <c r="L18" s="12">
        <v>41</v>
      </c>
      <c r="M18" s="12">
        <v>59</v>
      </c>
      <c r="N18" s="12">
        <v>23</v>
      </c>
      <c r="O18" s="12">
        <v>17</v>
      </c>
      <c r="P18" s="12">
        <v>27</v>
      </c>
      <c r="Q18" s="12">
        <v>46</v>
      </c>
      <c r="R18" s="12">
        <v>19</v>
      </c>
      <c r="S18" s="12">
        <v>28</v>
      </c>
      <c r="T18" s="12">
        <v>34</v>
      </c>
      <c r="U18" s="12">
        <v>4</v>
      </c>
      <c r="V18" s="12">
        <v>57</v>
      </c>
      <c r="W18" s="12">
        <v>16</v>
      </c>
      <c r="X18" s="12">
        <v>28</v>
      </c>
      <c r="Y18" s="12">
        <v>89</v>
      </c>
      <c r="Z18" s="12">
        <v>48</v>
      </c>
      <c r="AA18" s="12">
        <v>21</v>
      </c>
      <c r="AB18" s="12">
        <v>73</v>
      </c>
      <c r="AC18" s="12">
        <v>22</v>
      </c>
      <c r="AD18" s="12">
        <v>94</v>
      </c>
      <c r="AE18" s="12">
        <v>47</v>
      </c>
      <c r="AF18" s="12">
        <v>44</v>
      </c>
    </row>
    <row r="19" spans="1:32">
      <c r="A19" s="19"/>
      <c r="B19" s="13" t="s">
        <v>1413</v>
      </c>
      <c r="C19" s="14">
        <v>0.04</v>
      </c>
      <c r="D19" s="14">
        <v>0.02</v>
      </c>
      <c r="E19" s="14">
        <v>0.05</v>
      </c>
      <c r="F19" s="14">
        <v>0.04</v>
      </c>
      <c r="G19" s="14">
        <v>0.05</v>
      </c>
      <c r="H19" s="14">
        <v>0.03</v>
      </c>
      <c r="I19" s="14">
        <v>0.03</v>
      </c>
      <c r="J19" s="14">
        <v>0.04</v>
      </c>
      <c r="K19" s="14">
        <v>0.06</v>
      </c>
      <c r="L19" s="14">
        <v>0.04</v>
      </c>
      <c r="M19" s="14">
        <v>0.06</v>
      </c>
      <c r="N19" s="14">
        <v>0.02</v>
      </c>
      <c r="O19" s="14">
        <v>0.02</v>
      </c>
      <c r="P19" s="14">
        <v>0.03</v>
      </c>
      <c r="Q19" s="14">
        <v>0.04</v>
      </c>
      <c r="R19" s="14">
        <v>0.04</v>
      </c>
      <c r="S19" s="14">
        <v>0.03</v>
      </c>
      <c r="T19" s="14">
        <v>0.03</v>
      </c>
      <c r="U19" s="14">
        <v>0.01</v>
      </c>
      <c r="V19" s="14">
        <v>0.06</v>
      </c>
      <c r="W19" s="14">
        <v>0.03</v>
      </c>
      <c r="X19" s="14">
        <v>0.03</v>
      </c>
      <c r="Y19" s="14">
        <v>0.09</v>
      </c>
      <c r="Z19" s="14">
        <v>0.05</v>
      </c>
      <c r="AA19" s="14">
        <v>0.02</v>
      </c>
      <c r="AB19" s="14">
        <v>7.0000000000000007E-2</v>
      </c>
      <c r="AC19" s="14">
        <v>0.02</v>
      </c>
      <c r="AD19" s="14">
        <v>0.09</v>
      </c>
      <c r="AE19" s="14">
        <v>0.05</v>
      </c>
      <c r="AF19" s="14">
        <v>0.04</v>
      </c>
    </row>
    <row r="20" spans="1:32">
      <c r="A20" s="19"/>
      <c r="B20" s="11" t="s">
        <v>1414</v>
      </c>
      <c r="C20" s="12">
        <v>3374</v>
      </c>
      <c r="D20" s="12">
        <v>133</v>
      </c>
      <c r="E20" s="12">
        <v>161</v>
      </c>
      <c r="F20" s="12">
        <v>240</v>
      </c>
      <c r="G20" s="12">
        <v>154</v>
      </c>
      <c r="H20" s="12">
        <v>212</v>
      </c>
      <c r="I20" s="12">
        <v>271</v>
      </c>
      <c r="J20" s="12">
        <v>59</v>
      </c>
      <c r="K20" s="12">
        <v>189</v>
      </c>
      <c r="L20" s="12">
        <v>170</v>
      </c>
      <c r="M20" s="12">
        <v>161</v>
      </c>
      <c r="N20" s="12">
        <v>125</v>
      </c>
      <c r="O20" s="12">
        <v>64</v>
      </c>
      <c r="P20" s="12">
        <v>160</v>
      </c>
      <c r="Q20" s="12">
        <v>130</v>
      </c>
      <c r="R20" s="12">
        <v>54</v>
      </c>
      <c r="S20" s="12">
        <v>82</v>
      </c>
      <c r="T20" s="12">
        <v>138</v>
      </c>
      <c r="U20" s="12">
        <v>38</v>
      </c>
      <c r="V20" s="12">
        <v>118</v>
      </c>
      <c r="W20" s="12">
        <v>41</v>
      </c>
      <c r="X20" s="12">
        <v>111</v>
      </c>
      <c r="Y20" s="12">
        <v>156</v>
      </c>
      <c r="Z20" s="12">
        <v>74</v>
      </c>
      <c r="AA20" s="12">
        <v>68</v>
      </c>
      <c r="AB20" s="12">
        <v>136</v>
      </c>
      <c r="AC20" s="12">
        <v>145</v>
      </c>
      <c r="AD20" s="12">
        <v>170</v>
      </c>
      <c r="AE20" s="12">
        <v>181</v>
      </c>
      <c r="AF20" s="12">
        <v>181</v>
      </c>
    </row>
    <row r="21" spans="1:32">
      <c r="A21" s="19"/>
      <c r="B21" s="13" t="s">
        <v>1415</v>
      </c>
      <c r="C21" s="14">
        <v>0.13</v>
      </c>
      <c r="D21" s="14">
        <v>0.13</v>
      </c>
      <c r="E21" s="14">
        <v>0.15</v>
      </c>
      <c r="F21" s="14">
        <v>0.23</v>
      </c>
      <c r="G21" s="14">
        <v>0.15</v>
      </c>
      <c r="H21" s="14">
        <v>0.17</v>
      </c>
      <c r="I21" s="14">
        <v>0.18</v>
      </c>
      <c r="J21" s="14">
        <v>0.2</v>
      </c>
      <c r="K21" s="14">
        <v>0.19</v>
      </c>
      <c r="L21" s="14">
        <v>0.17</v>
      </c>
      <c r="M21" s="14">
        <v>0.16</v>
      </c>
      <c r="N21" s="14">
        <v>0.12</v>
      </c>
      <c r="O21" s="14">
        <v>0.06</v>
      </c>
      <c r="P21" s="14">
        <v>0.16</v>
      </c>
      <c r="Q21" s="14">
        <v>0.13</v>
      </c>
      <c r="R21" s="14">
        <v>0.11</v>
      </c>
      <c r="S21" s="14">
        <v>0.08</v>
      </c>
      <c r="T21" s="14">
        <v>0.13</v>
      </c>
      <c r="U21" s="14">
        <v>7.0000000000000007E-2</v>
      </c>
      <c r="V21" s="14">
        <v>0.11</v>
      </c>
      <c r="W21" s="14">
        <v>0.08</v>
      </c>
      <c r="X21" s="14">
        <v>0.11</v>
      </c>
      <c r="Y21" s="14">
        <v>0.15</v>
      </c>
      <c r="Z21" s="14">
        <v>7.0000000000000007E-2</v>
      </c>
      <c r="AA21" s="14">
        <v>7.0000000000000007E-2</v>
      </c>
      <c r="AB21" s="14">
        <v>0.13</v>
      </c>
      <c r="AC21" s="14">
        <v>0.14000000000000001</v>
      </c>
      <c r="AD21" s="14">
        <v>0.17</v>
      </c>
      <c r="AE21" s="14">
        <v>0.18</v>
      </c>
      <c r="AF21" s="14">
        <v>0.18</v>
      </c>
    </row>
    <row r="22" spans="1:32">
      <c r="A22" s="19"/>
      <c r="B22" s="11" t="s">
        <v>1416</v>
      </c>
      <c r="C22" s="12">
        <v>13740</v>
      </c>
      <c r="D22" s="12">
        <v>446</v>
      </c>
      <c r="E22" s="12">
        <v>539</v>
      </c>
      <c r="F22" s="12">
        <v>440</v>
      </c>
      <c r="G22" s="12">
        <v>566</v>
      </c>
      <c r="H22" s="12">
        <v>592</v>
      </c>
      <c r="I22" s="12">
        <v>745</v>
      </c>
      <c r="J22" s="12">
        <v>153</v>
      </c>
      <c r="K22" s="12">
        <v>332</v>
      </c>
      <c r="L22" s="12">
        <v>365</v>
      </c>
      <c r="M22" s="12">
        <v>431</v>
      </c>
      <c r="N22" s="12">
        <v>581</v>
      </c>
      <c r="O22" s="12">
        <v>681</v>
      </c>
      <c r="P22" s="12">
        <v>369</v>
      </c>
      <c r="Q22" s="12">
        <v>520</v>
      </c>
      <c r="R22" s="12">
        <v>184</v>
      </c>
      <c r="S22" s="12">
        <v>540</v>
      </c>
      <c r="T22" s="12">
        <v>512</v>
      </c>
      <c r="U22" s="12">
        <v>272</v>
      </c>
      <c r="V22" s="12">
        <v>431</v>
      </c>
      <c r="W22" s="12">
        <v>168</v>
      </c>
      <c r="X22" s="12">
        <v>396</v>
      </c>
      <c r="Y22" s="12">
        <v>397</v>
      </c>
      <c r="Z22" s="12">
        <v>612</v>
      </c>
      <c r="AA22" s="12">
        <v>485</v>
      </c>
      <c r="AB22" s="12">
        <v>412</v>
      </c>
      <c r="AC22" s="12">
        <v>549</v>
      </c>
      <c r="AD22" s="12">
        <v>368</v>
      </c>
      <c r="AE22" s="12">
        <v>559</v>
      </c>
      <c r="AF22" s="12">
        <v>513</v>
      </c>
    </row>
    <row r="23" spans="1:32">
      <c r="A23" s="19"/>
      <c r="B23" s="13" t="s">
        <v>1417</v>
      </c>
      <c r="C23" s="14">
        <v>0.52</v>
      </c>
      <c r="D23" s="14">
        <v>0.44</v>
      </c>
      <c r="E23" s="14">
        <v>0.52</v>
      </c>
      <c r="F23" s="14">
        <v>0.41</v>
      </c>
      <c r="G23" s="14">
        <v>0.56000000000000005</v>
      </c>
      <c r="H23" s="14">
        <v>0.48</v>
      </c>
      <c r="I23" s="14">
        <v>0.49</v>
      </c>
      <c r="J23" s="14">
        <v>0.52</v>
      </c>
      <c r="K23" s="14">
        <v>0.33</v>
      </c>
      <c r="L23" s="14">
        <v>0.36</v>
      </c>
      <c r="M23" s="14">
        <v>0.43</v>
      </c>
      <c r="N23" s="14">
        <v>0.57999999999999996</v>
      </c>
      <c r="O23" s="14">
        <v>0.68</v>
      </c>
      <c r="P23" s="14">
        <v>0.37</v>
      </c>
      <c r="Q23" s="14">
        <v>0.51</v>
      </c>
      <c r="R23" s="14">
        <v>0.36</v>
      </c>
      <c r="S23" s="14">
        <v>0.54</v>
      </c>
      <c r="T23" s="14">
        <v>0.5</v>
      </c>
      <c r="U23" s="14">
        <v>0.54</v>
      </c>
      <c r="V23" s="14">
        <v>0.42</v>
      </c>
      <c r="W23" s="14">
        <v>0.33</v>
      </c>
      <c r="X23" s="14">
        <v>0.39</v>
      </c>
      <c r="Y23" s="14">
        <v>0.4</v>
      </c>
      <c r="Z23" s="14">
        <v>0.6</v>
      </c>
      <c r="AA23" s="14">
        <v>0.47</v>
      </c>
      <c r="AB23" s="14">
        <v>0.4</v>
      </c>
      <c r="AC23" s="14">
        <v>0.55000000000000004</v>
      </c>
      <c r="AD23" s="14">
        <v>0.37</v>
      </c>
      <c r="AE23" s="14">
        <v>0.56000000000000005</v>
      </c>
      <c r="AF23" s="14">
        <v>0.5</v>
      </c>
    </row>
    <row r="24" spans="1:32">
      <c r="A24" s="19"/>
      <c r="B24" s="11" t="s">
        <v>1418</v>
      </c>
      <c r="C24" s="12">
        <v>258</v>
      </c>
      <c r="D24" s="12">
        <v>13</v>
      </c>
      <c r="E24" s="12">
        <v>31</v>
      </c>
      <c r="F24" s="12">
        <v>12</v>
      </c>
      <c r="G24" s="12">
        <v>6</v>
      </c>
      <c r="H24" s="12">
        <v>20</v>
      </c>
      <c r="I24" s="12">
        <v>21</v>
      </c>
      <c r="J24" s="12">
        <v>1</v>
      </c>
      <c r="K24" s="12">
        <v>6</v>
      </c>
      <c r="L24" s="12">
        <v>1</v>
      </c>
      <c r="M24" s="12">
        <v>49</v>
      </c>
      <c r="N24" s="12">
        <v>11</v>
      </c>
      <c r="O24" s="12">
        <v>4</v>
      </c>
      <c r="P24" s="12">
        <v>30</v>
      </c>
      <c r="Q24" s="12">
        <v>4</v>
      </c>
      <c r="R24" s="12">
        <v>1</v>
      </c>
      <c r="S24" s="12">
        <v>3</v>
      </c>
      <c r="T24" s="12">
        <v>4</v>
      </c>
      <c r="U24" s="12">
        <v>0</v>
      </c>
      <c r="V24" s="12">
        <v>3</v>
      </c>
      <c r="W24" s="12">
        <v>17</v>
      </c>
      <c r="X24" s="12">
        <v>2</v>
      </c>
      <c r="Y24" s="12">
        <v>27</v>
      </c>
      <c r="Z24" s="12">
        <v>3</v>
      </c>
      <c r="AA24" s="12">
        <v>33</v>
      </c>
      <c r="AB24" s="12">
        <v>9</v>
      </c>
      <c r="AC24" s="12">
        <v>4</v>
      </c>
      <c r="AD24" s="12">
        <v>11</v>
      </c>
      <c r="AE24" s="12">
        <v>0</v>
      </c>
      <c r="AF24" s="12">
        <v>1</v>
      </c>
    </row>
    <row r="25" spans="1:32">
      <c r="A25" s="19"/>
      <c r="B25" s="13" t="s">
        <v>1419</v>
      </c>
      <c r="C25" s="14">
        <v>0.01</v>
      </c>
      <c r="D25" s="14">
        <v>0.01</v>
      </c>
      <c r="E25" s="14">
        <v>0.03</v>
      </c>
      <c r="F25" s="14">
        <v>0.01</v>
      </c>
      <c r="G25" s="15" t="s">
        <v>375</v>
      </c>
      <c r="H25" s="14">
        <v>0.02</v>
      </c>
      <c r="I25" s="14">
        <v>0.01</v>
      </c>
      <c r="J25" s="15" t="s">
        <v>375</v>
      </c>
      <c r="K25" s="14">
        <v>0.01</v>
      </c>
      <c r="L25" s="15" t="s">
        <v>375</v>
      </c>
      <c r="M25" s="14">
        <v>0.05</v>
      </c>
      <c r="N25" s="14">
        <v>0.01</v>
      </c>
      <c r="O25" s="15" t="s">
        <v>375</v>
      </c>
      <c r="P25" s="14">
        <v>0.03</v>
      </c>
      <c r="Q25" s="15" t="s">
        <v>375</v>
      </c>
      <c r="R25" s="15" t="s">
        <v>375</v>
      </c>
      <c r="S25" s="15" t="s">
        <v>375</v>
      </c>
      <c r="T25" s="15" t="s">
        <v>375</v>
      </c>
      <c r="U25" s="15" t="s">
        <v>375</v>
      </c>
      <c r="V25" s="15" t="s">
        <v>375</v>
      </c>
      <c r="W25" s="14">
        <v>0.04</v>
      </c>
      <c r="X25" s="15" t="s">
        <v>375</v>
      </c>
      <c r="Y25" s="14">
        <v>0.03</v>
      </c>
      <c r="Z25" s="15" t="s">
        <v>375</v>
      </c>
      <c r="AA25" s="14">
        <v>0.03</v>
      </c>
      <c r="AB25" s="14">
        <v>0.01</v>
      </c>
      <c r="AC25" s="15" t="s">
        <v>375</v>
      </c>
      <c r="AD25" s="14">
        <v>0.01</v>
      </c>
      <c r="AE25" s="15" t="s">
        <v>375</v>
      </c>
      <c r="AF25" s="15" t="s">
        <v>375</v>
      </c>
    </row>
  </sheetData>
  <mergeCells count="9">
    <mergeCell ref="H3:L3"/>
    <mergeCell ref="C8:AF8"/>
    <mergeCell ref="B3:F3"/>
    <mergeCell ref="B5:F5"/>
    <mergeCell ref="A10:A25"/>
    <mergeCell ref="H5:L5"/>
    <mergeCell ref="B10:B11"/>
    <mergeCell ref="H4:L4"/>
    <mergeCell ref="B4:F4"/>
  </mergeCells>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1"/>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303</v>
      </c>
      <c r="C3" s="17"/>
      <c r="D3" s="17"/>
      <c r="E3" s="17"/>
      <c r="F3" s="17"/>
      <c r="H3" s="17" t="s">
        <v>304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1432</v>
      </c>
      <c r="C12" s="12">
        <v>22297</v>
      </c>
      <c r="D12" s="12">
        <v>918</v>
      </c>
      <c r="E12" s="12">
        <v>838</v>
      </c>
      <c r="F12" s="12">
        <v>848</v>
      </c>
      <c r="G12" s="12">
        <v>974</v>
      </c>
      <c r="H12" s="12">
        <v>1013</v>
      </c>
      <c r="I12" s="12">
        <v>1250</v>
      </c>
      <c r="J12" s="12">
        <v>236</v>
      </c>
      <c r="K12" s="12">
        <v>873</v>
      </c>
      <c r="L12" s="12">
        <v>888</v>
      </c>
      <c r="M12" s="12">
        <v>788</v>
      </c>
      <c r="N12" s="12">
        <v>914</v>
      </c>
      <c r="O12" s="12">
        <v>847</v>
      </c>
      <c r="P12" s="12">
        <v>809</v>
      </c>
      <c r="Q12" s="12">
        <v>859</v>
      </c>
      <c r="R12" s="12">
        <v>430</v>
      </c>
      <c r="S12" s="12">
        <v>884</v>
      </c>
      <c r="T12" s="12">
        <v>844</v>
      </c>
      <c r="U12" s="12">
        <v>471</v>
      </c>
      <c r="V12" s="12">
        <v>803</v>
      </c>
      <c r="W12" s="12">
        <v>442</v>
      </c>
      <c r="X12" s="12">
        <v>986</v>
      </c>
      <c r="Y12" s="12">
        <v>839</v>
      </c>
      <c r="Z12" s="12">
        <v>790</v>
      </c>
      <c r="AA12" s="12">
        <v>805</v>
      </c>
      <c r="AB12" s="12">
        <v>823</v>
      </c>
      <c r="AC12" s="12">
        <v>830</v>
      </c>
      <c r="AD12" s="12">
        <v>837</v>
      </c>
      <c r="AE12" s="12">
        <v>928</v>
      </c>
      <c r="AF12" s="12">
        <v>1009</v>
      </c>
    </row>
    <row r="13" spans="1:32">
      <c r="A13" s="19"/>
      <c r="B13" s="13" t="s">
        <v>1433</v>
      </c>
      <c r="C13" s="14">
        <v>0.84</v>
      </c>
      <c r="D13" s="14">
        <v>0.9</v>
      </c>
      <c r="E13" s="14">
        <v>0.8</v>
      </c>
      <c r="F13" s="14">
        <v>0.8</v>
      </c>
      <c r="G13" s="14">
        <v>0.96</v>
      </c>
      <c r="H13" s="14">
        <v>0.82000000000000006</v>
      </c>
      <c r="I13" s="14">
        <v>0.82000000000000006</v>
      </c>
      <c r="J13" s="14">
        <v>0.8</v>
      </c>
      <c r="K13" s="14">
        <v>0.87</v>
      </c>
      <c r="L13" s="14">
        <v>0.88</v>
      </c>
      <c r="M13" s="14">
        <v>0.78</v>
      </c>
      <c r="N13" s="14">
        <v>0.9</v>
      </c>
      <c r="O13" s="14">
        <v>0.84</v>
      </c>
      <c r="P13" s="14">
        <v>0.81</v>
      </c>
      <c r="Q13" s="14">
        <v>0.83000000000000007</v>
      </c>
      <c r="R13" s="14">
        <v>0.86</v>
      </c>
      <c r="S13" s="14">
        <v>0.88</v>
      </c>
      <c r="T13" s="14">
        <v>0.83000000000000007</v>
      </c>
      <c r="U13" s="14">
        <v>0.93</v>
      </c>
      <c r="V13" s="14">
        <v>0.78</v>
      </c>
      <c r="W13" s="14">
        <v>0.88</v>
      </c>
      <c r="X13" s="14">
        <v>0.98</v>
      </c>
      <c r="Y13" s="14">
        <v>0.84</v>
      </c>
      <c r="Z13" s="14">
        <v>0.78</v>
      </c>
      <c r="AA13" s="14">
        <v>0.78</v>
      </c>
      <c r="AB13" s="14">
        <v>0.79</v>
      </c>
      <c r="AC13" s="14">
        <v>0.83000000000000007</v>
      </c>
      <c r="AD13" s="14">
        <v>0.83000000000000007</v>
      </c>
      <c r="AE13" s="14">
        <v>0.93</v>
      </c>
      <c r="AF13" s="14">
        <v>0.98</v>
      </c>
    </row>
    <row r="14" spans="1:32">
      <c r="A14" s="19"/>
      <c r="B14" s="11" t="s">
        <v>1434</v>
      </c>
      <c r="C14" s="12">
        <v>1941</v>
      </c>
      <c r="D14" s="12">
        <v>77</v>
      </c>
      <c r="E14" s="12">
        <v>64</v>
      </c>
      <c r="F14" s="12">
        <v>114</v>
      </c>
      <c r="G14" s="12">
        <v>21</v>
      </c>
      <c r="H14" s="12">
        <v>107</v>
      </c>
      <c r="I14" s="12">
        <v>144</v>
      </c>
      <c r="J14" s="12">
        <v>37</v>
      </c>
      <c r="K14" s="12">
        <v>59</v>
      </c>
      <c r="L14" s="12">
        <v>59</v>
      </c>
      <c r="M14" s="12">
        <v>64</v>
      </c>
      <c r="N14" s="12">
        <v>37</v>
      </c>
      <c r="O14" s="12">
        <v>87</v>
      </c>
      <c r="P14" s="12">
        <v>83</v>
      </c>
      <c r="Q14" s="12">
        <v>96</v>
      </c>
      <c r="R14" s="12">
        <v>21</v>
      </c>
      <c r="S14" s="12">
        <v>30</v>
      </c>
      <c r="T14" s="12">
        <v>40</v>
      </c>
      <c r="U14" s="12">
        <v>25</v>
      </c>
      <c r="V14" s="12">
        <v>96</v>
      </c>
      <c r="W14" s="12">
        <v>13</v>
      </c>
      <c r="X14" s="12">
        <v>22</v>
      </c>
      <c r="Y14" s="12">
        <v>83</v>
      </c>
      <c r="Z14" s="12">
        <v>75</v>
      </c>
      <c r="AA14" s="12">
        <v>63</v>
      </c>
      <c r="AB14" s="12">
        <v>73</v>
      </c>
      <c r="AC14" s="12">
        <v>68</v>
      </c>
      <c r="AD14" s="12">
        <v>82</v>
      </c>
      <c r="AE14" s="12">
        <v>42</v>
      </c>
      <c r="AF14" s="12">
        <v>15</v>
      </c>
    </row>
    <row r="15" spans="1:32">
      <c r="A15" s="19"/>
      <c r="B15" s="13" t="s">
        <v>1435</v>
      </c>
      <c r="C15" s="14">
        <v>7.0000000000000007E-2</v>
      </c>
      <c r="D15" s="14">
        <v>0.08</v>
      </c>
      <c r="E15" s="14">
        <v>0.06</v>
      </c>
      <c r="F15" s="14">
        <v>0.11</v>
      </c>
      <c r="G15" s="14">
        <v>0.02</v>
      </c>
      <c r="H15" s="14">
        <v>0.09</v>
      </c>
      <c r="I15" s="14">
        <v>0.09</v>
      </c>
      <c r="J15" s="14">
        <v>0.12</v>
      </c>
      <c r="K15" s="14">
        <v>0.06</v>
      </c>
      <c r="L15" s="14">
        <v>0.06</v>
      </c>
      <c r="M15" s="14">
        <v>0.06</v>
      </c>
      <c r="N15" s="14">
        <v>0.04</v>
      </c>
      <c r="O15" s="14">
        <v>0.09</v>
      </c>
      <c r="P15" s="14">
        <v>0.08</v>
      </c>
      <c r="Q15" s="14">
        <v>0.1</v>
      </c>
      <c r="R15" s="14">
        <v>0.04</v>
      </c>
      <c r="S15" s="14">
        <v>0.03</v>
      </c>
      <c r="T15" s="14">
        <v>0.04</v>
      </c>
      <c r="U15" s="14">
        <v>0.05</v>
      </c>
      <c r="V15" s="14">
        <v>0.1</v>
      </c>
      <c r="W15" s="14">
        <v>0.03</v>
      </c>
      <c r="X15" s="14">
        <v>0.02</v>
      </c>
      <c r="Y15" s="14">
        <v>0.08</v>
      </c>
      <c r="Z15" s="14">
        <v>7.0000000000000007E-2</v>
      </c>
      <c r="AA15" s="14">
        <v>0.06</v>
      </c>
      <c r="AB15" s="14">
        <v>7.0000000000000007E-2</v>
      </c>
      <c r="AC15" s="14">
        <v>7.0000000000000007E-2</v>
      </c>
      <c r="AD15" s="14">
        <v>0.08</v>
      </c>
      <c r="AE15" s="14">
        <v>0.04</v>
      </c>
      <c r="AF15" s="14">
        <v>0.01</v>
      </c>
    </row>
    <row r="16" spans="1:32">
      <c r="A16" s="19"/>
      <c r="B16" s="11" t="s">
        <v>1416</v>
      </c>
      <c r="C16" s="12">
        <v>2060</v>
      </c>
      <c r="D16" s="12">
        <v>23</v>
      </c>
      <c r="E16" s="12">
        <v>124</v>
      </c>
      <c r="F16" s="12">
        <v>91</v>
      </c>
      <c r="G16" s="12">
        <v>19</v>
      </c>
      <c r="H16" s="12">
        <v>96</v>
      </c>
      <c r="I16" s="12">
        <v>119</v>
      </c>
      <c r="J16" s="12">
        <v>23</v>
      </c>
      <c r="K16" s="12">
        <v>72</v>
      </c>
      <c r="L16" s="12">
        <v>59</v>
      </c>
      <c r="M16" s="12">
        <v>118</v>
      </c>
      <c r="N16" s="12">
        <v>52</v>
      </c>
      <c r="O16" s="12">
        <v>69</v>
      </c>
      <c r="P16" s="12">
        <v>85</v>
      </c>
      <c r="Q16" s="12">
        <v>75</v>
      </c>
      <c r="R16" s="12">
        <v>48</v>
      </c>
      <c r="S16" s="12">
        <v>88</v>
      </c>
      <c r="T16" s="12">
        <v>136</v>
      </c>
      <c r="U16" s="12">
        <v>12</v>
      </c>
      <c r="V16" s="12">
        <v>127</v>
      </c>
      <c r="W16" s="12">
        <v>47</v>
      </c>
      <c r="X16" s="12">
        <v>1</v>
      </c>
      <c r="Y16" s="12">
        <v>64</v>
      </c>
      <c r="Z16" s="12">
        <v>151</v>
      </c>
      <c r="AA16" s="12">
        <v>149</v>
      </c>
      <c r="AB16" s="12">
        <v>140</v>
      </c>
      <c r="AC16" s="12">
        <v>105</v>
      </c>
      <c r="AD16" s="12">
        <v>77</v>
      </c>
      <c r="AE16" s="12">
        <v>31</v>
      </c>
      <c r="AF16" s="12">
        <v>7</v>
      </c>
    </row>
    <row r="17" spans="1:32">
      <c r="A17" s="19"/>
      <c r="B17" s="13" t="s">
        <v>1417</v>
      </c>
      <c r="C17" s="14">
        <v>0.08</v>
      </c>
      <c r="D17" s="14">
        <v>0.02</v>
      </c>
      <c r="E17" s="14">
        <v>0.12</v>
      </c>
      <c r="F17" s="14">
        <v>0.08</v>
      </c>
      <c r="G17" s="14">
        <v>0.02</v>
      </c>
      <c r="H17" s="14">
        <v>0.08</v>
      </c>
      <c r="I17" s="14">
        <v>0.08</v>
      </c>
      <c r="J17" s="14">
        <v>0.08</v>
      </c>
      <c r="K17" s="14">
        <v>7.0000000000000007E-2</v>
      </c>
      <c r="L17" s="14">
        <v>0.06</v>
      </c>
      <c r="M17" s="14">
        <v>0.12</v>
      </c>
      <c r="N17" s="14">
        <v>0.05</v>
      </c>
      <c r="O17" s="14">
        <v>7.0000000000000007E-2</v>
      </c>
      <c r="P17" s="14">
        <v>0.08</v>
      </c>
      <c r="Q17" s="14">
        <v>7.0000000000000007E-2</v>
      </c>
      <c r="R17" s="14">
        <v>0.1</v>
      </c>
      <c r="S17" s="14">
        <v>0.09</v>
      </c>
      <c r="T17" s="14">
        <v>0.13</v>
      </c>
      <c r="U17" s="14">
        <v>0.02</v>
      </c>
      <c r="V17" s="14">
        <v>0.12</v>
      </c>
      <c r="W17" s="14">
        <v>0.09</v>
      </c>
      <c r="X17" s="15" t="s">
        <v>375</v>
      </c>
      <c r="Y17" s="14">
        <v>0.06</v>
      </c>
      <c r="Z17" s="14">
        <v>0.15</v>
      </c>
      <c r="AA17" s="14">
        <v>0.14000000000000001</v>
      </c>
      <c r="AB17" s="14">
        <v>0.13</v>
      </c>
      <c r="AC17" s="14">
        <v>0.1</v>
      </c>
      <c r="AD17" s="14">
        <v>0.08</v>
      </c>
      <c r="AE17" s="14">
        <v>0.03</v>
      </c>
      <c r="AF17" s="14">
        <v>0.01</v>
      </c>
    </row>
    <row r="18" spans="1:32">
      <c r="A18" s="19"/>
      <c r="B18" s="11" t="s">
        <v>1436</v>
      </c>
      <c r="C18" s="12">
        <v>154</v>
      </c>
      <c r="D18" s="12">
        <v>4</v>
      </c>
      <c r="E18" s="12">
        <v>21</v>
      </c>
      <c r="F18" s="12">
        <v>11</v>
      </c>
      <c r="G18" s="12">
        <v>2</v>
      </c>
      <c r="H18" s="12">
        <v>14</v>
      </c>
      <c r="I18" s="12">
        <v>14</v>
      </c>
      <c r="J18" s="12">
        <v>1</v>
      </c>
      <c r="K18" s="12">
        <v>3</v>
      </c>
      <c r="L18" s="12">
        <v>0</v>
      </c>
      <c r="M18" s="12">
        <v>37</v>
      </c>
      <c r="N18" s="12">
        <v>8</v>
      </c>
      <c r="O18" s="12">
        <v>1</v>
      </c>
      <c r="P18" s="12">
        <v>26</v>
      </c>
      <c r="Q18" s="12">
        <v>1</v>
      </c>
      <c r="R18" s="12">
        <v>1</v>
      </c>
      <c r="S18" s="12">
        <v>1</v>
      </c>
      <c r="T18" s="12">
        <v>3</v>
      </c>
      <c r="U18" s="12">
        <v>0</v>
      </c>
      <c r="V18" s="12">
        <v>0</v>
      </c>
      <c r="W18" s="12">
        <v>0</v>
      </c>
      <c r="X18" s="12">
        <v>0</v>
      </c>
      <c r="Y18" s="12">
        <v>17</v>
      </c>
      <c r="Z18" s="12">
        <v>0</v>
      </c>
      <c r="AA18" s="12">
        <v>20</v>
      </c>
      <c r="AB18" s="12">
        <v>5</v>
      </c>
      <c r="AC18" s="12">
        <v>2</v>
      </c>
      <c r="AD18" s="12">
        <v>7</v>
      </c>
      <c r="AE18" s="12">
        <v>0</v>
      </c>
      <c r="AF18" s="12">
        <v>0</v>
      </c>
    </row>
    <row r="19" spans="1:32">
      <c r="A19" s="19"/>
      <c r="B19" s="13" t="s">
        <v>1437</v>
      </c>
      <c r="C19" s="14">
        <v>0.01</v>
      </c>
      <c r="D19" s="15" t="s">
        <v>375</v>
      </c>
      <c r="E19" s="14">
        <v>0.02</v>
      </c>
      <c r="F19" s="14">
        <v>0.01</v>
      </c>
      <c r="G19" s="15" t="s">
        <v>375</v>
      </c>
      <c r="H19" s="14">
        <v>0.01</v>
      </c>
      <c r="I19" s="14">
        <v>0.01</v>
      </c>
      <c r="J19" s="15" t="s">
        <v>375</v>
      </c>
      <c r="K19" s="15" t="s">
        <v>375</v>
      </c>
      <c r="L19" s="15" t="s">
        <v>375</v>
      </c>
      <c r="M19" s="14">
        <v>0.04</v>
      </c>
      <c r="N19" s="14">
        <v>0.01</v>
      </c>
      <c r="O19" s="15" t="s">
        <v>375</v>
      </c>
      <c r="P19" s="14">
        <v>0.03</v>
      </c>
      <c r="Q19" s="15" t="s">
        <v>375</v>
      </c>
      <c r="R19" s="15" t="s">
        <v>375</v>
      </c>
      <c r="S19" s="15" t="s">
        <v>375</v>
      </c>
      <c r="T19" s="15" t="s">
        <v>375</v>
      </c>
      <c r="U19" s="15" t="s">
        <v>375</v>
      </c>
      <c r="V19" s="15" t="s">
        <v>375</v>
      </c>
      <c r="W19" s="15" t="s">
        <v>375</v>
      </c>
      <c r="X19" s="15" t="s">
        <v>375</v>
      </c>
      <c r="Y19" s="14">
        <v>0.02</v>
      </c>
      <c r="Z19" s="15" t="s">
        <v>375</v>
      </c>
      <c r="AA19" s="14">
        <v>0.02</v>
      </c>
      <c r="AB19" s="14">
        <v>0.01</v>
      </c>
      <c r="AC19" s="15" t="s">
        <v>375</v>
      </c>
      <c r="AD19" s="14">
        <v>0.01</v>
      </c>
      <c r="AE19" s="15" t="s">
        <v>375</v>
      </c>
      <c r="AF19" s="15" t="s">
        <v>375</v>
      </c>
    </row>
    <row r="20" spans="1:32">
      <c r="A20" s="19"/>
      <c r="B20" s="11" t="s">
        <v>1438</v>
      </c>
      <c r="C20" s="12">
        <v>24238</v>
      </c>
      <c r="D20" s="12">
        <v>995</v>
      </c>
      <c r="E20" s="12">
        <v>902</v>
      </c>
      <c r="F20" s="12">
        <v>962</v>
      </c>
      <c r="G20" s="12">
        <v>995</v>
      </c>
      <c r="H20" s="12">
        <v>1120</v>
      </c>
      <c r="I20" s="12">
        <v>1394</v>
      </c>
      <c r="J20" s="12">
        <v>273</v>
      </c>
      <c r="K20" s="12">
        <v>932</v>
      </c>
      <c r="L20" s="12">
        <v>947</v>
      </c>
      <c r="M20" s="12">
        <v>852</v>
      </c>
      <c r="N20" s="12">
        <v>951</v>
      </c>
      <c r="O20" s="12">
        <v>934</v>
      </c>
      <c r="P20" s="12">
        <v>892</v>
      </c>
      <c r="Q20" s="12">
        <v>955</v>
      </c>
      <c r="R20" s="12">
        <v>451</v>
      </c>
      <c r="S20" s="12">
        <v>914</v>
      </c>
      <c r="T20" s="12">
        <v>884</v>
      </c>
      <c r="U20" s="12">
        <v>496</v>
      </c>
      <c r="V20" s="12">
        <v>899</v>
      </c>
      <c r="W20" s="12">
        <v>455</v>
      </c>
      <c r="X20" s="12">
        <v>1008</v>
      </c>
      <c r="Y20" s="12">
        <v>922</v>
      </c>
      <c r="Z20" s="12">
        <v>865</v>
      </c>
      <c r="AA20" s="12">
        <v>868</v>
      </c>
      <c r="AB20" s="12">
        <v>896</v>
      </c>
      <c r="AC20" s="12">
        <v>898</v>
      </c>
      <c r="AD20" s="12">
        <v>919</v>
      </c>
      <c r="AE20" s="12">
        <v>970</v>
      </c>
      <c r="AF20" s="12">
        <v>1024</v>
      </c>
    </row>
    <row r="21" spans="1:32">
      <c r="A21" s="19"/>
      <c r="B21" s="13" t="s">
        <v>1439</v>
      </c>
      <c r="C21" s="14">
        <v>0.91</v>
      </c>
      <c r="D21" s="14">
        <v>0.98</v>
      </c>
      <c r="E21" s="14">
        <v>0.86</v>
      </c>
      <c r="F21" s="14">
        <v>0.91</v>
      </c>
      <c r="G21" s="14">
        <v>0.98</v>
      </c>
      <c r="H21" s="14">
        <v>0.91</v>
      </c>
      <c r="I21" s="14">
        <v>0.91</v>
      </c>
      <c r="J21" s="14">
        <v>0.92</v>
      </c>
      <c r="K21" s="14">
        <v>0.93</v>
      </c>
      <c r="L21" s="14">
        <v>0.94000000000000006</v>
      </c>
      <c r="M21" s="14">
        <v>0.84</v>
      </c>
      <c r="N21" s="14">
        <v>0.94000000000000006</v>
      </c>
      <c r="O21" s="14">
        <v>0.93</v>
      </c>
      <c r="P21" s="14">
        <v>0.89</v>
      </c>
      <c r="Q21" s="14">
        <v>0.93</v>
      </c>
      <c r="R21" s="14">
        <v>0.9</v>
      </c>
      <c r="S21" s="14">
        <v>0.91</v>
      </c>
      <c r="T21" s="14">
        <v>0.87</v>
      </c>
      <c r="U21" s="14">
        <v>0.98</v>
      </c>
      <c r="V21" s="14">
        <v>0.88</v>
      </c>
      <c r="W21" s="14">
        <v>0.91</v>
      </c>
      <c r="X21" s="14">
        <v>1</v>
      </c>
      <c r="Y21" s="14">
        <v>0.92</v>
      </c>
      <c r="Z21" s="14">
        <v>0.85</v>
      </c>
      <c r="AA21" s="14">
        <v>0.84</v>
      </c>
      <c r="AB21" s="14">
        <v>0.86</v>
      </c>
      <c r="AC21" s="14">
        <v>0.9</v>
      </c>
      <c r="AD21" s="14">
        <v>0.91</v>
      </c>
      <c r="AE21" s="14">
        <v>0.97</v>
      </c>
      <c r="AF21" s="14">
        <v>0.99</v>
      </c>
    </row>
  </sheetData>
  <mergeCells count="10">
    <mergeCell ref="H3:L3"/>
    <mergeCell ref="C8:AF8"/>
    <mergeCell ref="B3:F3"/>
    <mergeCell ref="B5:F5"/>
    <mergeCell ref="A10:A19"/>
    <mergeCell ref="A20:A21"/>
    <mergeCell ref="H5:L5"/>
    <mergeCell ref="B10:B11"/>
    <mergeCell ref="H4:L4"/>
    <mergeCell ref="B4:F4"/>
  </mergeCells>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305</v>
      </c>
      <c r="C3" s="17"/>
      <c r="D3" s="17"/>
      <c r="E3" s="17"/>
      <c r="F3" s="17"/>
      <c r="H3" s="17" t="s">
        <v>306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1440</v>
      </c>
      <c r="C12" s="12">
        <v>6133</v>
      </c>
      <c r="D12" s="12">
        <v>138</v>
      </c>
      <c r="E12" s="12">
        <v>379</v>
      </c>
      <c r="F12" s="12">
        <v>211</v>
      </c>
      <c r="G12" s="12">
        <v>152</v>
      </c>
      <c r="H12" s="12">
        <v>157</v>
      </c>
      <c r="I12" s="12">
        <v>233</v>
      </c>
      <c r="J12" s="12">
        <v>76</v>
      </c>
      <c r="K12" s="12">
        <v>248</v>
      </c>
      <c r="L12" s="12">
        <v>452</v>
      </c>
      <c r="M12" s="12">
        <v>261</v>
      </c>
      <c r="N12" s="12">
        <v>407</v>
      </c>
      <c r="O12" s="12">
        <v>257</v>
      </c>
      <c r="P12" s="12">
        <v>266</v>
      </c>
      <c r="Q12" s="12">
        <v>129</v>
      </c>
      <c r="R12" s="12">
        <v>136</v>
      </c>
      <c r="S12" s="12">
        <v>342</v>
      </c>
      <c r="T12" s="12">
        <v>243</v>
      </c>
      <c r="U12" s="12">
        <v>48</v>
      </c>
      <c r="V12" s="12">
        <v>198</v>
      </c>
      <c r="W12" s="12">
        <v>137</v>
      </c>
      <c r="X12" s="12">
        <v>58</v>
      </c>
      <c r="Y12" s="12">
        <v>195</v>
      </c>
      <c r="Z12" s="12">
        <v>406</v>
      </c>
      <c r="AA12" s="12">
        <v>469</v>
      </c>
      <c r="AB12" s="12">
        <v>225</v>
      </c>
      <c r="AC12" s="12">
        <v>208</v>
      </c>
      <c r="AD12" s="12">
        <v>144</v>
      </c>
      <c r="AE12" s="12">
        <v>194</v>
      </c>
      <c r="AF12" s="12">
        <v>123</v>
      </c>
    </row>
    <row r="13" spans="1:32">
      <c r="A13" s="19"/>
      <c r="B13" s="13" t="s">
        <v>1441</v>
      </c>
      <c r="C13" s="14">
        <v>0.23</v>
      </c>
      <c r="D13" s="14">
        <v>0.14000000000000001</v>
      </c>
      <c r="E13" s="14">
        <v>0.36</v>
      </c>
      <c r="F13" s="14">
        <v>0.2</v>
      </c>
      <c r="G13" s="14">
        <v>0.15</v>
      </c>
      <c r="H13" s="14">
        <v>0.13</v>
      </c>
      <c r="I13" s="14">
        <v>0.15</v>
      </c>
      <c r="J13" s="14">
        <v>0.26</v>
      </c>
      <c r="K13" s="14">
        <v>0.25</v>
      </c>
      <c r="L13" s="14">
        <v>0.45</v>
      </c>
      <c r="M13" s="14">
        <v>0.26</v>
      </c>
      <c r="N13" s="14">
        <v>0.4</v>
      </c>
      <c r="O13" s="14">
        <v>0.26</v>
      </c>
      <c r="P13" s="14">
        <v>0.27</v>
      </c>
      <c r="Q13" s="14">
        <v>0.13</v>
      </c>
      <c r="R13" s="14">
        <v>0.27</v>
      </c>
      <c r="S13" s="14">
        <v>0.34</v>
      </c>
      <c r="T13" s="14">
        <v>0.24</v>
      </c>
      <c r="U13" s="14">
        <v>0.09</v>
      </c>
      <c r="V13" s="14">
        <v>0.19</v>
      </c>
      <c r="W13" s="14">
        <v>0.27</v>
      </c>
      <c r="X13" s="14">
        <v>0.06</v>
      </c>
      <c r="Y13" s="14">
        <v>0.19</v>
      </c>
      <c r="Z13" s="14">
        <v>0.4</v>
      </c>
      <c r="AA13" s="14">
        <v>0.45</v>
      </c>
      <c r="AB13" s="14">
        <v>0.22</v>
      </c>
      <c r="AC13" s="14">
        <v>0.21</v>
      </c>
      <c r="AD13" s="14">
        <v>0.14000000000000001</v>
      </c>
      <c r="AE13" s="14">
        <v>0.19</v>
      </c>
      <c r="AF13" s="14">
        <v>0.12</v>
      </c>
    </row>
    <row r="14" spans="1:32">
      <c r="A14" s="19"/>
      <c r="B14" s="11" t="s">
        <v>1442</v>
      </c>
      <c r="C14" s="12">
        <v>4531</v>
      </c>
      <c r="D14" s="12">
        <v>213</v>
      </c>
      <c r="E14" s="12">
        <v>174</v>
      </c>
      <c r="F14" s="12">
        <v>211</v>
      </c>
      <c r="G14" s="12">
        <v>89</v>
      </c>
      <c r="H14" s="12">
        <v>308</v>
      </c>
      <c r="I14" s="12">
        <v>363</v>
      </c>
      <c r="J14" s="12">
        <v>55</v>
      </c>
      <c r="K14" s="12">
        <v>210</v>
      </c>
      <c r="L14" s="12">
        <v>84</v>
      </c>
      <c r="M14" s="12">
        <v>204</v>
      </c>
      <c r="N14" s="12">
        <v>128</v>
      </c>
      <c r="O14" s="12">
        <v>207</v>
      </c>
      <c r="P14" s="12">
        <v>125</v>
      </c>
      <c r="Q14" s="12">
        <v>134</v>
      </c>
      <c r="R14" s="12">
        <v>48</v>
      </c>
      <c r="S14" s="12">
        <v>80</v>
      </c>
      <c r="T14" s="12">
        <v>164</v>
      </c>
      <c r="U14" s="12">
        <v>54</v>
      </c>
      <c r="V14" s="12">
        <v>259</v>
      </c>
      <c r="W14" s="12">
        <v>34</v>
      </c>
      <c r="X14" s="12">
        <v>108</v>
      </c>
      <c r="Y14" s="12">
        <v>150</v>
      </c>
      <c r="Z14" s="12">
        <v>129</v>
      </c>
      <c r="AA14" s="12">
        <v>254</v>
      </c>
      <c r="AB14" s="12">
        <v>144</v>
      </c>
      <c r="AC14" s="12">
        <v>136</v>
      </c>
      <c r="AD14" s="12">
        <v>226</v>
      </c>
      <c r="AE14" s="12">
        <v>138</v>
      </c>
      <c r="AF14" s="12">
        <v>91</v>
      </c>
    </row>
    <row r="15" spans="1:32">
      <c r="A15" s="19"/>
      <c r="B15" s="13" t="s">
        <v>1443</v>
      </c>
      <c r="C15" s="14">
        <v>0.17</v>
      </c>
      <c r="D15" s="14">
        <v>0.21</v>
      </c>
      <c r="E15" s="14">
        <v>0.17</v>
      </c>
      <c r="F15" s="14">
        <v>0.2</v>
      </c>
      <c r="G15" s="14">
        <v>0.09</v>
      </c>
      <c r="H15" s="14">
        <v>0.25</v>
      </c>
      <c r="I15" s="14">
        <v>0.24</v>
      </c>
      <c r="J15" s="14">
        <v>0.19</v>
      </c>
      <c r="K15" s="14">
        <v>0.21</v>
      </c>
      <c r="L15" s="14">
        <v>0.08</v>
      </c>
      <c r="M15" s="14">
        <v>0.2</v>
      </c>
      <c r="N15" s="14">
        <v>0.13</v>
      </c>
      <c r="O15" s="14">
        <v>0.21</v>
      </c>
      <c r="P15" s="14">
        <v>0.12</v>
      </c>
      <c r="Q15" s="14">
        <v>0.13</v>
      </c>
      <c r="R15" s="14">
        <v>0.1</v>
      </c>
      <c r="S15" s="14">
        <v>0.08</v>
      </c>
      <c r="T15" s="14">
        <v>0.16</v>
      </c>
      <c r="U15" s="14">
        <v>0.11</v>
      </c>
      <c r="V15" s="14">
        <v>0.25</v>
      </c>
      <c r="W15" s="14">
        <v>7.0000000000000007E-2</v>
      </c>
      <c r="X15" s="14">
        <v>0.11</v>
      </c>
      <c r="Y15" s="14">
        <v>0.15</v>
      </c>
      <c r="Z15" s="14">
        <v>0.13</v>
      </c>
      <c r="AA15" s="14">
        <v>0.25</v>
      </c>
      <c r="AB15" s="14">
        <v>0.14000000000000001</v>
      </c>
      <c r="AC15" s="14">
        <v>0.14000000000000001</v>
      </c>
      <c r="AD15" s="14">
        <v>0.23</v>
      </c>
      <c r="AE15" s="14">
        <v>0.14000000000000001</v>
      </c>
      <c r="AF15" s="14">
        <v>0.09</v>
      </c>
    </row>
    <row r="16" spans="1:32">
      <c r="A16" s="19"/>
      <c r="B16" s="11" t="s">
        <v>1444</v>
      </c>
      <c r="C16" s="12">
        <v>12893</v>
      </c>
      <c r="D16" s="12">
        <v>563</v>
      </c>
      <c r="E16" s="12">
        <v>398</v>
      </c>
      <c r="F16" s="12">
        <v>538</v>
      </c>
      <c r="G16" s="12">
        <v>540</v>
      </c>
      <c r="H16" s="12">
        <v>625</v>
      </c>
      <c r="I16" s="12">
        <v>768</v>
      </c>
      <c r="J16" s="12">
        <v>143</v>
      </c>
      <c r="K16" s="12">
        <v>350</v>
      </c>
      <c r="L16" s="12">
        <v>384</v>
      </c>
      <c r="M16" s="12">
        <v>511</v>
      </c>
      <c r="N16" s="12">
        <v>413</v>
      </c>
      <c r="O16" s="12">
        <v>435</v>
      </c>
      <c r="P16" s="12">
        <v>544</v>
      </c>
      <c r="Q16" s="12">
        <v>659</v>
      </c>
      <c r="R16" s="12">
        <v>294</v>
      </c>
      <c r="S16" s="12">
        <v>485</v>
      </c>
      <c r="T16" s="12">
        <v>532</v>
      </c>
      <c r="U16" s="12">
        <v>298</v>
      </c>
      <c r="V16" s="12">
        <v>540</v>
      </c>
      <c r="W16" s="12">
        <v>265</v>
      </c>
      <c r="X16" s="12">
        <v>464</v>
      </c>
      <c r="Y16" s="12">
        <v>533</v>
      </c>
      <c r="Z16" s="12">
        <v>399</v>
      </c>
      <c r="AA16" s="12">
        <v>265</v>
      </c>
      <c r="AB16" s="12">
        <v>570</v>
      </c>
      <c r="AC16" s="12">
        <v>587</v>
      </c>
      <c r="AD16" s="12">
        <v>550</v>
      </c>
      <c r="AE16" s="12">
        <v>476</v>
      </c>
      <c r="AF16" s="12">
        <v>562</v>
      </c>
    </row>
    <row r="17" spans="1:32">
      <c r="A17" s="19"/>
      <c r="B17" s="13" t="s">
        <v>1445</v>
      </c>
      <c r="C17" s="14">
        <v>0.49</v>
      </c>
      <c r="D17" s="14">
        <v>0.55000000000000004</v>
      </c>
      <c r="E17" s="14">
        <v>0.38</v>
      </c>
      <c r="F17" s="14">
        <v>0.51</v>
      </c>
      <c r="G17" s="14">
        <v>0.53</v>
      </c>
      <c r="H17" s="14">
        <v>0.51</v>
      </c>
      <c r="I17" s="14">
        <v>0.51</v>
      </c>
      <c r="J17" s="14">
        <v>0.48</v>
      </c>
      <c r="K17" s="14">
        <v>0.35</v>
      </c>
      <c r="L17" s="14">
        <v>0.38</v>
      </c>
      <c r="M17" s="14">
        <v>0.51</v>
      </c>
      <c r="N17" s="14">
        <v>0.41</v>
      </c>
      <c r="O17" s="14">
        <v>0.43</v>
      </c>
      <c r="P17" s="14">
        <v>0.54</v>
      </c>
      <c r="Q17" s="14">
        <v>0.64</v>
      </c>
      <c r="R17" s="14">
        <v>0.59</v>
      </c>
      <c r="S17" s="14">
        <v>0.49</v>
      </c>
      <c r="T17" s="14">
        <v>0.52</v>
      </c>
      <c r="U17" s="14">
        <v>0.57999999999999996</v>
      </c>
      <c r="V17" s="14">
        <v>0.53</v>
      </c>
      <c r="W17" s="14">
        <v>0.53</v>
      </c>
      <c r="X17" s="14">
        <v>0.46</v>
      </c>
      <c r="Y17" s="14">
        <v>0.53</v>
      </c>
      <c r="Z17" s="14">
        <v>0.39</v>
      </c>
      <c r="AA17" s="14">
        <v>0.26</v>
      </c>
      <c r="AB17" s="14">
        <v>0.55000000000000004</v>
      </c>
      <c r="AC17" s="14">
        <v>0.57999999999999996</v>
      </c>
      <c r="AD17" s="14">
        <v>0.55000000000000004</v>
      </c>
      <c r="AE17" s="14">
        <v>0.48</v>
      </c>
      <c r="AF17" s="14">
        <v>0.55000000000000004</v>
      </c>
    </row>
    <row r="18" spans="1:32">
      <c r="A18" s="19"/>
      <c r="B18" s="11" t="s">
        <v>1446</v>
      </c>
      <c r="C18" s="12">
        <v>2321</v>
      </c>
      <c r="D18" s="12">
        <v>100</v>
      </c>
      <c r="E18" s="12">
        <v>37</v>
      </c>
      <c r="F18" s="12">
        <v>76</v>
      </c>
      <c r="G18" s="12">
        <v>212</v>
      </c>
      <c r="H18" s="12">
        <v>122</v>
      </c>
      <c r="I18" s="12">
        <v>140</v>
      </c>
      <c r="J18" s="12">
        <v>19</v>
      </c>
      <c r="K18" s="12">
        <v>53</v>
      </c>
      <c r="L18" s="12">
        <v>46</v>
      </c>
      <c r="M18" s="12">
        <v>13</v>
      </c>
      <c r="N18" s="12">
        <v>53</v>
      </c>
      <c r="O18" s="12">
        <v>77</v>
      </c>
      <c r="P18" s="12">
        <v>55</v>
      </c>
      <c r="Q18" s="12">
        <v>93</v>
      </c>
      <c r="R18" s="12">
        <v>19</v>
      </c>
      <c r="S18" s="12">
        <v>59</v>
      </c>
      <c r="T18" s="12">
        <v>60</v>
      </c>
      <c r="U18" s="12">
        <v>100</v>
      </c>
      <c r="V18" s="12">
        <v>25</v>
      </c>
      <c r="W18" s="12">
        <v>58</v>
      </c>
      <c r="X18" s="12">
        <v>329</v>
      </c>
      <c r="Y18" s="12">
        <v>83</v>
      </c>
      <c r="Z18" s="12">
        <v>54</v>
      </c>
      <c r="AA18" s="12">
        <v>35</v>
      </c>
      <c r="AB18" s="12">
        <v>76</v>
      </c>
      <c r="AC18" s="12">
        <v>66</v>
      </c>
      <c r="AD18" s="12">
        <v>84</v>
      </c>
      <c r="AE18" s="12">
        <v>132</v>
      </c>
      <c r="AF18" s="12">
        <v>219</v>
      </c>
    </row>
    <row r="19" spans="1:32">
      <c r="A19" s="19"/>
      <c r="B19" s="13" t="s">
        <v>1447</v>
      </c>
      <c r="C19" s="14">
        <v>0.09</v>
      </c>
      <c r="D19" s="14">
        <v>0.1</v>
      </c>
      <c r="E19" s="14">
        <v>0.04</v>
      </c>
      <c r="F19" s="14">
        <v>7.0000000000000007E-2</v>
      </c>
      <c r="G19" s="14">
        <v>0.21</v>
      </c>
      <c r="H19" s="14">
        <v>0.1</v>
      </c>
      <c r="I19" s="14">
        <v>0.09</v>
      </c>
      <c r="J19" s="14">
        <v>0.06</v>
      </c>
      <c r="K19" s="14">
        <v>0.05</v>
      </c>
      <c r="L19" s="14">
        <v>0.05</v>
      </c>
      <c r="M19" s="14">
        <v>0.01</v>
      </c>
      <c r="N19" s="14">
        <v>0.05</v>
      </c>
      <c r="O19" s="14">
        <v>0.08</v>
      </c>
      <c r="P19" s="14">
        <v>0.06</v>
      </c>
      <c r="Q19" s="14">
        <v>0.09</v>
      </c>
      <c r="R19" s="14">
        <v>0.04</v>
      </c>
      <c r="S19" s="14">
        <v>0.06</v>
      </c>
      <c r="T19" s="14">
        <v>0.06</v>
      </c>
      <c r="U19" s="14">
        <v>0.2</v>
      </c>
      <c r="V19" s="14">
        <v>0.03</v>
      </c>
      <c r="W19" s="14">
        <v>0.12</v>
      </c>
      <c r="X19" s="14">
        <v>0.33</v>
      </c>
      <c r="Y19" s="14">
        <v>0.08</v>
      </c>
      <c r="Z19" s="14">
        <v>0.05</v>
      </c>
      <c r="AA19" s="14">
        <v>0.03</v>
      </c>
      <c r="AB19" s="14">
        <v>7.0000000000000007E-2</v>
      </c>
      <c r="AC19" s="14">
        <v>7.0000000000000007E-2</v>
      </c>
      <c r="AD19" s="14">
        <v>0.08</v>
      </c>
      <c r="AE19" s="14">
        <v>0.13</v>
      </c>
      <c r="AF19" s="14">
        <v>0.21</v>
      </c>
    </row>
    <row r="20" spans="1:32">
      <c r="A20" s="19"/>
      <c r="B20" s="11" t="s">
        <v>1448</v>
      </c>
      <c r="C20" s="12">
        <v>229</v>
      </c>
      <c r="D20" s="12">
        <v>4</v>
      </c>
      <c r="E20" s="12">
        <v>2</v>
      </c>
      <c r="F20" s="12">
        <v>22</v>
      </c>
      <c r="G20" s="12">
        <v>11</v>
      </c>
      <c r="H20" s="12">
        <v>4</v>
      </c>
      <c r="I20" s="12">
        <v>5</v>
      </c>
      <c r="J20" s="12">
        <v>1</v>
      </c>
      <c r="K20" s="12">
        <v>6</v>
      </c>
      <c r="L20" s="12">
        <v>8</v>
      </c>
      <c r="M20" s="12">
        <v>0</v>
      </c>
      <c r="N20" s="12">
        <v>4</v>
      </c>
      <c r="O20" s="12">
        <v>3</v>
      </c>
      <c r="P20" s="12">
        <v>11</v>
      </c>
      <c r="Q20" s="12">
        <v>9</v>
      </c>
      <c r="R20" s="12">
        <v>2</v>
      </c>
      <c r="S20" s="12">
        <v>13</v>
      </c>
      <c r="T20" s="12">
        <v>6</v>
      </c>
      <c r="U20" s="12">
        <v>5</v>
      </c>
      <c r="V20" s="12">
        <v>2</v>
      </c>
      <c r="W20" s="12">
        <v>6</v>
      </c>
      <c r="X20" s="12">
        <v>46</v>
      </c>
      <c r="Y20" s="12">
        <v>4</v>
      </c>
      <c r="Z20" s="12">
        <v>25</v>
      </c>
      <c r="AA20" s="12">
        <v>1</v>
      </c>
      <c r="AB20" s="12">
        <v>12</v>
      </c>
      <c r="AC20" s="12">
        <v>5</v>
      </c>
      <c r="AD20" s="12">
        <v>0</v>
      </c>
      <c r="AE20" s="12">
        <v>17</v>
      </c>
      <c r="AF20" s="12">
        <v>14</v>
      </c>
    </row>
    <row r="21" spans="1:32">
      <c r="A21" s="19"/>
      <c r="B21" s="13" t="s">
        <v>1449</v>
      </c>
      <c r="C21" s="14">
        <v>0.01</v>
      </c>
      <c r="D21" s="15" t="s">
        <v>375</v>
      </c>
      <c r="E21" s="15" t="s">
        <v>375</v>
      </c>
      <c r="F21" s="14">
        <v>0.02</v>
      </c>
      <c r="G21" s="14">
        <v>0.01</v>
      </c>
      <c r="H21" s="15" t="s">
        <v>375</v>
      </c>
      <c r="I21" s="15" t="s">
        <v>375</v>
      </c>
      <c r="J21" s="15" t="s">
        <v>375</v>
      </c>
      <c r="K21" s="15" t="s">
        <v>375</v>
      </c>
      <c r="L21" s="14">
        <v>0.01</v>
      </c>
      <c r="M21" s="15" t="s">
        <v>375</v>
      </c>
      <c r="N21" s="15" t="s">
        <v>375</v>
      </c>
      <c r="O21" s="15" t="s">
        <v>375</v>
      </c>
      <c r="P21" s="14">
        <v>0.01</v>
      </c>
      <c r="Q21" s="14">
        <v>0.01</v>
      </c>
      <c r="R21" s="15" t="s">
        <v>375</v>
      </c>
      <c r="S21" s="14">
        <v>0.01</v>
      </c>
      <c r="T21" s="14">
        <v>0.01</v>
      </c>
      <c r="U21" s="14">
        <v>0.01</v>
      </c>
      <c r="V21" s="15" t="s">
        <v>375</v>
      </c>
      <c r="W21" s="14">
        <v>0.01</v>
      </c>
      <c r="X21" s="14">
        <v>0.04</v>
      </c>
      <c r="Y21" s="15" t="s">
        <v>375</v>
      </c>
      <c r="Z21" s="14">
        <v>0.03</v>
      </c>
      <c r="AA21" s="15" t="s">
        <v>375</v>
      </c>
      <c r="AB21" s="14">
        <v>0.01</v>
      </c>
      <c r="AC21" s="15" t="s">
        <v>375</v>
      </c>
      <c r="AD21" s="15" t="s">
        <v>375</v>
      </c>
      <c r="AE21" s="14">
        <v>0.02</v>
      </c>
      <c r="AF21" s="14">
        <v>0.01</v>
      </c>
    </row>
    <row r="22" spans="1:32">
      <c r="A22" s="19"/>
      <c r="B22" s="11" t="s">
        <v>436</v>
      </c>
      <c r="C22" s="12">
        <v>16</v>
      </c>
      <c r="D22" s="12">
        <v>0</v>
      </c>
      <c r="E22" s="12">
        <v>0</v>
      </c>
      <c r="F22" s="12">
        <v>0</v>
      </c>
      <c r="G22" s="12">
        <v>0</v>
      </c>
      <c r="H22" s="12">
        <v>0</v>
      </c>
      <c r="I22" s="12">
        <v>0</v>
      </c>
      <c r="J22" s="12">
        <v>0</v>
      </c>
      <c r="K22" s="12">
        <v>20</v>
      </c>
      <c r="L22" s="12">
        <v>0</v>
      </c>
      <c r="M22" s="12">
        <v>0</v>
      </c>
      <c r="N22" s="12">
        <v>0</v>
      </c>
      <c r="O22" s="12">
        <v>2</v>
      </c>
      <c r="P22" s="12">
        <v>0</v>
      </c>
      <c r="Q22" s="12">
        <v>0</v>
      </c>
      <c r="R22" s="12">
        <v>0</v>
      </c>
      <c r="S22" s="12">
        <v>1</v>
      </c>
      <c r="T22" s="12">
        <v>0</v>
      </c>
      <c r="U22" s="12">
        <v>0</v>
      </c>
      <c r="V22" s="12">
        <v>0</v>
      </c>
      <c r="W22" s="12">
        <v>0</v>
      </c>
      <c r="X22" s="12">
        <v>1</v>
      </c>
      <c r="Y22" s="12">
        <v>4</v>
      </c>
      <c r="Z22" s="12">
        <v>0</v>
      </c>
      <c r="AA22" s="12">
        <v>2</v>
      </c>
      <c r="AB22" s="12">
        <v>1</v>
      </c>
      <c r="AC22" s="12">
        <v>0</v>
      </c>
      <c r="AD22" s="12">
        <v>0</v>
      </c>
      <c r="AE22" s="12">
        <v>3</v>
      </c>
      <c r="AF22" s="12">
        <v>0</v>
      </c>
    </row>
    <row r="23" spans="1:32">
      <c r="A23" s="19"/>
      <c r="B23" s="13" t="s">
        <v>437</v>
      </c>
      <c r="C23" s="15" t="s">
        <v>375</v>
      </c>
      <c r="D23" s="15" t="s">
        <v>375</v>
      </c>
      <c r="E23" s="15" t="s">
        <v>375</v>
      </c>
      <c r="F23" s="15" t="s">
        <v>375</v>
      </c>
      <c r="G23" s="15" t="s">
        <v>375</v>
      </c>
      <c r="H23" s="15" t="s">
        <v>375</v>
      </c>
      <c r="I23" s="15" t="s">
        <v>375</v>
      </c>
      <c r="J23" s="15" t="s">
        <v>375</v>
      </c>
      <c r="K23" s="14">
        <v>0.02</v>
      </c>
      <c r="L23" s="15" t="s">
        <v>375</v>
      </c>
      <c r="M23" s="15" t="s">
        <v>375</v>
      </c>
      <c r="N23" s="15" t="s">
        <v>375</v>
      </c>
      <c r="O23" s="15" t="s">
        <v>375</v>
      </c>
      <c r="P23" s="15" t="s">
        <v>375</v>
      </c>
      <c r="Q23" s="15" t="s">
        <v>375</v>
      </c>
      <c r="R23" s="15" t="s">
        <v>375</v>
      </c>
      <c r="S23" s="15" t="s">
        <v>375</v>
      </c>
      <c r="T23" s="15" t="s">
        <v>375</v>
      </c>
      <c r="U23" s="15" t="s">
        <v>375</v>
      </c>
      <c r="V23" s="15" t="s">
        <v>375</v>
      </c>
      <c r="W23" s="15" t="s">
        <v>375</v>
      </c>
      <c r="X23" s="15" t="s">
        <v>375</v>
      </c>
      <c r="Y23" s="14">
        <v>0.01</v>
      </c>
      <c r="Z23" s="15" t="s">
        <v>375</v>
      </c>
      <c r="AA23" s="15" t="s">
        <v>375</v>
      </c>
      <c r="AB23" s="15" t="s">
        <v>375</v>
      </c>
      <c r="AC23" s="15" t="s">
        <v>375</v>
      </c>
      <c r="AD23" s="15" t="s">
        <v>375</v>
      </c>
      <c r="AE23" s="15" t="s">
        <v>375</v>
      </c>
      <c r="AF23" s="15" t="s">
        <v>375</v>
      </c>
    </row>
    <row r="24" spans="1:32">
      <c r="A24" s="19"/>
      <c r="B24" s="11" t="s">
        <v>1094</v>
      </c>
      <c r="C24" s="12">
        <v>36</v>
      </c>
      <c r="D24" s="12">
        <v>0</v>
      </c>
      <c r="E24" s="12">
        <v>4</v>
      </c>
      <c r="F24" s="12">
        <v>0</v>
      </c>
      <c r="G24" s="12">
        <v>1</v>
      </c>
      <c r="H24" s="12">
        <v>4</v>
      </c>
      <c r="I24" s="12">
        <v>5</v>
      </c>
      <c r="J24" s="12">
        <v>1</v>
      </c>
      <c r="K24" s="12">
        <v>8</v>
      </c>
      <c r="L24" s="12">
        <v>3</v>
      </c>
      <c r="M24" s="12">
        <v>0</v>
      </c>
      <c r="N24" s="12">
        <v>0</v>
      </c>
      <c r="O24" s="12">
        <v>0</v>
      </c>
      <c r="P24" s="12">
        <v>0</v>
      </c>
      <c r="Q24" s="12">
        <v>2</v>
      </c>
      <c r="R24" s="12">
        <v>1</v>
      </c>
      <c r="S24" s="12">
        <v>3</v>
      </c>
      <c r="T24" s="12">
        <v>4</v>
      </c>
      <c r="U24" s="12">
        <v>0</v>
      </c>
      <c r="V24" s="12">
        <v>1</v>
      </c>
      <c r="W24" s="12">
        <v>0</v>
      </c>
      <c r="X24" s="12">
        <v>0</v>
      </c>
      <c r="Y24" s="12">
        <v>8</v>
      </c>
      <c r="Z24" s="12">
        <v>0</v>
      </c>
      <c r="AA24" s="12">
        <v>0</v>
      </c>
      <c r="AB24" s="12">
        <v>0</v>
      </c>
      <c r="AC24" s="12">
        <v>1</v>
      </c>
      <c r="AD24" s="12">
        <v>0</v>
      </c>
      <c r="AE24" s="12">
        <v>5</v>
      </c>
      <c r="AF24" s="12">
        <v>3</v>
      </c>
    </row>
    <row r="25" spans="1:32">
      <c r="A25" s="19"/>
      <c r="B25" s="13" t="s">
        <v>1095</v>
      </c>
      <c r="C25" s="15" t="s">
        <v>375</v>
      </c>
      <c r="D25" s="15" t="s">
        <v>375</v>
      </c>
      <c r="E25" s="15" t="s">
        <v>375</v>
      </c>
      <c r="F25" s="15" t="s">
        <v>375</v>
      </c>
      <c r="G25" s="15" t="s">
        <v>375</v>
      </c>
      <c r="H25" s="15" t="s">
        <v>375</v>
      </c>
      <c r="I25" s="15" t="s">
        <v>375</v>
      </c>
      <c r="J25" s="15" t="s">
        <v>375</v>
      </c>
      <c r="K25" s="14">
        <v>0.01</v>
      </c>
      <c r="L25" s="15" t="s">
        <v>375</v>
      </c>
      <c r="M25" s="15" t="s">
        <v>375</v>
      </c>
      <c r="N25" s="15" t="s">
        <v>375</v>
      </c>
      <c r="O25" s="15" t="s">
        <v>375</v>
      </c>
      <c r="P25" s="15" t="s">
        <v>375</v>
      </c>
      <c r="Q25" s="15" t="s">
        <v>375</v>
      </c>
      <c r="R25" s="15" t="s">
        <v>375</v>
      </c>
      <c r="S25" s="15" t="s">
        <v>375</v>
      </c>
      <c r="T25" s="15" t="s">
        <v>375</v>
      </c>
      <c r="U25" s="15" t="s">
        <v>375</v>
      </c>
      <c r="V25" s="15" t="s">
        <v>375</v>
      </c>
      <c r="W25" s="15" t="s">
        <v>375</v>
      </c>
      <c r="X25" s="15" t="s">
        <v>375</v>
      </c>
      <c r="Y25" s="14">
        <v>0.01</v>
      </c>
      <c r="Z25" s="15" t="s">
        <v>375</v>
      </c>
      <c r="AA25" s="15" t="s">
        <v>375</v>
      </c>
      <c r="AB25" s="15" t="s">
        <v>375</v>
      </c>
      <c r="AC25" s="15" t="s">
        <v>375</v>
      </c>
      <c r="AD25" s="15" t="s">
        <v>375</v>
      </c>
      <c r="AE25" s="15" t="s">
        <v>375</v>
      </c>
      <c r="AF25" s="15" t="s">
        <v>375</v>
      </c>
    </row>
    <row r="26" spans="1:32">
      <c r="A26" s="19"/>
      <c r="B26" s="11" t="s">
        <v>438</v>
      </c>
      <c r="C26" s="12">
        <v>82</v>
      </c>
      <c r="D26" s="12">
        <v>0</v>
      </c>
      <c r="E26" s="12">
        <v>14</v>
      </c>
      <c r="F26" s="12">
        <v>0</v>
      </c>
      <c r="G26" s="12">
        <v>1</v>
      </c>
      <c r="H26" s="12">
        <v>7</v>
      </c>
      <c r="I26" s="12">
        <v>9</v>
      </c>
      <c r="J26" s="12">
        <v>3</v>
      </c>
      <c r="K26" s="12">
        <v>44</v>
      </c>
      <c r="L26" s="12">
        <v>4</v>
      </c>
      <c r="M26" s="12">
        <v>10</v>
      </c>
      <c r="N26" s="12">
        <v>1</v>
      </c>
      <c r="O26" s="12">
        <v>2</v>
      </c>
      <c r="P26" s="12">
        <v>0</v>
      </c>
      <c r="Q26" s="12">
        <v>1</v>
      </c>
      <c r="R26" s="12">
        <v>0</v>
      </c>
      <c r="S26" s="12">
        <v>3</v>
      </c>
      <c r="T26" s="12">
        <v>1</v>
      </c>
      <c r="U26" s="12">
        <v>0</v>
      </c>
      <c r="V26" s="12">
        <v>0</v>
      </c>
      <c r="W26" s="12">
        <v>0</v>
      </c>
      <c r="X26" s="12">
        <v>0</v>
      </c>
      <c r="Y26" s="12">
        <v>19</v>
      </c>
      <c r="Z26" s="12">
        <v>1</v>
      </c>
      <c r="AA26" s="12">
        <v>3</v>
      </c>
      <c r="AB26" s="12">
        <v>0</v>
      </c>
      <c r="AC26" s="12">
        <v>1</v>
      </c>
      <c r="AD26" s="12">
        <v>0</v>
      </c>
      <c r="AE26" s="12">
        <v>6</v>
      </c>
      <c r="AF26" s="12">
        <v>4</v>
      </c>
    </row>
    <row r="27" spans="1:32">
      <c r="A27" s="19"/>
      <c r="B27" s="13" t="s">
        <v>439</v>
      </c>
      <c r="C27" s="15" t="s">
        <v>375</v>
      </c>
      <c r="D27" s="15" t="s">
        <v>375</v>
      </c>
      <c r="E27" s="14">
        <v>0.01</v>
      </c>
      <c r="F27" s="15" t="s">
        <v>375</v>
      </c>
      <c r="G27" s="15" t="s">
        <v>375</v>
      </c>
      <c r="H27" s="14">
        <v>0.01</v>
      </c>
      <c r="I27" s="14">
        <v>0.01</v>
      </c>
      <c r="J27" s="14">
        <v>0.01</v>
      </c>
      <c r="K27" s="14">
        <v>0.04</v>
      </c>
      <c r="L27" s="15" t="s">
        <v>375</v>
      </c>
      <c r="M27" s="14">
        <v>0.01</v>
      </c>
      <c r="N27" s="15" t="s">
        <v>375</v>
      </c>
      <c r="O27" s="15" t="s">
        <v>375</v>
      </c>
      <c r="P27" s="15" t="s">
        <v>375</v>
      </c>
      <c r="Q27" s="15" t="s">
        <v>375</v>
      </c>
      <c r="R27" s="15" t="s">
        <v>375</v>
      </c>
      <c r="S27" s="15" t="s">
        <v>375</v>
      </c>
      <c r="T27" s="15" t="s">
        <v>375</v>
      </c>
      <c r="U27" s="15" t="s">
        <v>375</v>
      </c>
      <c r="V27" s="15" t="s">
        <v>375</v>
      </c>
      <c r="W27" s="15" t="s">
        <v>375</v>
      </c>
      <c r="X27" s="15" t="s">
        <v>375</v>
      </c>
      <c r="Y27" s="14">
        <v>0.02</v>
      </c>
      <c r="Z27" s="15" t="s">
        <v>375</v>
      </c>
      <c r="AA27" s="15" t="s">
        <v>375</v>
      </c>
      <c r="AB27" s="15" t="s">
        <v>375</v>
      </c>
      <c r="AC27" s="15" t="s">
        <v>375</v>
      </c>
      <c r="AD27" s="15" t="s">
        <v>375</v>
      </c>
      <c r="AE27" s="14">
        <v>0.01</v>
      </c>
      <c r="AF27" s="15" t="s">
        <v>375</v>
      </c>
    </row>
    <row r="28" spans="1:32">
      <c r="A28" s="19"/>
      <c r="B28" s="11" t="s">
        <v>386</v>
      </c>
      <c r="C28" s="12">
        <v>211</v>
      </c>
      <c r="D28" s="12">
        <v>3</v>
      </c>
      <c r="E28" s="12">
        <v>37</v>
      </c>
      <c r="F28" s="12">
        <v>5</v>
      </c>
      <c r="G28" s="12">
        <v>10</v>
      </c>
      <c r="H28" s="12">
        <v>4</v>
      </c>
      <c r="I28" s="12">
        <v>4</v>
      </c>
      <c r="J28" s="12">
        <v>0</v>
      </c>
      <c r="K28" s="12">
        <v>67</v>
      </c>
      <c r="L28" s="12">
        <v>24</v>
      </c>
      <c r="M28" s="12">
        <v>9</v>
      </c>
      <c r="N28" s="12">
        <v>5</v>
      </c>
      <c r="O28" s="12">
        <v>20</v>
      </c>
      <c r="P28" s="12">
        <v>2</v>
      </c>
      <c r="Q28" s="12">
        <v>4</v>
      </c>
      <c r="R28" s="12">
        <v>1</v>
      </c>
      <c r="S28" s="12">
        <v>19</v>
      </c>
      <c r="T28" s="12">
        <v>13</v>
      </c>
      <c r="U28" s="12">
        <v>3</v>
      </c>
      <c r="V28" s="12">
        <v>1</v>
      </c>
      <c r="W28" s="12">
        <v>2</v>
      </c>
      <c r="X28" s="12">
        <v>4</v>
      </c>
      <c r="Y28" s="12">
        <v>6</v>
      </c>
      <c r="Z28" s="12">
        <v>2</v>
      </c>
      <c r="AA28" s="12">
        <v>6</v>
      </c>
      <c r="AB28" s="12">
        <v>13</v>
      </c>
      <c r="AC28" s="12">
        <v>1</v>
      </c>
      <c r="AD28" s="12">
        <v>0</v>
      </c>
      <c r="AE28" s="12">
        <v>29</v>
      </c>
      <c r="AF28" s="12">
        <v>15</v>
      </c>
    </row>
    <row r="29" spans="1:32">
      <c r="A29" s="19"/>
      <c r="B29" s="13" t="s">
        <v>399</v>
      </c>
      <c r="C29" s="14">
        <v>0.01</v>
      </c>
      <c r="D29" s="15" t="s">
        <v>375</v>
      </c>
      <c r="E29" s="14">
        <v>0.04</v>
      </c>
      <c r="F29" s="15" t="s">
        <v>375</v>
      </c>
      <c r="G29" s="14">
        <v>0.01</v>
      </c>
      <c r="H29" s="15" t="s">
        <v>375</v>
      </c>
      <c r="I29" s="15" t="s">
        <v>375</v>
      </c>
      <c r="J29" s="15" t="s">
        <v>375</v>
      </c>
      <c r="K29" s="14">
        <v>7.0000000000000007E-2</v>
      </c>
      <c r="L29" s="14">
        <v>0.03</v>
      </c>
      <c r="M29" s="14">
        <v>0.01</v>
      </c>
      <c r="N29" s="14">
        <v>0.01</v>
      </c>
      <c r="O29" s="14">
        <v>0.02</v>
      </c>
      <c r="P29" s="15" t="s">
        <v>375</v>
      </c>
      <c r="Q29" s="15" t="s">
        <v>375</v>
      </c>
      <c r="R29" s="15" t="s">
        <v>375</v>
      </c>
      <c r="S29" s="14">
        <v>0.02</v>
      </c>
      <c r="T29" s="14">
        <v>0.01</v>
      </c>
      <c r="U29" s="14">
        <v>0.01</v>
      </c>
      <c r="V29" s="15" t="s">
        <v>375</v>
      </c>
      <c r="W29" s="15" t="s">
        <v>375</v>
      </c>
      <c r="X29" s="15" t="s">
        <v>375</v>
      </c>
      <c r="Y29" s="14">
        <v>0.01</v>
      </c>
      <c r="Z29" s="15" t="s">
        <v>375</v>
      </c>
      <c r="AA29" s="14">
        <v>0.01</v>
      </c>
      <c r="AB29" s="14">
        <v>0.01</v>
      </c>
      <c r="AC29" s="15" t="s">
        <v>375</v>
      </c>
      <c r="AD29" s="15" t="s">
        <v>375</v>
      </c>
      <c r="AE29" s="14">
        <v>0.03</v>
      </c>
      <c r="AF29" s="14">
        <v>0.02</v>
      </c>
    </row>
  </sheetData>
  <mergeCells count="9">
    <mergeCell ref="B4:F4"/>
    <mergeCell ref="H3:L3"/>
    <mergeCell ref="C8:AF8"/>
    <mergeCell ref="A10:A29"/>
    <mergeCell ref="B5:F5"/>
    <mergeCell ref="B3:F3"/>
    <mergeCell ref="H5:L5"/>
    <mergeCell ref="B10:B11"/>
    <mergeCell ref="H4:L4"/>
  </mergeCells>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1450</v>
      </c>
      <c r="C3" s="17"/>
      <c r="D3" s="17"/>
      <c r="E3" s="17"/>
      <c r="F3" s="17"/>
      <c r="H3" s="17" t="s">
        <v>1451</v>
      </c>
      <c r="I3" s="17"/>
      <c r="J3" s="17"/>
      <c r="K3" s="17"/>
      <c r="L3" s="17"/>
    </row>
    <row r="4" spans="1:32" ht="27" customHeight="1">
      <c r="B4" s="17" t="s">
        <v>1452</v>
      </c>
      <c r="C4" s="17"/>
      <c r="D4" s="17"/>
      <c r="E4" s="17"/>
      <c r="F4" s="17"/>
      <c r="H4" s="17" t="s">
        <v>557</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1453</v>
      </c>
      <c r="C12" s="12">
        <v>9132</v>
      </c>
      <c r="D12" s="12">
        <v>346</v>
      </c>
      <c r="E12" s="12">
        <v>350</v>
      </c>
      <c r="F12" s="12">
        <v>641</v>
      </c>
      <c r="G12" s="12">
        <v>462</v>
      </c>
      <c r="H12" s="12">
        <v>337</v>
      </c>
      <c r="I12" s="12">
        <v>405</v>
      </c>
      <c r="J12" s="12">
        <v>68</v>
      </c>
      <c r="K12" s="12">
        <v>355</v>
      </c>
      <c r="L12" s="12">
        <v>529</v>
      </c>
      <c r="M12" s="12">
        <v>156</v>
      </c>
      <c r="N12" s="12">
        <v>314</v>
      </c>
      <c r="O12" s="12">
        <v>138</v>
      </c>
      <c r="P12" s="12">
        <v>488</v>
      </c>
      <c r="Q12" s="12">
        <v>446</v>
      </c>
      <c r="R12" s="12">
        <v>126</v>
      </c>
      <c r="S12" s="12">
        <v>317</v>
      </c>
      <c r="T12" s="12">
        <v>417</v>
      </c>
      <c r="U12" s="12">
        <v>304</v>
      </c>
      <c r="V12" s="12">
        <v>496</v>
      </c>
      <c r="W12" s="12">
        <v>229</v>
      </c>
      <c r="X12" s="12">
        <v>346</v>
      </c>
      <c r="Y12" s="12">
        <v>425</v>
      </c>
      <c r="Z12" s="12">
        <v>648</v>
      </c>
      <c r="AA12" s="12">
        <v>447</v>
      </c>
      <c r="AB12" s="12">
        <v>464</v>
      </c>
      <c r="AC12" s="12">
        <v>276</v>
      </c>
      <c r="AD12" s="12">
        <v>212</v>
      </c>
      <c r="AE12" s="12">
        <v>312</v>
      </c>
      <c r="AF12" s="12">
        <v>316</v>
      </c>
    </row>
    <row r="13" spans="1:32">
      <c r="A13" s="19"/>
      <c r="B13" s="13" t="s">
        <v>1454</v>
      </c>
      <c r="C13" s="14">
        <v>0.35</v>
      </c>
      <c r="D13" s="14">
        <v>0.34</v>
      </c>
      <c r="E13" s="14">
        <v>0.33</v>
      </c>
      <c r="F13" s="14">
        <v>0.6</v>
      </c>
      <c r="G13" s="14">
        <v>0.45</v>
      </c>
      <c r="H13" s="14">
        <v>0.28000000000000003</v>
      </c>
      <c r="I13" s="14">
        <v>0.26</v>
      </c>
      <c r="J13" s="14">
        <v>0.23</v>
      </c>
      <c r="K13" s="14">
        <v>0.35</v>
      </c>
      <c r="L13" s="14">
        <v>0.53</v>
      </c>
      <c r="M13" s="14">
        <v>0.15</v>
      </c>
      <c r="N13" s="14">
        <v>0.31</v>
      </c>
      <c r="O13" s="14">
        <v>0.14000000000000001</v>
      </c>
      <c r="P13" s="14">
        <v>0.49</v>
      </c>
      <c r="Q13" s="14">
        <v>0.43</v>
      </c>
      <c r="R13" s="14">
        <v>0.25</v>
      </c>
      <c r="S13" s="14">
        <v>0.32</v>
      </c>
      <c r="T13" s="14">
        <v>0.41</v>
      </c>
      <c r="U13" s="14">
        <v>0.6</v>
      </c>
      <c r="V13" s="14">
        <v>0.49</v>
      </c>
      <c r="W13" s="14">
        <v>0.46</v>
      </c>
      <c r="X13" s="14">
        <v>0.34</v>
      </c>
      <c r="Y13" s="14">
        <v>0.43</v>
      </c>
      <c r="Z13" s="14">
        <v>0.64</v>
      </c>
      <c r="AA13" s="14">
        <v>0.43</v>
      </c>
      <c r="AB13" s="14">
        <v>0.44</v>
      </c>
      <c r="AC13" s="14">
        <v>0.28000000000000003</v>
      </c>
      <c r="AD13" s="14">
        <v>0.21</v>
      </c>
      <c r="AE13" s="14">
        <v>0.31</v>
      </c>
      <c r="AF13" s="14">
        <v>0.31</v>
      </c>
    </row>
    <row r="14" spans="1:32">
      <c r="A14" s="19"/>
      <c r="B14" s="11" t="s">
        <v>1455</v>
      </c>
      <c r="C14" s="12">
        <v>14878</v>
      </c>
      <c r="D14" s="12">
        <v>623</v>
      </c>
      <c r="E14" s="12">
        <v>539</v>
      </c>
      <c r="F14" s="12">
        <v>359</v>
      </c>
      <c r="G14" s="12">
        <v>376</v>
      </c>
      <c r="H14" s="12">
        <v>789</v>
      </c>
      <c r="I14" s="12">
        <v>987</v>
      </c>
      <c r="J14" s="12">
        <v>198</v>
      </c>
      <c r="K14" s="12">
        <v>402</v>
      </c>
      <c r="L14" s="12">
        <v>355</v>
      </c>
      <c r="M14" s="12">
        <v>767</v>
      </c>
      <c r="N14" s="12">
        <v>624</v>
      </c>
      <c r="O14" s="12">
        <v>752</v>
      </c>
      <c r="P14" s="12">
        <v>425</v>
      </c>
      <c r="Q14" s="12">
        <v>523</v>
      </c>
      <c r="R14" s="12">
        <v>275</v>
      </c>
      <c r="S14" s="12">
        <v>492</v>
      </c>
      <c r="T14" s="12">
        <v>379</v>
      </c>
      <c r="U14" s="12">
        <v>110</v>
      </c>
      <c r="V14" s="12">
        <v>465</v>
      </c>
      <c r="W14" s="12">
        <v>198</v>
      </c>
      <c r="X14" s="12">
        <v>569</v>
      </c>
      <c r="Y14" s="12">
        <v>442</v>
      </c>
      <c r="Z14" s="12">
        <v>278</v>
      </c>
      <c r="AA14" s="12">
        <v>373</v>
      </c>
      <c r="AB14" s="12">
        <v>506</v>
      </c>
      <c r="AC14" s="12">
        <v>525</v>
      </c>
      <c r="AD14" s="12">
        <v>697</v>
      </c>
      <c r="AE14" s="12">
        <v>594</v>
      </c>
      <c r="AF14" s="12">
        <v>654</v>
      </c>
    </row>
    <row r="15" spans="1:32">
      <c r="A15" s="19"/>
      <c r="B15" s="13" t="s">
        <v>1456</v>
      </c>
      <c r="C15" s="14">
        <v>0.56000000000000005</v>
      </c>
      <c r="D15" s="14">
        <v>0.61</v>
      </c>
      <c r="E15" s="14">
        <v>0.52</v>
      </c>
      <c r="F15" s="14">
        <v>0.34</v>
      </c>
      <c r="G15" s="14">
        <v>0.37</v>
      </c>
      <c r="H15" s="14">
        <v>0.64</v>
      </c>
      <c r="I15" s="14">
        <v>0.65</v>
      </c>
      <c r="J15" s="14">
        <v>0.66</v>
      </c>
      <c r="K15" s="14">
        <v>0.4</v>
      </c>
      <c r="L15" s="14">
        <v>0.35</v>
      </c>
      <c r="M15" s="14">
        <v>0.76</v>
      </c>
      <c r="N15" s="14">
        <v>0.62</v>
      </c>
      <c r="O15" s="14">
        <v>0.75</v>
      </c>
      <c r="P15" s="14">
        <v>0.42</v>
      </c>
      <c r="Q15" s="14">
        <v>0.51</v>
      </c>
      <c r="R15" s="14">
        <v>0.55000000000000004</v>
      </c>
      <c r="S15" s="14">
        <v>0.49</v>
      </c>
      <c r="T15" s="14">
        <v>0.37</v>
      </c>
      <c r="U15" s="14">
        <v>0.21</v>
      </c>
      <c r="V15" s="14">
        <v>0.45</v>
      </c>
      <c r="W15" s="14">
        <v>0.39</v>
      </c>
      <c r="X15" s="14">
        <v>0.57000000000000006</v>
      </c>
      <c r="Y15" s="14">
        <v>0.44</v>
      </c>
      <c r="Z15" s="14">
        <v>0.27</v>
      </c>
      <c r="AA15" s="14">
        <v>0.36</v>
      </c>
      <c r="AB15" s="14">
        <v>0.49</v>
      </c>
      <c r="AC15" s="14">
        <v>0.52</v>
      </c>
      <c r="AD15" s="14">
        <v>0.70000000000000007</v>
      </c>
      <c r="AE15" s="14">
        <v>0.59</v>
      </c>
      <c r="AF15" s="14">
        <v>0.63</v>
      </c>
    </row>
    <row r="16" spans="1:32">
      <c r="A16" s="19"/>
      <c r="B16" s="11" t="s">
        <v>1457</v>
      </c>
      <c r="C16" s="12">
        <v>1891</v>
      </c>
      <c r="D16" s="12">
        <v>43</v>
      </c>
      <c r="E16" s="12">
        <v>120</v>
      </c>
      <c r="F16" s="12">
        <v>57</v>
      </c>
      <c r="G16" s="12">
        <v>150</v>
      </c>
      <c r="H16" s="12">
        <v>87</v>
      </c>
      <c r="I16" s="12">
        <v>116</v>
      </c>
      <c r="J16" s="12">
        <v>29</v>
      </c>
      <c r="K16" s="12">
        <v>213</v>
      </c>
      <c r="L16" s="12">
        <v>87</v>
      </c>
      <c r="M16" s="12">
        <v>77</v>
      </c>
      <c r="N16" s="12">
        <v>54</v>
      </c>
      <c r="O16" s="12">
        <v>82</v>
      </c>
      <c r="P16" s="12">
        <v>70</v>
      </c>
      <c r="Q16" s="12">
        <v>43</v>
      </c>
      <c r="R16" s="12">
        <v>75</v>
      </c>
      <c r="S16" s="12">
        <v>153</v>
      </c>
      <c r="T16" s="12">
        <v>207</v>
      </c>
      <c r="U16" s="12">
        <v>70</v>
      </c>
      <c r="V16" s="12">
        <v>53</v>
      </c>
      <c r="W16" s="12">
        <v>70</v>
      </c>
      <c r="X16" s="12">
        <v>82</v>
      </c>
      <c r="Y16" s="12">
        <v>123</v>
      </c>
      <c r="Z16" s="12">
        <v>59</v>
      </c>
      <c r="AA16" s="12">
        <v>180</v>
      </c>
      <c r="AB16" s="12">
        <v>44</v>
      </c>
      <c r="AC16" s="12">
        <v>183</v>
      </c>
      <c r="AD16" s="12">
        <v>85</v>
      </c>
      <c r="AE16" s="12">
        <v>64</v>
      </c>
      <c r="AF16" s="12">
        <v>42</v>
      </c>
    </row>
    <row r="17" spans="1:32">
      <c r="A17" s="19"/>
      <c r="B17" s="13" t="s">
        <v>1458</v>
      </c>
      <c r="C17" s="14">
        <v>7.0000000000000007E-2</v>
      </c>
      <c r="D17" s="14">
        <v>0.04</v>
      </c>
      <c r="E17" s="14">
        <v>0.11</v>
      </c>
      <c r="F17" s="14">
        <v>0.05</v>
      </c>
      <c r="G17" s="14">
        <v>0.15</v>
      </c>
      <c r="H17" s="14">
        <v>7.0000000000000007E-2</v>
      </c>
      <c r="I17" s="14">
        <v>0.08</v>
      </c>
      <c r="J17" s="14">
        <v>0.1</v>
      </c>
      <c r="K17" s="14">
        <v>0.21</v>
      </c>
      <c r="L17" s="14">
        <v>0.09</v>
      </c>
      <c r="M17" s="14">
        <v>0.08</v>
      </c>
      <c r="N17" s="14">
        <v>0.05</v>
      </c>
      <c r="O17" s="14">
        <v>0.08</v>
      </c>
      <c r="P17" s="14">
        <v>7.0000000000000007E-2</v>
      </c>
      <c r="Q17" s="14">
        <v>0.04</v>
      </c>
      <c r="R17" s="14">
        <v>0.15</v>
      </c>
      <c r="S17" s="14">
        <v>0.15</v>
      </c>
      <c r="T17" s="14">
        <v>0.2</v>
      </c>
      <c r="U17" s="14">
        <v>0.14000000000000001</v>
      </c>
      <c r="V17" s="14">
        <v>0.05</v>
      </c>
      <c r="W17" s="14">
        <v>0.14000000000000001</v>
      </c>
      <c r="X17" s="14">
        <v>0.08</v>
      </c>
      <c r="Y17" s="14">
        <v>0.12</v>
      </c>
      <c r="Z17" s="14">
        <v>0.06</v>
      </c>
      <c r="AA17" s="14">
        <v>0.17</v>
      </c>
      <c r="AB17" s="14">
        <v>0.04</v>
      </c>
      <c r="AC17" s="14">
        <v>0.18</v>
      </c>
      <c r="AD17" s="14">
        <v>0.08</v>
      </c>
      <c r="AE17" s="14">
        <v>7.0000000000000007E-2</v>
      </c>
      <c r="AF17" s="14">
        <v>0.04</v>
      </c>
    </row>
    <row r="18" spans="1:32">
      <c r="A18" s="19"/>
      <c r="B18" s="11" t="s">
        <v>386</v>
      </c>
      <c r="C18" s="12">
        <v>551</v>
      </c>
      <c r="D18" s="12">
        <v>9</v>
      </c>
      <c r="E18" s="12">
        <v>37</v>
      </c>
      <c r="F18" s="12">
        <v>7</v>
      </c>
      <c r="G18" s="12">
        <v>28</v>
      </c>
      <c r="H18" s="12">
        <v>16</v>
      </c>
      <c r="I18" s="12">
        <v>19</v>
      </c>
      <c r="J18" s="12">
        <v>2</v>
      </c>
      <c r="K18" s="12">
        <v>37</v>
      </c>
      <c r="L18" s="12">
        <v>35</v>
      </c>
      <c r="M18" s="12">
        <v>6</v>
      </c>
      <c r="N18" s="12">
        <v>19</v>
      </c>
      <c r="O18" s="12">
        <v>32</v>
      </c>
      <c r="P18" s="12">
        <v>21</v>
      </c>
      <c r="Q18" s="12">
        <v>20</v>
      </c>
      <c r="R18" s="12">
        <v>25</v>
      </c>
      <c r="S18" s="12">
        <v>41</v>
      </c>
      <c r="T18" s="12">
        <v>19</v>
      </c>
      <c r="U18" s="12">
        <v>24</v>
      </c>
      <c r="V18" s="12">
        <v>12</v>
      </c>
      <c r="W18" s="12">
        <v>5</v>
      </c>
      <c r="X18" s="12">
        <v>14</v>
      </c>
      <c r="Y18" s="12">
        <v>13</v>
      </c>
      <c r="Z18" s="12">
        <v>32</v>
      </c>
      <c r="AA18" s="12">
        <v>37</v>
      </c>
      <c r="AB18" s="12">
        <v>28</v>
      </c>
      <c r="AC18" s="12">
        <v>22</v>
      </c>
      <c r="AD18" s="12">
        <v>9</v>
      </c>
      <c r="AE18" s="12">
        <v>31</v>
      </c>
      <c r="AF18" s="12">
        <v>19</v>
      </c>
    </row>
    <row r="19" spans="1:32">
      <c r="A19" s="19"/>
      <c r="B19" s="13" t="s">
        <v>399</v>
      </c>
      <c r="C19" s="14">
        <v>0.02</v>
      </c>
      <c r="D19" s="14">
        <v>0.01</v>
      </c>
      <c r="E19" s="14">
        <v>0.04</v>
      </c>
      <c r="F19" s="14">
        <v>0.01</v>
      </c>
      <c r="G19" s="14">
        <v>0.03</v>
      </c>
      <c r="H19" s="14">
        <v>0.01</v>
      </c>
      <c r="I19" s="14">
        <v>0.01</v>
      </c>
      <c r="J19" s="14">
        <v>0.01</v>
      </c>
      <c r="K19" s="14">
        <v>0.04</v>
      </c>
      <c r="L19" s="14">
        <v>0.03</v>
      </c>
      <c r="M19" s="14">
        <v>0.01</v>
      </c>
      <c r="N19" s="14">
        <v>0.02</v>
      </c>
      <c r="O19" s="14">
        <v>0.03</v>
      </c>
      <c r="P19" s="14">
        <v>0.02</v>
      </c>
      <c r="Q19" s="14">
        <v>0.02</v>
      </c>
      <c r="R19" s="14">
        <v>0.05</v>
      </c>
      <c r="S19" s="14">
        <v>0.04</v>
      </c>
      <c r="T19" s="14">
        <v>0.02</v>
      </c>
      <c r="U19" s="14">
        <v>0.05</v>
      </c>
      <c r="V19" s="14">
        <v>0.01</v>
      </c>
      <c r="W19" s="14">
        <v>0.01</v>
      </c>
      <c r="X19" s="14">
        <v>0.01</v>
      </c>
      <c r="Y19" s="14">
        <v>0.01</v>
      </c>
      <c r="Z19" s="14">
        <v>0.03</v>
      </c>
      <c r="AA19" s="14">
        <v>0.04</v>
      </c>
      <c r="AB19" s="14">
        <v>0.03</v>
      </c>
      <c r="AC19" s="14">
        <v>0.02</v>
      </c>
      <c r="AD19" s="14">
        <v>0.01</v>
      </c>
      <c r="AE19" s="14">
        <v>0.03</v>
      </c>
      <c r="AF19" s="14">
        <v>0.02</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1459</v>
      </c>
      <c r="C3" s="17"/>
      <c r="D3" s="17"/>
      <c r="E3" s="17"/>
      <c r="F3" s="17"/>
      <c r="H3" s="17" t="s">
        <v>1460</v>
      </c>
      <c r="I3" s="17"/>
      <c r="J3" s="17"/>
      <c r="K3" s="17"/>
      <c r="L3" s="17"/>
    </row>
    <row r="4" spans="1:32" ht="27" customHeight="1">
      <c r="B4" s="17" t="s">
        <v>1461</v>
      </c>
      <c r="C4" s="17"/>
      <c r="D4" s="17"/>
      <c r="E4" s="17"/>
      <c r="F4" s="17"/>
      <c r="H4" s="17" t="s">
        <v>1462</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1453</v>
      </c>
      <c r="C12" s="12">
        <v>10098</v>
      </c>
      <c r="D12" s="12">
        <v>345</v>
      </c>
      <c r="E12" s="12">
        <v>470</v>
      </c>
      <c r="F12" s="12">
        <v>483</v>
      </c>
      <c r="G12" s="12">
        <v>483</v>
      </c>
      <c r="H12" s="12">
        <v>361</v>
      </c>
      <c r="I12" s="12">
        <v>441</v>
      </c>
      <c r="J12" s="12">
        <v>79</v>
      </c>
      <c r="K12" s="12">
        <v>375</v>
      </c>
      <c r="L12" s="12">
        <v>519</v>
      </c>
      <c r="M12" s="12">
        <v>261</v>
      </c>
      <c r="N12" s="12">
        <v>357</v>
      </c>
      <c r="O12" s="12">
        <v>205</v>
      </c>
      <c r="P12" s="12">
        <v>496</v>
      </c>
      <c r="Q12" s="12">
        <v>534</v>
      </c>
      <c r="R12" s="12">
        <v>143</v>
      </c>
      <c r="S12" s="12">
        <v>402</v>
      </c>
      <c r="T12" s="12">
        <v>457</v>
      </c>
      <c r="U12" s="12">
        <v>162</v>
      </c>
      <c r="V12" s="12">
        <v>556</v>
      </c>
      <c r="W12" s="12">
        <v>266</v>
      </c>
      <c r="X12" s="12">
        <v>426</v>
      </c>
      <c r="Y12" s="12">
        <v>354</v>
      </c>
      <c r="Z12" s="12">
        <v>579</v>
      </c>
      <c r="AA12" s="12">
        <v>449</v>
      </c>
      <c r="AB12" s="12">
        <v>556</v>
      </c>
      <c r="AC12" s="12">
        <v>266</v>
      </c>
      <c r="AD12" s="12">
        <v>357</v>
      </c>
      <c r="AE12" s="12">
        <v>317</v>
      </c>
      <c r="AF12" s="12">
        <v>399</v>
      </c>
    </row>
    <row r="13" spans="1:32">
      <c r="A13" s="19"/>
      <c r="B13" s="13" t="s">
        <v>1454</v>
      </c>
      <c r="C13" s="14">
        <v>0.38</v>
      </c>
      <c r="D13" s="14">
        <v>0.34</v>
      </c>
      <c r="E13" s="14">
        <v>0.45</v>
      </c>
      <c r="F13" s="14">
        <v>0.45</v>
      </c>
      <c r="G13" s="14">
        <v>0.48</v>
      </c>
      <c r="H13" s="14">
        <v>0.28999999999999998</v>
      </c>
      <c r="I13" s="14">
        <v>0.28999999999999998</v>
      </c>
      <c r="J13" s="14">
        <v>0.27</v>
      </c>
      <c r="K13" s="14">
        <v>0.37</v>
      </c>
      <c r="L13" s="14">
        <v>0.52</v>
      </c>
      <c r="M13" s="14">
        <v>0.26</v>
      </c>
      <c r="N13" s="14">
        <v>0.35</v>
      </c>
      <c r="O13" s="14">
        <v>0.2</v>
      </c>
      <c r="P13" s="14">
        <v>0.49</v>
      </c>
      <c r="Q13" s="14">
        <v>0.52</v>
      </c>
      <c r="R13" s="14">
        <v>0.28999999999999998</v>
      </c>
      <c r="S13" s="14">
        <v>0.4</v>
      </c>
      <c r="T13" s="14">
        <v>0.44</v>
      </c>
      <c r="U13" s="14">
        <v>0.32</v>
      </c>
      <c r="V13" s="14">
        <v>0.54</v>
      </c>
      <c r="W13" s="14">
        <v>0.53</v>
      </c>
      <c r="X13" s="14">
        <v>0.42</v>
      </c>
      <c r="Y13" s="14">
        <v>0.36</v>
      </c>
      <c r="Z13" s="14">
        <v>0.57000000000000006</v>
      </c>
      <c r="AA13" s="14">
        <v>0.43</v>
      </c>
      <c r="AB13" s="14">
        <v>0.53</v>
      </c>
      <c r="AC13" s="14">
        <v>0.26</v>
      </c>
      <c r="AD13" s="14">
        <v>0.36</v>
      </c>
      <c r="AE13" s="14">
        <v>0.32</v>
      </c>
      <c r="AF13" s="14">
        <v>0.39</v>
      </c>
    </row>
    <row r="14" spans="1:32">
      <c r="A14" s="19"/>
      <c r="B14" s="11" t="s">
        <v>1455</v>
      </c>
      <c r="C14" s="12">
        <v>12905</v>
      </c>
      <c r="D14" s="12">
        <v>595</v>
      </c>
      <c r="E14" s="12">
        <v>381</v>
      </c>
      <c r="F14" s="12">
        <v>487</v>
      </c>
      <c r="G14" s="12">
        <v>337</v>
      </c>
      <c r="H14" s="12">
        <v>719</v>
      </c>
      <c r="I14" s="12">
        <v>900</v>
      </c>
      <c r="J14" s="12">
        <v>181</v>
      </c>
      <c r="K14" s="12">
        <v>337</v>
      </c>
      <c r="L14" s="12">
        <v>322</v>
      </c>
      <c r="M14" s="12">
        <v>630</v>
      </c>
      <c r="N14" s="12">
        <v>536</v>
      </c>
      <c r="O14" s="12">
        <v>639</v>
      </c>
      <c r="P14" s="12">
        <v>411</v>
      </c>
      <c r="Q14" s="12">
        <v>405</v>
      </c>
      <c r="R14" s="12">
        <v>242</v>
      </c>
      <c r="S14" s="12">
        <v>332</v>
      </c>
      <c r="T14" s="12">
        <v>273</v>
      </c>
      <c r="U14" s="12">
        <v>244</v>
      </c>
      <c r="V14" s="12">
        <v>376</v>
      </c>
      <c r="W14" s="12">
        <v>128</v>
      </c>
      <c r="X14" s="12">
        <v>449</v>
      </c>
      <c r="Y14" s="12">
        <v>484</v>
      </c>
      <c r="Z14" s="12">
        <v>312</v>
      </c>
      <c r="AA14" s="12">
        <v>266</v>
      </c>
      <c r="AB14" s="12">
        <v>382</v>
      </c>
      <c r="AC14" s="12">
        <v>518</v>
      </c>
      <c r="AD14" s="12">
        <v>523</v>
      </c>
      <c r="AE14" s="12">
        <v>511</v>
      </c>
      <c r="AF14" s="12">
        <v>512</v>
      </c>
    </row>
    <row r="15" spans="1:32">
      <c r="A15" s="19"/>
      <c r="B15" s="13" t="s">
        <v>1456</v>
      </c>
      <c r="C15" s="14">
        <v>0.49</v>
      </c>
      <c r="D15" s="14">
        <v>0.57999999999999996</v>
      </c>
      <c r="E15" s="14">
        <v>0.37</v>
      </c>
      <c r="F15" s="14">
        <v>0.46</v>
      </c>
      <c r="G15" s="14">
        <v>0.33</v>
      </c>
      <c r="H15" s="14">
        <v>0.59</v>
      </c>
      <c r="I15" s="14">
        <v>0.59</v>
      </c>
      <c r="J15" s="14">
        <v>0.61</v>
      </c>
      <c r="K15" s="14">
        <v>0.33</v>
      </c>
      <c r="L15" s="14">
        <v>0.32</v>
      </c>
      <c r="M15" s="14">
        <v>0.63</v>
      </c>
      <c r="N15" s="14">
        <v>0.53</v>
      </c>
      <c r="O15" s="14">
        <v>0.64</v>
      </c>
      <c r="P15" s="14">
        <v>0.41</v>
      </c>
      <c r="Q15" s="14">
        <v>0.39</v>
      </c>
      <c r="R15" s="14">
        <v>0.48</v>
      </c>
      <c r="S15" s="14">
        <v>0.33</v>
      </c>
      <c r="T15" s="14">
        <v>0.27</v>
      </c>
      <c r="U15" s="14">
        <v>0.48</v>
      </c>
      <c r="V15" s="14">
        <v>0.37</v>
      </c>
      <c r="W15" s="14">
        <v>0.25</v>
      </c>
      <c r="X15" s="14">
        <v>0.45</v>
      </c>
      <c r="Y15" s="14">
        <v>0.48</v>
      </c>
      <c r="Z15" s="14">
        <v>0.31</v>
      </c>
      <c r="AA15" s="14">
        <v>0.26</v>
      </c>
      <c r="AB15" s="14">
        <v>0.37</v>
      </c>
      <c r="AC15" s="14">
        <v>0.52</v>
      </c>
      <c r="AD15" s="14">
        <v>0.52</v>
      </c>
      <c r="AE15" s="14">
        <v>0.51</v>
      </c>
      <c r="AF15" s="14">
        <v>0.5</v>
      </c>
    </row>
    <row r="16" spans="1:32">
      <c r="A16" s="19"/>
      <c r="B16" s="11" t="s">
        <v>1457</v>
      </c>
      <c r="C16" s="12">
        <v>2212</v>
      </c>
      <c r="D16" s="12">
        <v>68</v>
      </c>
      <c r="E16" s="12">
        <v>118</v>
      </c>
      <c r="F16" s="12">
        <v>53</v>
      </c>
      <c r="G16" s="12">
        <v>144</v>
      </c>
      <c r="H16" s="12">
        <v>103</v>
      </c>
      <c r="I16" s="12">
        <v>138</v>
      </c>
      <c r="J16" s="12">
        <v>35</v>
      </c>
      <c r="K16" s="12">
        <v>199</v>
      </c>
      <c r="L16" s="12">
        <v>82</v>
      </c>
      <c r="M16" s="12">
        <v>96</v>
      </c>
      <c r="N16" s="12">
        <v>61</v>
      </c>
      <c r="O16" s="12">
        <v>83</v>
      </c>
      <c r="P16" s="12">
        <v>56</v>
      </c>
      <c r="Q16" s="12">
        <v>53</v>
      </c>
      <c r="R16" s="12">
        <v>65</v>
      </c>
      <c r="S16" s="12">
        <v>145</v>
      </c>
      <c r="T16" s="12">
        <v>222</v>
      </c>
      <c r="U16" s="12">
        <v>82</v>
      </c>
      <c r="V16" s="12">
        <v>74</v>
      </c>
      <c r="W16" s="12">
        <v>95</v>
      </c>
      <c r="X16" s="12">
        <v>102</v>
      </c>
      <c r="Y16" s="12">
        <v>133</v>
      </c>
      <c r="Z16" s="12">
        <v>83</v>
      </c>
      <c r="AA16" s="12">
        <v>243</v>
      </c>
      <c r="AB16" s="12">
        <v>62</v>
      </c>
      <c r="AC16" s="12">
        <v>189</v>
      </c>
      <c r="AD16" s="12">
        <v>87</v>
      </c>
      <c r="AE16" s="12">
        <v>86</v>
      </c>
      <c r="AF16" s="12">
        <v>63</v>
      </c>
    </row>
    <row r="17" spans="1:32">
      <c r="A17" s="19"/>
      <c r="B17" s="13" t="s">
        <v>1458</v>
      </c>
      <c r="C17" s="14">
        <v>0.08</v>
      </c>
      <c r="D17" s="14">
        <v>7.0000000000000007E-2</v>
      </c>
      <c r="E17" s="14">
        <v>0.11</v>
      </c>
      <c r="F17" s="14">
        <v>0.05</v>
      </c>
      <c r="G17" s="14">
        <v>0.14000000000000001</v>
      </c>
      <c r="H17" s="14">
        <v>0.08</v>
      </c>
      <c r="I17" s="14">
        <v>0.09</v>
      </c>
      <c r="J17" s="14">
        <v>0.11</v>
      </c>
      <c r="K17" s="14">
        <v>0.2</v>
      </c>
      <c r="L17" s="14">
        <v>0.08</v>
      </c>
      <c r="M17" s="14">
        <v>0.09</v>
      </c>
      <c r="N17" s="14">
        <v>0.06</v>
      </c>
      <c r="O17" s="14">
        <v>0.08</v>
      </c>
      <c r="P17" s="14">
        <v>0.06</v>
      </c>
      <c r="Q17" s="14">
        <v>0.05</v>
      </c>
      <c r="R17" s="14">
        <v>0.13</v>
      </c>
      <c r="S17" s="14">
        <v>0.14000000000000001</v>
      </c>
      <c r="T17" s="14">
        <v>0.22</v>
      </c>
      <c r="U17" s="14">
        <v>0.16</v>
      </c>
      <c r="V17" s="14">
        <v>7.0000000000000007E-2</v>
      </c>
      <c r="W17" s="14">
        <v>0.19</v>
      </c>
      <c r="X17" s="14">
        <v>0.1</v>
      </c>
      <c r="Y17" s="14">
        <v>0.13</v>
      </c>
      <c r="Z17" s="14">
        <v>0.08</v>
      </c>
      <c r="AA17" s="14">
        <v>0.23</v>
      </c>
      <c r="AB17" s="14">
        <v>0.06</v>
      </c>
      <c r="AC17" s="14">
        <v>0.19</v>
      </c>
      <c r="AD17" s="14">
        <v>0.09</v>
      </c>
      <c r="AE17" s="14">
        <v>0.08</v>
      </c>
      <c r="AF17" s="14">
        <v>0.06</v>
      </c>
    </row>
    <row r="18" spans="1:32">
      <c r="A18" s="19"/>
      <c r="B18" s="11" t="s">
        <v>386</v>
      </c>
      <c r="C18" s="12">
        <v>1239</v>
      </c>
      <c r="D18" s="12">
        <v>13</v>
      </c>
      <c r="E18" s="12">
        <v>77</v>
      </c>
      <c r="F18" s="12">
        <v>40</v>
      </c>
      <c r="G18" s="12">
        <v>52</v>
      </c>
      <c r="H18" s="12">
        <v>46</v>
      </c>
      <c r="I18" s="12">
        <v>48</v>
      </c>
      <c r="J18" s="12">
        <v>3</v>
      </c>
      <c r="K18" s="12">
        <v>95</v>
      </c>
      <c r="L18" s="12">
        <v>83</v>
      </c>
      <c r="M18" s="12">
        <v>20</v>
      </c>
      <c r="N18" s="12">
        <v>56</v>
      </c>
      <c r="O18" s="12">
        <v>77</v>
      </c>
      <c r="P18" s="12">
        <v>39</v>
      </c>
      <c r="Q18" s="12">
        <v>39</v>
      </c>
      <c r="R18" s="12">
        <v>52</v>
      </c>
      <c r="S18" s="12">
        <v>125</v>
      </c>
      <c r="T18" s="12">
        <v>70</v>
      </c>
      <c r="U18" s="12">
        <v>19</v>
      </c>
      <c r="V18" s="12">
        <v>20</v>
      </c>
      <c r="W18" s="12">
        <v>13</v>
      </c>
      <c r="X18" s="12">
        <v>34</v>
      </c>
      <c r="Y18" s="12">
        <v>32</v>
      </c>
      <c r="Z18" s="12">
        <v>42</v>
      </c>
      <c r="AA18" s="12">
        <v>80</v>
      </c>
      <c r="AB18" s="12">
        <v>41</v>
      </c>
      <c r="AC18" s="12">
        <v>33</v>
      </c>
      <c r="AD18" s="12">
        <v>35</v>
      </c>
      <c r="AE18" s="12">
        <v>87</v>
      </c>
      <c r="AF18" s="12">
        <v>57</v>
      </c>
    </row>
    <row r="19" spans="1:32">
      <c r="A19" s="19"/>
      <c r="B19" s="13" t="s">
        <v>399</v>
      </c>
      <c r="C19" s="14">
        <v>0.05</v>
      </c>
      <c r="D19" s="14">
        <v>0.01</v>
      </c>
      <c r="E19" s="14">
        <v>7.0000000000000007E-2</v>
      </c>
      <c r="F19" s="14">
        <v>0.04</v>
      </c>
      <c r="G19" s="14">
        <v>0.05</v>
      </c>
      <c r="H19" s="14">
        <v>0.04</v>
      </c>
      <c r="I19" s="14">
        <v>0.03</v>
      </c>
      <c r="J19" s="14">
        <v>0.01</v>
      </c>
      <c r="K19" s="14">
        <v>0.1</v>
      </c>
      <c r="L19" s="14">
        <v>0.08</v>
      </c>
      <c r="M19" s="14">
        <v>0.02</v>
      </c>
      <c r="N19" s="14">
        <v>0.06</v>
      </c>
      <c r="O19" s="14">
        <v>0.08</v>
      </c>
      <c r="P19" s="14">
        <v>0.04</v>
      </c>
      <c r="Q19" s="14">
        <v>0.04</v>
      </c>
      <c r="R19" s="14">
        <v>0.1</v>
      </c>
      <c r="S19" s="14">
        <v>0.13</v>
      </c>
      <c r="T19" s="14">
        <v>7.0000000000000007E-2</v>
      </c>
      <c r="U19" s="14">
        <v>0.04</v>
      </c>
      <c r="V19" s="14">
        <v>0.02</v>
      </c>
      <c r="W19" s="14">
        <v>0.03</v>
      </c>
      <c r="X19" s="14">
        <v>0.03</v>
      </c>
      <c r="Y19" s="14">
        <v>0.03</v>
      </c>
      <c r="Z19" s="14">
        <v>0.04</v>
      </c>
      <c r="AA19" s="14">
        <v>0.08</v>
      </c>
      <c r="AB19" s="14">
        <v>0.04</v>
      </c>
      <c r="AC19" s="14">
        <v>0.03</v>
      </c>
      <c r="AD19" s="14">
        <v>0.03</v>
      </c>
      <c r="AE19" s="14">
        <v>0.09</v>
      </c>
      <c r="AF19" s="14">
        <v>0.05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1463</v>
      </c>
      <c r="C3" s="17"/>
      <c r="D3" s="17"/>
      <c r="E3" s="17"/>
      <c r="F3" s="17"/>
      <c r="H3" s="17" t="s">
        <v>1464</v>
      </c>
      <c r="I3" s="17"/>
      <c r="J3" s="17"/>
      <c r="K3" s="17"/>
      <c r="L3" s="17"/>
    </row>
    <row r="4" spans="1:32" ht="27" customHeight="1">
      <c r="B4" s="17" t="s">
        <v>1465</v>
      </c>
      <c r="C4" s="17"/>
      <c r="D4" s="17"/>
      <c r="E4" s="17"/>
      <c r="F4" s="17"/>
      <c r="H4" s="17" t="s">
        <v>1466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1453</v>
      </c>
      <c r="C12" s="12">
        <v>5860</v>
      </c>
      <c r="D12" s="12">
        <v>161</v>
      </c>
      <c r="E12" s="12">
        <v>332</v>
      </c>
      <c r="F12" s="12">
        <v>430</v>
      </c>
      <c r="G12" s="12">
        <v>32</v>
      </c>
      <c r="H12" s="12">
        <v>105</v>
      </c>
      <c r="I12" s="12">
        <v>147</v>
      </c>
      <c r="J12" s="12">
        <v>43</v>
      </c>
      <c r="K12" s="12">
        <v>251</v>
      </c>
      <c r="L12" s="12">
        <v>142</v>
      </c>
      <c r="M12" s="12">
        <v>239</v>
      </c>
      <c r="N12" s="12">
        <v>160</v>
      </c>
      <c r="O12" s="12">
        <v>128</v>
      </c>
      <c r="P12" s="12">
        <v>371</v>
      </c>
      <c r="Q12" s="12">
        <v>336</v>
      </c>
      <c r="R12" s="12">
        <v>118</v>
      </c>
      <c r="S12" s="12">
        <v>141</v>
      </c>
      <c r="T12" s="12">
        <v>276</v>
      </c>
      <c r="U12" s="12">
        <v>34</v>
      </c>
      <c r="V12" s="12">
        <v>566</v>
      </c>
      <c r="W12" s="12">
        <v>109</v>
      </c>
      <c r="X12" s="12">
        <v>48</v>
      </c>
      <c r="Y12" s="12">
        <v>141</v>
      </c>
      <c r="Z12" s="12">
        <v>514</v>
      </c>
      <c r="AA12" s="12">
        <v>219</v>
      </c>
      <c r="AB12" s="12">
        <v>549</v>
      </c>
      <c r="AC12" s="12">
        <v>128</v>
      </c>
      <c r="AD12" s="12">
        <v>222</v>
      </c>
      <c r="AE12" s="12">
        <v>97</v>
      </c>
      <c r="AF12" s="12">
        <v>50</v>
      </c>
    </row>
    <row r="13" spans="1:32">
      <c r="A13" s="19"/>
      <c r="B13" s="13" t="s">
        <v>1454</v>
      </c>
      <c r="C13" s="14">
        <v>0.22</v>
      </c>
      <c r="D13" s="14">
        <v>0.16</v>
      </c>
      <c r="E13" s="14">
        <v>0.32</v>
      </c>
      <c r="F13" s="14">
        <v>0.4</v>
      </c>
      <c r="G13" s="14">
        <v>0.03</v>
      </c>
      <c r="H13" s="14">
        <v>0.09</v>
      </c>
      <c r="I13" s="14">
        <v>0.1</v>
      </c>
      <c r="J13" s="14">
        <v>0.14000000000000001</v>
      </c>
      <c r="K13" s="14">
        <v>0.25</v>
      </c>
      <c r="L13" s="14">
        <v>0.14000000000000001</v>
      </c>
      <c r="M13" s="14">
        <v>0.24</v>
      </c>
      <c r="N13" s="14">
        <v>0.16</v>
      </c>
      <c r="O13" s="14">
        <v>0.13</v>
      </c>
      <c r="P13" s="14">
        <v>0.37</v>
      </c>
      <c r="Q13" s="14">
        <v>0.32</v>
      </c>
      <c r="R13" s="14">
        <v>0.23</v>
      </c>
      <c r="S13" s="14">
        <v>0.14000000000000001</v>
      </c>
      <c r="T13" s="14">
        <v>0.27</v>
      </c>
      <c r="U13" s="14">
        <v>7.0000000000000007E-2</v>
      </c>
      <c r="V13" s="14">
        <v>0.55000000000000004</v>
      </c>
      <c r="W13" s="14">
        <v>0.22</v>
      </c>
      <c r="X13" s="14">
        <v>0.05</v>
      </c>
      <c r="Y13" s="14">
        <v>0.14000000000000001</v>
      </c>
      <c r="Z13" s="14">
        <v>0.5</v>
      </c>
      <c r="AA13" s="14">
        <v>0.21</v>
      </c>
      <c r="AB13" s="14">
        <v>0.53</v>
      </c>
      <c r="AC13" s="14">
        <v>0.13</v>
      </c>
      <c r="AD13" s="14">
        <v>0.22</v>
      </c>
      <c r="AE13" s="14">
        <v>0.1</v>
      </c>
      <c r="AF13" s="14">
        <v>0.05</v>
      </c>
    </row>
    <row r="14" spans="1:32">
      <c r="A14" s="19"/>
      <c r="B14" s="11" t="s">
        <v>1455</v>
      </c>
      <c r="C14" s="12">
        <v>17092</v>
      </c>
      <c r="D14" s="12">
        <v>806</v>
      </c>
      <c r="E14" s="12">
        <v>404</v>
      </c>
      <c r="F14" s="12">
        <v>508</v>
      </c>
      <c r="G14" s="12">
        <v>925</v>
      </c>
      <c r="H14" s="12">
        <v>1000</v>
      </c>
      <c r="I14" s="12">
        <v>1237</v>
      </c>
      <c r="J14" s="12">
        <v>237</v>
      </c>
      <c r="K14" s="12">
        <v>432</v>
      </c>
      <c r="L14" s="12">
        <v>755</v>
      </c>
      <c r="M14" s="12">
        <v>627</v>
      </c>
      <c r="N14" s="12">
        <v>720</v>
      </c>
      <c r="O14" s="12">
        <v>677</v>
      </c>
      <c r="P14" s="12">
        <v>524</v>
      </c>
      <c r="Q14" s="12">
        <v>593</v>
      </c>
      <c r="R14" s="12">
        <v>209</v>
      </c>
      <c r="S14" s="12">
        <v>470</v>
      </c>
      <c r="T14" s="12">
        <v>426</v>
      </c>
      <c r="U14" s="12">
        <v>409</v>
      </c>
      <c r="V14" s="12">
        <v>349</v>
      </c>
      <c r="W14" s="12">
        <v>244</v>
      </c>
      <c r="X14" s="12">
        <v>928</v>
      </c>
      <c r="Y14" s="12">
        <v>717</v>
      </c>
      <c r="Z14" s="12">
        <v>334</v>
      </c>
      <c r="AA14" s="12">
        <v>518</v>
      </c>
      <c r="AB14" s="12">
        <v>359</v>
      </c>
      <c r="AC14" s="12">
        <v>689</v>
      </c>
      <c r="AD14" s="12">
        <v>622</v>
      </c>
      <c r="AE14" s="12">
        <v>794</v>
      </c>
      <c r="AF14" s="12">
        <v>951</v>
      </c>
    </row>
    <row r="15" spans="1:32">
      <c r="A15" s="19"/>
      <c r="B15" s="13" t="s">
        <v>1456</v>
      </c>
      <c r="C15" s="14">
        <v>0.65</v>
      </c>
      <c r="D15" s="14">
        <v>0.79</v>
      </c>
      <c r="E15" s="14">
        <v>0.39</v>
      </c>
      <c r="F15" s="14">
        <v>0.48</v>
      </c>
      <c r="G15" s="14">
        <v>0.91</v>
      </c>
      <c r="H15" s="14">
        <v>0.81</v>
      </c>
      <c r="I15" s="14">
        <v>0.81</v>
      </c>
      <c r="J15" s="14">
        <v>0.8</v>
      </c>
      <c r="K15" s="14">
        <v>0.43</v>
      </c>
      <c r="L15" s="14">
        <v>0.75</v>
      </c>
      <c r="M15" s="14">
        <v>0.62</v>
      </c>
      <c r="N15" s="14">
        <v>0.71</v>
      </c>
      <c r="O15" s="14">
        <v>0.67</v>
      </c>
      <c r="P15" s="14">
        <v>0.52</v>
      </c>
      <c r="Q15" s="14">
        <v>0.57999999999999996</v>
      </c>
      <c r="R15" s="14">
        <v>0.42</v>
      </c>
      <c r="S15" s="14">
        <v>0.47</v>
      </c>
      <c r="T15" s="14">
        <v>0.42</v>
      </c>
      <c r="U15" s="14">
        <v>0.8</v>
      </c>
      <c r="V15" s="14">
        <v>0.34</v>
      </c>
      <c r="W15" s="14">
        <v>0.48</v>
      </c>
      <c r="X15" s="14">
        <v>0.92</v>
      </c>
      <c r="Y15" s="14">
        <v>0.72</v>
      </c>
      <c r="Z15" s="14">
        <v>0.33</v>
      </c>
      <c r="AA15" s="14">
        <v>0.5</v>
      </c>
      <c r="AB15" s="14">
        <v>0.34</v>
      </c>
      <c r="AC15" s="14">
        <v>0.69000000000000006</v>
      </c>
      <c r="AD15" s="14">
        <v>0.62</v>
      </c>
      <c r="AE15" s="14">
        <v>0.79</v>
      </c>
      <c r="AF15" s="14">
        <v>0.92</v>
      </c>
    </row>
    <row r="16" spans="1:32">
      <c r="A16" s="19"/>
      <c r="B16" s="11" t="s">
        <v>1457</v>
      </c>
      <c r="C16" s="12">
        <v>1461</v>
      </c>
      <c r="D16" s="12">
        <v>38</v>
      </c>
      <c r="E16" s="12">
        <v>117</v>
      </c>
      <c r="F16" s="12">
        <v>58</v>
      </c>
      <c r="G16" s="12">
        <v>34</v>
      </c>
      <c r="H16" s="12">
        <v>78</v>
      </c>
      <c r="I16" s="12">
        <v>89</v>
      </c>
      <c r="J16" s="12">
        <v>11</v>
      </c>
      <c r="K16" s="12">
        <v>143</v>
      </c>
      <c r="L16" s="12">
        <v>58</v>
      </c>
      <c r="M16" s="12">
        <v>70</v>
      </c>
      <c r="N16" s="12">
        <v>33</v>
      </c>
      <c r="O16" s="12">
        <v>68</v>
      </c>
      <c r="P16" s="12">
        <v>48</v>
      </c>
      <c r="Q16" s="12">
        <v>40</v>
      </c>
      <c r="R16" s="12">
        <v>41</v>
      </c>
      <c r="S16" s="12">
        <v>106</v>
      </c>
      <c r="T16" s="12">
        <v>159</v>
      </c>
      <c r="U16" s="12">
        <v>31</v>
      </c>
      <c r="V16" s="12">
        <v>52</v>
      </c>
      <c r="W16" s="12">
        <v>54</v>
      </c>
      <c r="X16" s="12">
        <v>27</v>
      </c>
      <c r="Y16" s="12">
        <v>71</v>
      </c>
      <c r="Z16" s="12">
        <v>80</v>
      </c>
      <c r="AA16" s="12">
        <v>71</v>
      </c>
      <c r="AB16" s="12">
        <v>61</v>
      </c>
      <c r="AC16" s="12">
        <v>113</v>
      </c>
      <c r="AD16" s="12">
        <v>76</v>
      </c>
      <c r="AE16" s="12">
        <v>33</v>
      </c>
      <c r="AF16" s="12">
        <v>13</v>
      </c>
    </row>
    <row r="17" spans="1:32">
      <c r="A17" s="19"/>
      <c r="B17" s="13" t="s">
        <v>1458</v>
      </c>
      <c r="C17" s="14">
        <v>0.05</v>
      </c>
      <c r="D17" s="14">
        <v>0.04</v>
      </c>
      <c r="E17" s="14">
        <v>0.11</v>
      </c>
      <c r="F17" s="14">
        <v>0.05</v>
      </c>
      <c r="G17" s="14">
        <v>0.03</v>
      </c>
      <c r="H17" s="14">
        <v>0.06</v>
      </c>
      <c r="I17" s="14">
        <v>0.06</v>
      </c>
      <c r="J17" s="14">
        <v>0.04</v>
      </c>
      <c r="K17" s="14">
        <v>0.14000000000000001</v>
      </c>
      <c r="L17" s="14">
        <v>0.06</v>
      </c>
      <c r="M17" s="14">
        <v>7.0000000000000007E-2</v>
      </c>
      <c r="N17" s="14">
        <v>0.03</v>
      </c>
      <c r="O17" s="14">
        <v>7.0000000000000007E-2</v>
      </c>
      <c r="P17" s="14">
        <v>0.05</v>
      </c>
      <c r="Q17" s="14">
        <v>0.04</v>
      </c>
      <c r="R17" s="14">
        <v>0.08</v>
      </c>
      <c r="S17" s="14">
        <v>0.1</v>
      </c>
      <c r="T17" s="14">
        <v>0.15</v>
      </c>
      <c r="U17" s="14">
        <v>0.06</v>
      </c>
      <c r="V17" s="14">
        <v>0.05</v>
      </c>
      <c r="W17" s="14">
        <v>0.11</v>
      </c>
      <c r="X17" s="14">
        <v>0.02</v>
      </c>
      <c r="Y17" s="14">
        <v>7.0000000000000007E-2</v>
      </c>
      <c r="Z17" s="14">
        <v>0.08</v>
      </c>
      <c r="AA17" s="14">
        <v>7.0000000000000007E-2</v>
      </c>
      <c r="AB17" s="14">
        <v>0.06</v>
      </c>
      <c r="AC17" s="14">
        <v>0.11</v>
      </c>
      <c r="AD17" s="14">
        <v>0.08</v>
      </c>
      <c r="AE17" s="14">
        <v>0.03</v>
      </c>
      <c r="AF17" s="14">
        <v>0.01</v>
      </c>
    </row>
    <row r="18" spans="1:32">
      <c r="A18" s="19"/>
      <c r="B18" s="11" t="s">
        <v>386</v>
      </c>
      <c r="C18" s="12">
        <v>2040</v>
      </c>
      <c r="D18" s="12">
        <v>16</v>
      </c>
      <c r="E18" s="12">
        <v>194</v>
      </c>
      <c r="F18" s="12">
        <v>69</v>
      </c>
      <c r="G18" s="12">
        <v>24</v>
      </c>
      <c r="H18" s="12">
        <v>47</v>
      </c>
      <c r="I18" s="12">
        <v>53</v>
      </c>
      <c r="J18" s="12">
        <v>7</v>
      </c>
      <c r="K18" s="12">
        <v>179</v>
      </c>
      <c r="L18" s="12">
        <v>51</v>
      </c>
      <c r="M18" s="12">
        <v>71</v>
      </c>
      <c r="N18" s="12">
        <v>98</v>
      </c>
      <c r="O18" s="12">
        <v>131</v>
      </c>
      <c r="P18" s="12">
        <v>60</v>
      </c>
      <c r="Q18" s="12">
        <v>63</v>
      </c>
      <c r="R18" s="12">
        <v>133</v>
      </c>
      <c r="S18" s="12">
        <v>288</v>
      </c>
      <c r="T18" s="12">
        <v>163</v>
      </c>
      <c r="U18" s="12">
        <v>35</v>
      </c>
      <c r="V18" s="12">
        <v>59</v>
      </c>
      <c r="W18" s="12">
        <v>95</v>
      </c>
      <c r="X18" s="12">
        <v>7</v>
      </c>
      <c r="Y18" s="12">
        <v>74</v>
      </c>
      <c r="Z18" s="12">
        <v>88</v>
      </c>
      <c r="AA18" s="12">
        <v>230</v>
      </c>
      <c r="AB18" s="12">
        <v>72</v>
      </c>
      <c r="AC18" s="12">
        <v>74</v>
      </c>
      <c r="AD18" s="12">
        <v>84</v>
      </c>
      <c r="AE18" s="12">
        <v>78</v>
      </c>
      <c r="AF18" s="12">
        <v>18</v>
      </c>
    </row>
    <row r="19" spans="1:32">
      <c r="A19" s="19"/>
      <c r="B19" s="13" t="s">
        <v>399</v>
      </c>
      <c r="C19" s="14">
        <v>0.08</v>
      </c>
      <c r="D19" s="14">
        <v>0.01</v>
      </c>
      <c r="E19" s="14">
        <v>0.18</v>
      </c>
      <c r="F19" s="14">
        <v>7.0000000000000007E-2</v>
      </c>
      <c r="G19" s="14">
        <v>0.03</v>
      </c>
      <c r="H19" s="14">
        <v>0.04</v>
      </c>
      <c r="I19" s="14">
        <v>0.03</v>
      </c>
      <c r="J19" s="14">
        <v>0.02</v>
      </c>
      <c r="K19" s="14">
        <v>0.18</v>
      </c>
      <c r="L19" s="14">
        <v>0.05</v>
      </c>
      <c r="M19" s="14">
        <v>7.0000000000000007E-2</v>
      </c>
      <c r="N19" s="14">
        <v>0.1</v>
      </c>
      <c r="O19" s="14">
        <v>0.13</v>
      </c>
      <c r="P19" s="14">
        <v>0.06</v>
      </c>
      <c r="Q19" s="14">
        <v>0.06</v>
      </c>
      <c r="R19" s="14">
        <v>0.27</v>
      </c>
      <c r="S19" s="14">
        <v>0.28999999999999998</v>
      </c>
      <c r="T19" s="14">
        <v>0.16</v>
      </c>
      <c r="U19" s="14">
        <v>7.0000000000000007E-2</v>
      </c>
      <c r="V19" s="14">
        <v>0.06</v>
      </c>
      <c r="W19" s="14">
        <v>0.19</v>
      </c>
      <c r="X19" s="14">
        <v>0.01</v>
      </c>
      <c r="Y19" s="14">
        <v>7.0000000000000007E-2</v>
      </c>
      <c r="Z19" s="14">
        <v>0.09</v>
      </c>
      <c r="AA19" s="14">
        <v>0.22</v>
      </c>
      <c r="AB19" s="14">
        <v>7.0000000000000007E-2</v>
      </c>
      <c r="AC19" s="14">
        <v>7.0000000000000007E-2</v>
      </c>
      <c r="AD19" s="14">
        <v>0.08</v>
      </c>
      <c r="AE19" s="14">
        <v>0.08</v>
      </c>
      <c r="AF19" s="14">
        <v>0.02</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1467</v>
      </c>
      <c r="C3" s="17"/>
      <c r="D3" s="17"/>
      <c r="E3" s="17"/>
      <c r="F3" s="17"/>
      <c r="H3" s="17" t="s">
        <v>1468</v>
      </c>
      <c r="I3" s="17"/>
      <c r="J3" s="17"/>
      <c r="K3" s="17"/>
      <c r="L3" s="17"/>
    </row>
    <row r="4" spans="1:32" ht="27" customHeight="1">
      <c r="B4" s="17" t="s">
        <v>1469</v>
      </c>
      <c r="C4" s="17"/>
      <c r="D4" s="17"/>
      <c r="E4" s="17"/>
      <c r="F4" s="17"/>
      <c r="H4" s="17" t="s">
        <v>1470</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1453</v>
      </c>
      <c r="C12" s="12">
        <v>20468</v>
      </c>
      <c r="D12" s="12">
        <v>799</v>
      </c>
      <c r="E12" s="12">
        <v>705</v>
      </c>
      <c r="F12" s="12">
        <v>898</v>
      </c>
      <c r="G12" s="12">
        <v>898</v>
      </c>
      <c r="H12" s="12">
        <v>923</v>
      </c>
      <c r="I12" s="12">
        <v>1140</v>
      </c>
      <c r="J12" s="12">
        <v>217</v>
      </c>
      <c r="K12" s="12">
        <v>755</v>
      </c>
      <c r="L12" s="12">
        <v>896</v>
      </c>
      <c r="M12" s="12">
        <v>795</v>
      </c>
      <c r="N12" s="12">
        <v>879</v>
      </c>
      <c r="O12" s="12">
        <v>736</v>
      </c>
      <c r="P12" s="12">
        <v>742</v>
      </c>
      <c r="Q12" s="12">
        <v>800</v>
      </c>
      <c r="R12" s="12">
        <v>414</v>
      </c>
      <c r="S12" s="12">
        <v>805</v>
      </c>
      <c r="T12" s="12">
        <v>840</v>
      </c>
      <c r="U12" s="12">
        <v>432</v>
      </c>
      <c r="V12" s="12">
        <v>777</v>
      </c>
      <c r="W12" s="12">
        <v>428</v>
      </c>
      <c r="X12" s="12">
        <v>863</v>
      </c>
      <c r="Y12" s="12">
        <v>733</v>
      </c>
      <c r="Z12" s="12">
        <v>767</v>
      </c>
      <c r="AA12" s="12">
        <v>688</v>
      </c>
      <c r="AB12" s="12">
        <v>723</v>
      </c>
      <c r="AC12" s="12">
        <v>912</v>
      </c>
      <c r="AD12" s="12">
        <v>770</v>
      </c>
      <c r="AE12" s="12">
        <v>758</v>
      </c>
      <c r="AF12" s="12">
        <v>863</v>
      </c>
    </row>
    <row r="13" spans="1:32">
      <c r="A13" s="19"/>
      <c r="B13" s="13" t="s">
        <v>1454</v>
      </c>
      <c r="C13" s="14">
        <v>0.77</v>
      </c>
      <c r="D13" s="14">
        <v>0.78</v>
      </c>
      <c r="E13" s="14">
        <v>0.68</v>
      </c>
      <c r="F13" s="14">
        <v>0.84</v>
      </c>
      <c r="G13" s="14">
        <v>0.88</v>
      </c>
      <c r="H13" s="14">
        <v>0.75</v>
      </c>
      <c r="I13" s="14">
        <v>0.75</v>
      </c>
      <c r="J13" s="14">
        <v>0.73</v>
      </c>
      <c r="K13" s="14">
        <v>0.75</v>
      </c>
      <c r="L13" s="14">
        <v>0.89</v>
      </c>
      <c r="M13" s="14">
        <v>0.79</v>
      </c>
      <c r="N13" s="14">
        <v>0.87</v>
      </c>
      <c r="O13" s="14">
        <v>0.73</v>
      </c>
      <c r="P13" s="14">
        <v>0.74</v>
      </c>
      <c r="Q13" s="14">
        <v>0.78</v>
      </c>
      <c r="R13" s="14">
        <v>0.83000000000000007</v>
      </c>
      <c r="S13" s="14">
        <v>0.8</v>
      </c>
      <c r="T13" s="14">
        <v>0.82000000000000006</v>
      </c>
      <c r="U13" s="14">
        <v>0.85</v>
      </c>
      <c r="V13" s="14">
        <v>0.76</v>
      </c>
      <c r="W13" s="14">
        <v>0.85</v>
      </c>
      <c r="X13" s="14">
        <v>0.85</v>
      </c>
      <c r="Y13" s="14">
        <v>0.73</v>
      </c>
      <c r="Z13" s="14">
        <v>0.76</v>
      </c>
      <c r="AA13" s="14">
        <v>0.66</v>
      </c>
      <c r="AB13" s="14">
        <v>0.70000000000000007</v>
      </c>
      <c r="AC13" s="14">
        <v>0.91</v>
      </c>
      <c r="AD13" s="14">
        <v>0.77</v>
      </c>
      <c r="AE13" s="14">
        <v>0.76</v>
      </c>
      <c r="AF13" s="14">
        <v>0.84</v>
      </c>
    </row>
    <row r="14" spans="1:32">
      <c r="A14" s="19"/>
      <c r="B14" s="11" t="s">
        <v>1455</v>
      </c>
      <c r="C14" s="12">
        <v>3035</v>
      </c>
      <c r="D14" s="12">
        <v>155</v>
      </c>
      <c r="E14" s="12">
        <v>139</v>
      </c>
      <c r="F14" s="12">
        <v>126</v>
      </c>
      <c r="G14" s="12">
        <v>46</v>
      </c>
      <c r="H14" s="12">
        <v>101</v>
      </c>
      <c r="I14" s="12">
        <v>151</v>
      </c>
      <c r="J14" s="12">
        <v>51</v>
      </c>
      <c r="K14" s="12">
        <v>79</v>
      </c>
      <c r="L14" s="12">
        <v>37</v>
      </c>
      <c r="M14" s="12">
        <v>146</v>
      </c>
      <c r="N14" s="12">
        <v>76</v>
      </c>
      <c r="O14" s="12">
        <v>133</v>
      </c>
      <c r="P14" s="12">
        <v>173</v>
      </c>
      <c r="Q14" s="12">
        <v>145</v>
      </c>
      <c r="R14" s="12">
        <v>22</v>
      </c>
      <c r="S14" s="12">
        <v>78</v>
      </c>
      <c r="T14" s="12">
        <v>41</v>
      </c>
      <c r="U14" s="12">
        <v>26</v>
      </c>
      <c r="V14" s="12">
        <v>144</v>
      </c>
      <c r="W14" s="12">
        <v>25</v>
      </c>
      <c r="X14" s="12">
        <v>49</v>
      </c>
      <c r="Y14" s="12">
        <v>114</v>
      </c>
      <c r="Z14" s="12">
        <v>136</v>
      </c>
      <c r="AA14" s="12">
        <v>88</v>
      </c>
      <c r="AB14" s="12">
        <v>223</v>
      </c>
      <c r="AC14" s="12">
        <v>23</v>
      </c>
      <c r="AD14" s="12">
        <v>157</v>
      </c>
      <c r="AE14" s="12">
        <v>60</v>
      </c>
      <c r="AF14" s="12">
        <v>82</v>
      </c>
    </row>
    <row r="15" spans="1:32">
      <c r="A15" s="19"/>
      <c r="B15" s="13" t="s">
        <v>1456</v>
      </c>
      <c r="C15" s="14">
        <v>0.12</v>
      </c>
      <c r="D15" s="14">
        <v>0.15</v>
      </c>
      <c r="E15" s="14">
        <v>0.13</v>
      </c>
      <c r="F15" s="14">
        <v>0.12</v>
      </c>
      <c r="G15" s="14">
        <v>0.05</v>
      </c>
      <c r="H15" s="14">
        <v>0.08</v>
      </c>
      <c r="I15" s="14">
        <v>0.1</v>
      </c>
      <c r="J15" s="14">
        <v>0.17</v>
      </c>
      <c r="K15" s="14">
        <v>0.08</v>
      </c>
      <c r="L15" s="14">
        <v>0.04</v>
      </c>
      <c r="M15" s="14">
        <v>0.15</v>
      </c>
      <c r="N15" s="14">
        <v>0.08</v>
      </c>
      <c r="O15" s="14">
        <v>0.13</v>
      </c>
      <c r="P15" s="14">
        <v>0.17</v>
      </c>
      <c r="Q15" s="14">
        <v>0.14000000000000001</v>
      </c>
      <c r="R15" s="14">
        <v>0.04</v>
      </c>
      <c r="S15" s="14">
        <v>0.08</v>
      </c>
      <c r="T15" s="14">
        <v>0.04</v>
      </c>
      <c r="U15" s="14">
        <v>0.05</v>
      </c>
      <c r="V15" s="14">
        <v>0.14000000000000001</v>
      </c>
      <c r="W15" s="14">
        <v>0.05</v>
      </c>
      <c r="X15" s="14">
        <v>0.05</v>
      </c>
      <c r="Y15" s="14">
        <v>0.11</v>
      </c>
      <c r="Z15" s="14">
        <v>0.13</v>
      </c>
      <c r="AA15" s="14">
        <v>0.09</v>
      </c>
      <c r="AB15" s="14">
        <v>0.21</v>
      </c>
      <c r="AC15" s="14">
        <v>0.02</v>
      </c>
      <c r="AD15" s="14">
        <v>0.16</v>
      </c>
      <c r="AE15" s="14">
        <v>0.06</v>
      </c>
      <c r="AF15" s="14">
        <v>0.08</v>
      </c>
    </row>
    <row r="16" spans="1:32">
      <c r="A16" s="19"/>
      <c r="B16" s="11" t="s">
        <v>1457</v>
      </c>
      <c r="C16" s="12">
        <v>2620</v>
      </c>
      <c r="D16" s="12">
        <v>60</v>
      </c>
      <c r="E16" s="12">
        <v>168</v>
      </c>
      <c r="F16" s="12">
        <v>19</v>
      </c>
      <c r="G16" s="12">
        <v>66</v>
      </c>
      <c r="H16" s="12">
        <v>195</v>
      </c>
      <c r="I16" s="12">
        <v>224</v>
      </c>
      <c r="J16" s="12">
        <v>29</v>
      </c>
      <c r="K16" s="12">
        <v>135</v>
      </c>
      <c r="L16" s="12">
        <v>62</v>
      </c>
      <c r="M16" s="12">
        <v>61</v>
      </c>
      <c r="N16" s="12">
        <v>50</v>
      </c>
      <c r="O16" s="12">
        <v>114</v>
      </c>
      <c r="P16" s="12">
        <v>79</v>
      </c>
      <c r="Q16" s="12">
        <v>71</v>
      </c>
      <c r="R16" s="12">
        <v>54</v>
      </c>
      <c r="S16" s="12">
        <v>106</v>
      </c>
      <c r="T16" s="12">
        <v>136</v>
      </c>
      <c r="U16" s="12">
        <v>46</v>
      </c>
      <c r="V16" s="12">
        <v>94</v>
      </c>
      <c r="W16" s="12">
        <v>45</v>
      </c>
      <c r="X16" s="12">
        <v>93</v>
      </c>
      <c r="Y16" s="12">
        <v>135</v>
      </c>
      <c r="Z16" s="12">
        <v>95</v>
      </c>
      <c r="AA16" s="12">
        <v>252</v>
      </c>
      <c r="AB16" s="12">
        <v>82</v>
      </c>
      <c r="AC16" s="12">
        <v>63</v>
      </c>
      <c r="AD16" s="12">
        <v>64</v>
      </c>
      <c r="AE16" s="12">
        <v>162</v>
      </c>
      <c r="AF16" s="12">
        <v>78</v>
      </c>
    </row>
    <row r="17" spans="1:32">
      <c r="A17" s="19"/>
      <c r="B17" s="13" t="s">
        <v>1458</v>
      </c>
      <c r="C17" s="14">
        <v>0.1</v>
      </c>
      <c r="D17" s="14">
        <v>0.06</v>
      </c>
      <c r="E17" s="14">
        <v>0.16</v>
      </c>
      <c r="F17" s="14">
        <v>0.02</v>
      </c>
      <c r="G17" s="14">
        <v>0.06</v>
      </c>
      <c r="H17" s="14">
        <v>0.16</v>
      </c>
      <c r="I17" s="14">
        <v>0.14000000000000001</v>
      </c>
      <c r="J17" s="14">
        <v>0.1</v>
      </c>
      <c r="K17" s="14">
        <v>0.13</v>
      </c>
      <c r="L17" s="14">
        <v>0.06</v>
      </c>
      <c r="M17" s="14">
        <v>0.06</v>
      </c>
      <c r="N17" s="14">
        <v>0.05</v>
      </c>
      <c r="O17" s="14">
        <v>0.12</v>
      </c>
      <c r="P17" s="14">
        <v>0.08</v>
      </c>
      <c r="Q17" s="14">
        <v>7.0000000000000007E-2</v>
      </c>
      <c r="R17" s="14">
        <v>0.11</v>
      </c>
      <c r="S17" s="14">
        <v>0.11</v>
      </c>
      <c r="T17" s="14">
        <v>0.13</v>
      </c>
      <c r="U17" s="14">
        <v>0.09</v>
      </c>
      <c r="V17" s="14">
        <v>0.09</v>
      </c>
      <c r="W17" s="14">
        <v>0.09</v>
      </c>
      <c r="X17" s="14">
        <v>0.09</v>
      </c>
      <c r="Y17" s="14">
        <v>0.14000000000000001</v>
      </c>
      <c r="Z17" s="14">
        <v>0.09</v>
      </c>
      <c r="AA17" s="14">
        <v>0.24</v>
      </c>
      <c r="AB17" s="14">
        <v>0.08</v>
      </c>
      <c r="AC17" s="14">
        <v>0.06</v>
      </c>
      <c r="AD17" s="14">
        <v>0.06</v>
      </c>
      <c r="AE17" s="14">
        <v>0.16</v>
      </c>
      <c r="AF17" s="14">
        <v>7.0000000000000007E-2</v>
      </c>
    </row>
    <row r="18" spans="1:32">
      <c r="A18" s="19"/>
      <c r="B18" s="11" t="s">
        <v>386</v>
      </c>
      <c r="C18" s="12">
        <v>330</v>
      </c>
      <c r="D18" s="12">
        <v>6</v>
      </c>
      <c r="E18" s="12">
        <v>33</v>
      </c>
      <c r="F18" s="12">
        <v>20</v>
      </c>
      <c r="G18" s="12">
        <v>6</v>
      </c>
      <c r="H18" s="12">
        <v>11</v>
      </c>
      <c r="I18" s="12">
        <v>12</v>
      </c>
      <c r="J18" s="12">
        <v>1</v>
      </c>
      <c r="K18" s="12">
        <v>38</v>
      </c>
      <c r="L18" s="12">
        <v>11</v>
      </c>
      <c r="M18" s="12">
        <v>4</v>
      </c>
      <c r="N18" s="12">
        <v>5</v>
      </c>
      <c r="O18" s="12">
        <v>21</v>
      </c>
      <c r="P18" s="12">
        <v>9</v>
      </c>
      <c r="Q18" s="12">
        <v>16</v>
      </c>
      <c r="R18" s="12">
        <v>11</v>
      </c>
      <c r="S18" s="12">
        <v>15</v>
      </c>
      <c r="T18" s="12">
        <v>6</v>
      </c>
      <c r="U18" s="12">
        <v>4</v>
      </c>
      <c r="V18" s="12">
        <v>10</v>
      </c>
      <c r="W18" s="12">
        <v>3</v>
      </c>
      <c r="X18" s="12">
        <v>5</v>
      </c>
      <c r="Y18" s="12">
        <v>21</v>
      </c>
      <c r="Z18" s="12">
        <v>18</v>
      </c>
      <c r="AA18" s="12">
        <v>9</v>
      </c>
      <c r="AB18" s="12">
        <v>12</v>
      </c>
      <c r="AC18" s="12">
        <v>6</v>
      </c>
      <c r="AD18" s="12">
        <v>12</v>
      </c>
      <c r="AE18" s="12">
        <v>21</v>
      </c>
      <c r="AF18" s="12">
        <v>7</v>
      </c>
    </row>
    <row r="19" spans="1:32">
      <c r="A19" s="19"/>
      <c r="B19" s="13" t="s">
        <v>399</v>
      </c>
      <c r="C19" s="14">
        <v>0.01</v>
      </c>
      <c r="D19" s="14">
        <v>0.01</v>
      </c>
      <c r="E19" s="14">
        <v>0.03</v>
      </c>
      <c r="F19" s="14">
        <v>0.02</v>
      </c>
      <c r="G19" s="14">
        <v>0.01</v>
      </c>
      <c r="H19" s="14">
        <v>0.01</v>
      </c>
      <c r="I19" s="14">
        <v>0.01</v>
      </c>
      <c r="J19" s="15" t="s">
        <v>375</v>
      </c>
      <c r="K19" s="14">
        <v>0.04</v>
      </c>
      <c r="L19" s="14">
        <v>0.01</v>
      </c>
      <c r="M19" s="15" t="s">
        <v>375</v>
      </c>
      <c r="N19" s="15" t="s">
        <v>375</v>
      </c>
      <c r="O19" s="14">
        <v>0.02</v>
      </c>
      <c r="P19" s="14">
        <v>0.01</v>
      </c>
      <c r="Q19" s="14">
        <v>0.01</v>
      </c>
      <c r="R19" s="14">
        <v>0.02</v>
      </c>
      <c r="S19" s="14">
        <v>0.01</v>
      </c>
      <c r="T19" s="14">
        <v>0.01</v>
      </c>
      <c r="U19" s="14">
        <v>0.01</v>
      </c>
      <c r="V19" s="14">
        <v>0.01</v>
      </c>
      <c r="W19" s="14">
        <v>0.01</v>
      </c>
      <c r="X19" s="14">
        <v>0.01</v>
      </c>
      <c r="Y19" s="14">
        <v>0.02</v>
      </c>
      <c r="Z19" s="14">
        <v>0.02</v>
      </c>
      <c r="AA19" s="14">
        <v>0.01</v>
      </c>
      <c r="AB19" s="14">
        <v>0.01</v>
      </c>
      <c r="AC19" s="14">
        <v>0.01</v>
      </c>
      <c r="AD19" s="14">
        <v>0.01</v>
      </c>
      <c r="AE19" s="14">
        <v>0.02</v>
      </c>
      <c r="AF19" s="14">
        <v>0.01</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1471</v>
      </c>
      <c r="C3" s="17"/>
      <c r="D3" s="17"/>
      <c r="E3" s="17"/>
      <c r="F3" s="17"/>
      <c r="H3" s="17" t="s">
        <v>1472</v>
      </c>
      <c r="I3" s="17"/>
      <c r="J3" s="17"/>
      <c r="K3" s="17"/>
      <c r="L3" s="17"/>
    </row>
    <row r="4" spans="1:32" ht="27" customHeight="1">
      <c r="B4" s="17" t="s">
        <v>1473</v>
      </c>
      <c r="C4" s="17"/>
      <c r="D4" s="17"/>
      <c r="E4" s="17"/>
      <c r="F4" s="17"/>
      <c r="H4" s="17" t="s">
        <v>1474</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HYPERLINK("#Content!A159","&lt;&lt;Back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1475</v>
      </c>
      <c r="C12" s="12">
        <v>6540</v>
      </c>
      <c r="D12" s="12">
        <v>198</v>
      </c>
      <c r="E12" s="12">
        <v>304</v>
      </c>
      <c r="F12" s="12">
        <v>178</v>
      </c>
      <c r="G12" s="12">
        <v>297</v>
      </c>
      <c r="H12" s="12">
        <v>383</v>
      </c>
      <c r="I12" s="12">
        <v>462</v>
      </c>
      <c r="J12" s="12">
        <v>79</v>
      </c>
      <c r="K12" s="12">
        <v>186</v>
      </c>
      <c r="L12" s="12">
        <v>243</v>
      </c>
      <c r="M12" s="12">
        <v>391</v>
      </c>
      <c r="N12" s="12">
        <v>199</v>
      </c>
      <c r="O12" s="12">
        <v>223</v>
      </c>
      <c r="P12" s="12">
        <v>140</v>
      </c>
      <c r="Q12" s="12">
        <v>272</v>
      </c>
      <c r="R12" s="12">
        <v>93</v>
      </c>
      <c r="S12" s="12">
        <v>193</v>
      </c>
      <c r="T12" s="12">
        <v>167</v>
      </c>
      <c r="U12" s="12">
        <v>132</v>
      </c>
      <c r="V12" s="12">
        <v>210</v>
      </c>
      <c r="W12" s="12">
        <v>175</v>
      </c>
      <c r="X12" s="12">
        <v>519</v>
      </c>
      <c r="Y12" s="12">
        <v>293</v>
      </c>
      <c r="Z12" s="12">
        <v>137</v>
      </c>
      <c r="AA12" s="12">
        <v>150</v>
      </c>
      <c r="AB12" s="12">
        <v>158</v>
      </c>
      <c r="AC12" s="12">
        <v>120</v>
      </c>
      <c r="AD12" s="12">
        <v>221</v>
      </c>
      <c r="AE12" s="12">
        <v>275</v>
      </c>
      <c r="AF12" s="12">
        <v>386</v>
      </c>
    </row>
    <row r="13" spans="1:32">
      <c r="A13" s="19"/>
      <c r="B13" s="13" t="s">
        <v>1476</v>
      </c>
      <c r="C13" s="14">
        <v>0.25</v>
      </c>
      <c r="D13" s="14">
        <v>0.19</v>
      </c>
      <c r="E13" s="14">
        <v>0.28999999999999998</v>
      </c>
      <c r="F13" s="14">
        <v>0.17</v>
      </c>
      <c r="G13" s="14">
        <v>0.28999999999999998</v>
      </c>
      <c r="H13" s="14">
        <v>0.31</v>
      </c>
      <c r="I13" s="14">
        <v>0.3</v>
      </c>
      <c r="J13" s="14">
        <v>0.27</v>
      </c>
      <c r="K13" s="14">
        <v>0.19</v>
      </c>
      <c r="L13" s="14">
        <v>0.24</v>
      </c>
      <c r="M13" s="14">
        <v>0.39</v>
      </c>
      <c r="N13" s="14">
        <v>0.2</v>
      </c>
      <c r="O13" s="14">
        <v>0.22</v>
      </c>
      <c r="P13" s="14">
        <v>0.14000000000000001</v>
      </c>
      <c r="Q13" s="14">
        <v>0.26</v>
      </c>
      <c r="R13" s="14">
        <v>0.18</v>
      </c>
      <c r="S13" s="14">
        <v>0.19</v>
      </c>
      <c r="T13" s="14">
        <v>0.16</v>
      </c>
      <c r="U13" s="14">
        <v>0.26</v>
      </c>
      <c r="V13" s="14">
        <v>0.21</v>
      </c>
      <c r="W13" s="14">
        <v>0.35</v>
      </c>
      <c r="X13" s="14">
        <v>0.51</v>
      </c>
      <c r="Y13" s="14">
        <v>0.28999999999999998</v>
      </c>
      <c r="Z13" s="14">
        <v>0.13</v>
      </c>
      <c r="AA13" s="14">
        <v>0.15</v>
      </c>
      <c r="AB13" s="14">
        <v>0.15</v>
      </c>
      <c r="AC13" s="14">
        <v>0.12</v>
      </c>
      <c r="AD13" s="14">
        <v>0.22</v>
      </c>
      <c r="AE13" s="14">
        <v>0.27</v>
      </c>
      <c r="AF13" s="14">
        <v>0.38</v>
      </c>
    </row>
    <row r="14" spans="1:32">
      <c r="A14" s="19"/>
      <c r="B14" s="11" t="s">
        <v>1477</v>
      </c>
      <c r="C14" s="12">
        <v>15123</v>
      </c>
      <c r="D14" s="12">
        <v>602</v>
      </c>
      <c r="E14" s="12">
        <v>633</v>
      </c>
      <c r="F14" s="12">
        <v>662</v>
      </c>
      <c r="G14" s="12">
        <v>557</v>
      </c>
      <c r="H14" s="12">
        <v>758</v>
      </c>
      <c r="I14" s="12">
        <v>952</v>
      </c>
      <c r="J14" s="12">
        <v>195</v>
      </c>
      <c r="K14" s="12">
        <v>606</v>
      </c>
      <c r="L14" s="12">
        <v>519</v>
      </c>
      <c r="M14" s="12">
        <v>510</v>
      </c>
      <c r="N14" s="12">
        <v>501</v>
      </c>
      <c r="O14" s="12">
        <v>487</v>
      </c>
      <c r="P14" s="12">
        <v>644</v>
      </c>
      <c r="Q14" s="12">
        <v>590</v>
      </c>
      <c r="R14" s="12">
        <v>239</v>
      </c>
      <c r="S14" s="12">
        <v>556</v>
      </c>
      <c r="T14" s="12">
        <v>645</v>
      </c>
      <c r="U14" s="12">
        <v>279</v>
      </c>
      <c r="V14" s="12">
        <v>688</v>
      </c>
      <c r="W14" s="12">
        <v>244</v>
      </c>
      <c r="X14" s="12">
        <v>423</v>
      </c>
      <c r="Y14" s="12">
        <v>569</v>
      </c>
      <c r="Z14" s="12">
        <v>710</v>
      </c>
      <c r="AA14" s="12">
        <v>613</v>
      </c>
      <c r="AB14" s="12">
        <v>693</v>
      </c>
      <c r="AC14" s="12">
        <v>668</v>
      </c>
      <c r="AD14" s="12">
        <v>675</v>
      </c>
      <c r="AE14" s="12">
        <v>558</v>
      </c>
      <c r="AF14" s="12">
        <v>550</v>
      </c>
    </row>
    <row r="15" spans="1:32">
      <c r="A15" s="19"/>
      <c r="B15" s="13" t="s">
        <v>1478</v>
      </c>
      <c r="C15" s="14">
        <v>0.57000000000000006</v>
      </c>
      <c r="D15" s="14">
        <v>0.59</v>
      </c>
      <c r="E15" s="14">
        <v>0.61</v>
      </c>
      <c r="F15" s="14">
        <v>0.62</v>
      </c>
      <c r="G15" s="14">
        <v>0.55000000000000004</v>
      </c>
      <c r="H15" s="14">
        <v>0.62</v>
      </c>
      <c r="I15" s="14">
        <v>0.62</v>
      </c>
      <c r="J15" s="14">
        <v>0.65</v>
      </c>
      <c r="K15" s="14">
        <v>0.6</v>
      </c>
      <c r="L15" s="14">
        <v>0.52</v>
      </c>
      <c r="M15" s="14">
        <v>0.51</v>
      </c>
      <c r="N15" s="14">
        <v>0.49</v>
      </c>
      <c r="O15" s="14">
        <v>0.49</v>
      </c>
      <c r="P15" s="14">
        <v>0.64</v>
      </c>
      <c r="Q15" s="14">
        <v>0.57000000000000006</v>
      </c>
      <c r="R15" s="14">
        <v>0.48</v>
      </c>
      <c r="S15" s="14">
        <v>0.55000000000000004</v>
      </c>
      <c r="T15" s="14">
        <v>0.63</v>
      </c>
      <c r="U15" s="14">
        <v>0.55000000000000004</v>
      </c>
      <c r="V15" s="14">
        <v>0.67</v>
      </c>
      <c r="W15" s="14">
        <v>0.49</v>
      </c>
      <c r="X15" s="14">
        <v>0.42</v>
      </c>
      <c r="Y15" s="14">
        <v>0.57000000000000006</v>
      </c>
      <c r="Z15" s="14">
        <v>0.70000000000000007</v>
      </c>
      <c r="AA15" s="14">
        <v>0.59</v>
      </c>
      <c r="AB15" s="14">
        <v>0.67</v>
      </c>
      <c r="AC15" s="14">
        <v>0.66</v>
      </c>
      <c r="AD15" s="14">
        <v>0.67</v>
      </c>
      <c r="AE15" s="14">
        <v>0.56000000000000005</v>
      </c>
      <c r="AF15" s="14">
        <v>0.53</v>
      </c>
    </row>
    <row r="16" spans="1:32">
      <c r="A16" s="19"/>
      <c r="B16" s="11" t="s">
        <v>1416</v>
      </c>
      <c r="C16" s="12">
        <v>4773</v>
      </c>
      <c r="D16" s="12">
        <v>221</v>
      </c>
      <c r="E16" s="12">
        <v>108</v>
      </c>
      <c r="F16" s="12">
        <v>223</v>
      </c>
      <c r="G16" s="12">
        <v>162</v>
      </c>
      <c r="H16" s="12">
        <v>89</v>
      </c>
      <c r="I16" s="12">
        <v>113</v>
      </c>
      <c r="J16" s="12">
        <v>24</v>
      </c>
      <c r="K16" s="12">
        <v>211</v>
      </c>
      <c r="L16" s="12">
        <v>243</v>
      </c>
      <c r="M16" s="12">
        <v>107</v>
      </c>
      <c r="N16" s="12">
        <v>311</v>
      </c>
      <c r="O16" s="12">
        <v>294</v>
      </c>
      <c r="P16" s="12">
        <v>219</v>
      </c>
      <c r="Q16" s="12">
        <v>169</v>
      </c>
      <c r="R16" s="12">
        <v>166</v>
      </c>
      <c r="S16" s="12">
        <v>255</v>
      </c>
      <c r="T16" s="12">
        <v>209</v>
      </c>
      <c r="U16" s="12">
        <v>95</v>
      </c>
      <c r="V16" s="12">
        <v>126</v>
      </c>
      <c r="W16" s="12">
        <v>82</v>
      </c>
      <c r="X16" s="12">
        <v>65</v>
      </c>
      <c r="Y16" s="12">
        <v>140</v>
      </c>
      <c r="Z16" s="12">
        <v>168</v>
      </c>
      <c r="AA16" s="12">
        <v>273</v>
      </c>
      <c r="AB16" s="12">
        <v>190</v>
      </c>
      <c r="AC16" s="12">
        <v>216</v>
      </c>
      <c r="AD16" s="12">
        <v>105</v>
      </c>
      <c r="AE16" s="12">
        <v>166</v>
      </c>
      <c r="AF16" s="12">
        <v>94</v>
      </c>
    </row>
    <row r="17" spans="1:32">
      <c r="A17" s="19"/>
      <c r="B17" s="13" t="s">
        <v>1417</v>
      </c>
      <c r="C17" s="14">
        <v>0.18</v>
      </c>
      <c r="D17" s="14">
        <v>0.22</v>
      </c>
      <c r="E17" s="14">
        <v>0.1</v>
      </c>
      <c r="F17" s="14">
        <v>0.21</v>
      </c>
      <c r="G17" s="14">
        <v>0.16</v>
      </c>
      <c r="H17" s="14">
        <v>7.0000000000000007E-2</v>
      </c>
      <c r="I17" s="14">
        <v>0.08</v>
      </c>
      <c r="J17" s="14">
        <v>0.08</v>
      </c>
      <c r="K17" s="14">
        <v>0.21</v>
      </c>
      <c r="L17" s="14">
        <v>0.24</v>
      </c>
      <c r="M17" s="14">
        <v>0.1</v>
      </c>
      <c r="N17" s="14">
        <v>0.31</v>
      </c>
      <c r="O17" s="14">
        <v>0.28999999999999998</v>
      </c>
      <c r="P17" s="14">
        <v>0.22</v>
      </c>
      <c r="Q17" s="14">
        <v>0.17</v>
      </c>
      <c r="R17" s="14">
        <v>0.33</v>
      </c>
      <c r="S17" s="14">
        <v>0.26</v>
      </c>
      <c r="T17" s="14">
        <v>0.21</v>
      </c>
      <c r="U17" s="14">
        <v>0.19</v>
      </c>
      <c r="V17" s="14">
        <v>0.12</v>
      </c>
      <c r="W17" s="14">
        <v>0.16</v>
      </c>
      <c r="X17" s="14">
        <v>7.0000000000000007E-2</v>
      </c>
      <c r="Y17" s="14">
        <v>0.14000000000000001</v>
      </c>
      <c r="Z17" s="14">
        <v>0.17</v>
      </c>
      <c r="AA17" s="14">
        <v>0.26</v>
      </c>
      <c r="AB17" s="14">
        <v>0.18</v>
      </c>
      <c r="AC17" s="14">
        <v>0.22</v>
      </c>
      <c r="AD17" s="14">
        <v>0.11</v>
      </c>
      <c r="AE17" s="14">
        <v>0.17</v>
      </c>
      <c r="AF17" s="14">
        <v>0.09</v>
      </c>
    </row>
    <row r="18" spans="1:32">
      <c r="A18" s="19"/>
      <c r="B18" s="11" t="s">
        <v>386</v>
      </c>
      <c r="C18" s="12">
        <v>16</v>
      </c>
      <c r="D18" s="12">
        <v>1</v>
      </c>
      <c r="E18" s="12">
        <v>2</v>
      </c>
      <c r="F18" s="12">
        <v>1</v>
      </c>
      <c r="G18" s="12">
        <v>0</v>
      </c>
      <c r="H18" s="12">
        <v>0</v>
      </c>
      <c r="I18" s="12">
        <v>0</v>
      </c>
      <c r="J18" s="12">
        <v>0</v>
      </c>
      <c r="K18" s="12">
        <v>4</v>
      </c>
      <c r="L18" s="12">
        <v>1</v>
      </c>
      <c r="M18" s="12">
        <v>0</v>
      </c>
      <c r="N18" s="12">
        <v>0</v>
      </c>
      <c r="O18" s="12">
        <v>0</v>
      </c>
      <c r="P18" s="12">
        <v>0</v>
      </c>
      <c r="Q18" s="12">
        <v>0</v>
      </c>
      <c r="R18" s="12">
        <v>3</v>
      </c>
      <c r="S18" s="12">
        <v>1</v>
      </c>
      <c r="T18" s="12">
        <v>2</v>
      </c>
      <c r="U18" s="12">
        <v>1</v>
      </c>
      <c r="V18" s="12">
        <v>2</v>
      </c>
      <c r="W18" s="12">
        <v>0</v>
      </c>
      <c r="X18" s="12">
        <v>3</v>
      </c>
      <c r="Y18" s="12">
        <v>1</v>
      </c>
      <c r="Z18" s="12">
        <v>2</v>
      </c>
      <c r="AA18" s="12">
        <v>2</v>
      </c>
      <c r="AB18" s="12">
        <v>1</v>
      </c>
      <c r="AC18" s="12">
        <v>2</v>
      </c>
      <c r="AD18" s="12">
        <v>2</v>
      </c>
      <c r="AE18" s="12">
        <v>1</v>
      </c>
      <c r="AF18" s="12">
        <v>1</v>
      </c>
    </row>
    <row r="19" spans="1:32">
      <c r="A19" s="19"/>
      <c r="B19" s="13" t="s">
        <v>399</v>
      </c>
      <c r="C19" s="15" t="s">
        <v>375</v>
      </c>
      <c r="D19" s="15" t="s">
        <v>375</v>
      </c>
      <c r="E19" s="15" t="s">
        <v>375</v>
      </c>
      <c r="F19" s="15" t="s">
        <v>375</v>
      </c>
      <c r="G19" s="15" t="s">
        <v>375</v>
      </c>
      <c r="H19" s="15" t="s">
        <v>375</v>
      </c>
      <c r="I19" s="15" t="s">
        <v>375</v>
      </c>
      <c r="J19" s="15" t="s">
        <v>375</v>
      </c>
      <c r="K19" s="15" t="s">
        <v>375</v>
      </c>
      <c r="L19" s="15" t="s">
        <v>375</v>
      </c>
      <c r="M19" s="15" t="s">
        <v>375</v>
      </c>
      <c r="N19" s="15" t="s">
        <v>375</v>
      </c>
      <c r="O19" s="15" t="s">
        <v>375</v>
      </c>
      <c r="P19" s="15" t="s">
        <v>375</v>
      </c>
      <c r="Q19" s="15" t="s">
        <v>375</v>
      </c>
      <c r="R19" s="14">
        <v>0.01</v>
      </c>
      <c r="S19" s="15" t="s">
        <v>375</v>
      </c>
      <c r="T19" s="15" t="s">
        <v>375</v>
      </c>
      <c r="U19" s="15" t="s">
        <v>375</v>
      </c>
      <c r="V19" s="15" t="s">
        <v>375</v>
      </c>
      <c r="W19" s="15" t="s">
        <v>375</v>
      </c>
      <c r="X19" s="15" t="s">
        <v>375</v>
      </c>
      <c r="Y19" s="15" t="s">
        <v>375</v>
      </c>
      <c r="Z19" s="15" t="s">
        <v>375</v>
      </c>
      <c r="AA19" s="15" t="s">
        <v>375</v>
      </c>
      <c r="AB19" s="15" t="s">
        <v>375</v>
      </c>
      <c r="AC19" s="15" t="s">
        <v>375</v>
      </c>
      <c r="AD19" s="15" t="s">
        <v>375</v>
      </c>
      <c r="AE19" s="15" t="s">
        <v>375</v>
      </c>
      <c r="AF19" s="15" t="s">
        <v>375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1479</v>
      </c>
      <c r="C3" s="17"/>
      <c r="D3" s="17"/>
      <c r="E3" s="17"/>
      <c r="F3" s="17"/>
      <c r="H3" s="17" t="s">
        <v>1480</v>
      </c>
      <c r="I3" s="17"/>
      <c r="J3" s="17"/>
      <c r="K3" s="17"/>
      <c r="L3" s="17"/>
    </row>
    <row r="4" spans="1:32" ht="27" customHeight="1">
      <c r="B4" s="17" t="s">
        <v>1481</v>
      </c>
      <c r="C4" s="17"/>
      <c r="D4" s="17"/>
      <c r="E4" s="17"/>
      <c r="F4" s="17"/>
      <c r="H4" s="17" t="s">
        <v>1482</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1475</v>
      </c>
      <c r="C12" s="12">
        <v>3885</v>
      </c>
      <c r="D12" s="12">
        <v>153</v>
      </c>
      <c r="E12" s="12">
        <v>178</v>
      </c>
      <c r="F12" s="12">
        <v>95</v>
      </c>
      <c r="G12" s="12">
        <v>184</v>
      </c>
      <c r="H12" s="12">
        <v>210</v>
      </c>
      <c r="I12" s="12">
        <v>255</v>
      </c>
      <c r="J12" s="12">
        <v>45</v>
      </c>
      <c r="K12" s="12">
        <v>123</v>
      </c>
      <c r="L12" s="12">
        <v>159</v>
      </c>
      <c r="M12" s="12">
        <v>239</v>
      </c>
      <c r="N12" s="12">
        <v>108</v>
      </c>
      <c r="O12" s="12">
        <v>110</v>
      </c>
      <c r="P12" s="12">
        <v>105</v>
      </c>
      <c r="Q12" s="12">
        <v>172</v>
      </c>
      <c r="R12" s="12">
        <v>57</v>
      </c>
      <c r="S12" s="12">
        <v>149</v>
      </c>
      <c r="T12" s="12">
        <v>161</v>
      </c>
      <c r="U12" s="12">
        <v>151</v>
      </c>
      <c r="V12" s="12">
        <v>154</v>
      </c>
      <c r="W12" s="12">
        <v>82</v>
      </c>
      <c r="X12" s="12">
        <v>270</v>
      </c>
      <c r="Y12" s="12">
        <v>206</v>
      </c>
      <c r="Z12" s="12">
        <v>94</v>
      </c>
      <c r="AA12" s="12">
        <v>117</v>
      </c>
      <c r="AB12" s="12">
        <v>127</v>
      </c>
      <c r="AC12" s="12">
        <v>70</v>
      </c>
      <c r="AD12" s="12">
        <v>219</v>
      </c>
      <c r="AE12" s="12">
        <v>169</v>
      </c>
      <c r="AF12" s="12">
        <v>214</v>
      </c>
    </row>
    <row r="13" spans="1:32">
      <c r="A13" s="19"/>
      <c r="B13" s="13" t="s">
        <v>1476</v>
      </c>
      <c r="C13" s="14">
        <v>0.15</v>
      </c>
      <c r="D13" s="14">
        <v>0.15</v>
      </c>
      <c r="E13" s="14">
        <v>0.17</v>
      </c>
      <c r="F13" s="14">
        <v>0.09</v>
      </c>
      <c r="G13" s="14">
        <v>0.18</v>
      </c>
      <c r="H13" s="14">
        <v>0.17</v>
      </c>
      <c r="I13" s="14">
        <v>0.17</v>
      </c>
      <c r="J13" s="14">
        <v>0.15</v>
      </c>
      <c r="K13" s="14">
        <v>0.12</v>
      </c>
      <c r="L13" s="14">
        <v>0.16</v>
      </c>
      <c r="M13" s="14">
        <v>0.24</v>
      </c>
      <c r="N13" s="14">
        <v>0.11</v>
      </c>
      <c r="O13" s="14">
        <v>0.11</v>
      </c>
      <c r="P13" s="14">
        <v>0.11</v>
      </c>
      <c r="Q13" s="14">
        <v>0.17</v>
      </c>
      <c r="R13" s="14">
        <v>0.11</v>
      </c>
      <c r="S13" s="14">
        <v>0.15</v>
      </c>
      <c r="T13" s="14">
        <v>0.16</v>
      </c>
      <c r="U13" s="14">
        <v>0.3</v>
      </c>
      <c r="V13" s="14">
        <v>0.15</v>
      </c>
      <c r="W13" s="14">
        <v>0.16</v>
      </c>
      <c r="X13" s="14">
        <v>0.27</v>
      </c>
      <c r="Y13" s="14">
        <v>0.21</v>
      </c>
      <c r="Z13" s="14">
        <v>0.09</v>
      </c>
      <c r="AA13" s="14">
        <v>0.11</v>
      </c>
      <c r="AB13" s="14">
        <v>0.12</v>
      </c>
      <c r="AC13" s="14">
        <v>7.0000000000000007E-2</v>
      </c>
      <c r="AD13" s="14">
        <v>0.22</v>
      </c>
      <c r="AE13" s="14">
        <v>0.17</v>
      </c>
      <c r="AF13" s="14">
        <v>0.21</v>
      </c>
    </row>
    <row r="14" spans="1:32">
      <c r="A14" s="19"/>
      <c r="B14" s="11" t="s">
        <v>1477</v>
      </c>
      <c r="C14" s="12">
        <v>14702</v>
      </c>
      <c r="D14" s="12">
        <v>581</v>
      </c>
      <c r="E14" s="12">
        <v>642</v>
      </c>
      <c r="F14" s="12">
        <v>636</v>
      </c>
      <c r="G14" s="12">
        <v>599</v>
      </c>
      <c r="H14" s="12">
        <v>815</v>
      </c>
      <c r="I14" s="12">
        <v>999</v>
      </c>
      <c r="J14" s="12">
        <v>184</v>
      </c>
      <c r="K14" s="12">
        <v>560</v>
      </c>
      <c r="L14" s="12">
        <v>481</v>
      </c>
      <c r="M14" s="12">
        <v>570</v>
      </c>
      <c r="N14" s="12">
        <v>453</v>
      </c>
      <c r="O14" s="12">
        <v>401</v>
      </c>
      <c r="P14" s="12">
        <v>602</v>
      </c>
      <c r="Q14" s="12">
        <v>591</v>
      </c>
      <c r="R14" s="12">
        <v>226</v>
      </c>
      <c r="S14" s="12">
        <v>516</v>
      </c>
      <c r="T14" s="12">
        <v>613</v>
      </c>
      <c r="U14" s="12">
        <v>281</v>
      </c>
      <c r="V14" s="12">
        <v>671</v>
      </c>
      <c r="W14" s="12">
        <v>281</v>
      </c>
      <c r="X14" s="12">
        <v>535</v>
      </c>
      <c r="Y14" s="12">
        <v>610</v>
      </c>
      <c r="Z14" s="12">
        <v>674</v>
      </c>
      <c r="AA14" s="12">
        <v>450</v>
      </c>
      <c r="AB14" s="12">
        <v>593</v>
      </c>
      <c r="AC14" s="12">
        <v>637</v>
      </c>
      <c r="AD14" s="12">
        <v>645</v>
      </c>
      <c r="AE14" s="12">
        <v>583</v>
      </c>
      <c r="AF14" s="12">
        <v>646</v>
      </c>
    </row>
    <row r="15" spans="1:32">
      <c r="A15" s="19"/>
      <c r="B15" s="13" t="s">
        <v>1478</v>
      </c>
      <c r="C15" s="14">
        <v>0.56000000000000005</v>
      </c>
      <c r="D15" s="14">
        <v>0.57000000000000006</v>
      </c>
      <c r="E15" s="14">
        <v>0.61</v>
      </c>
      <c r="F15" s="14">
        <v>0.6</v>
      </c>
      <c r="G15" s="14">
        <v>0.59</v>
      </c>
      <c r="H15" s="14">
        <v>0.66</v>
      </c>
      <c r="I15" s="14">
        <v>0.65</v>
      </c>
      <c r="J15" s="14">
        <v>0.62</v>
      </c>
      <c r="K15" s="14">
        <v>0.56000000000000005</v>
      </c>
      <c r="L15" s="14">
        <v>0.48</v>
      </c>
      <c r="M15" s="14">
        <v>0.56000000000000005</v>
      </c>
      <c r="N15" s="14">
        <v>0.45</v>
      </c>
      <c r="O15" s="14">
        <v>0.4</v>
      </c>
      <c r="P15" s="14">
        <v>0.6</v>
      </c>
      <c r="Q15" s="14">
        <v>0.57000000000000006</v>
      </c>
      <c r="R15" s="14">
        <v>0.45</v>
      </c>
      <c r="S15" s="14">
        <v>0.51</v>
      </c>
      <c r="T15" s="14">
        <v>0.6</v>
      </c>
      <c r="U15" s="14">
        <v>0.55000000000000004</v>
      </c>
      <c r="V15" s="14">
        <v>0.65</v>
      </c>
      <c r="W15" s="14">
        <v>0.56000000000000005</v>
      </c>
      <c r="X15" s="14">
        <v>0.53</v>
      </c>
      <c r="Y15" s="14">
        <v>0.61</v>
      </c>
      <c r="Z15" s="14">
        <v>0.66</v>
      </c>
      <c r="AA15" s="14">
        <v>0.44</v>
      </c>
      <c r="AB15" s="14">
        <v>0.57000000000000006</v>
      </c>
      <c r="AC15" s="14">
        <v>0.63</v>
      </c>
      <c r="AD15" s="14">
        <v>0.64</v>
      </c>
      <c r="AE15" s="14">
        <v>0.57999999999999996</v>
      </c>
      <c r="AF15" s="14">
        <v>0.62</v>
      </c>
    </row>
    <row r="16" spans="1:32">
      <c r="A16" s="19"/>
      <c r="B16" s="11" t="s">
        <v>1416</v>
      </c>
      <c r="C16" s="12">
        <v>7816</v>
      </c>
      <c r="D16" s="12">
        <v>286</v>
      </c>
      <c r="E16" s="12">
        <v>222</v>
      </c>
      <c r="F16" s="12">
        <v>332</v>
      </c>
      <c r="G16" s="12">
        <v>232</v>
      </c>
      <c r="H16" s="12">
        <v>202</v>
      </c>
      <c r="I16" s="12">
        <v>270</v>
      </c>
      <c r="J16" s="12">
        <v>68</v>
      </c>
      <c r="K16" s="12">
        <v>318</v>
      </c>
      <c r="L16" s="12">
        <v>365</v>
      </c>
      <c r="M16" s="12">
        <v>198</v>
      </c>
      <c r="N16" s="12">
        <v>450</v>
      </c>
      <c r="O16" s="12">
        <v>492</v>
      </c>
      <c r="P16" s="12">
        <v>292</v>
      </c>
      <c r="Q16" s="12">
        <v>268</v>
      </c>
      <c r="R16" s="12">
        <v>215</v>
      </c>
      <c r="S16" s="12">
        <v>338</v>
      </c>
      <c r="T16" s="12">
        <v>243</v>
      </c>
      <c r="U16" s="12">
        <v>76</v>
      </c>
      <c r="V16" s="12">
        <v>201</v>
      </c>
      <c r="W16" s="12">
        <v>139</v>
      </c>
      <c r="X16" s="12">
        <v>202</v>
      </c>
      <c r="Y16" s="12">
        <v>185</v>
      </c>
      <c r="Z16" s="12">
        <v>237</v>
      </c>
      <c r="AA16" s="12">
        <v>467</v>
      </c>
      <c r="AB16" s="12">
        <v>318</v>
      </c>
      <c r="AC16" s="12">
        <v>296</v>
      </c>
      <c r="AD16" s="12">
        <v>137</v>
      </c>
      <c r="AE16" s="12">
        <v>243</v>
      </c>
      <c r="AF16" s="12">
        <v>172</v>
      </c>
    </row>
    <row r="17" spans="1:32">
      <c r="A17" s="19"/>
      <c r="B17" s="13" t="s">
        <v>1417</v>
      </c>
      <c r="C17" s="14">
        <v>0.28999999999999998</v>
      </c>
      <c r="D17" s="14">
        <v>0.28000000000000003</v>
      </c>
      <c r="E17" s="14">
        <v>0.21</v>
      </c>
      <c r="F17" s="14">
        <v>0.31</v>
      </c>
      <c r="G17" s="14">
        <v>0.23</v>
      </c>
      <c r="H17" s="14">
        <v>0.17</v>
      </c>
      <c r="I17" s="14">
        <v>0.18</v>
      </c>
      <c r="J17" s="14">
        <v>0.23</v>
      </c>
      <c r="K17" s="14">
        <v>0.32</v>
      </c>
      <c r="L17" s="14">
        <v>0.36</v>
      </c>
      <c r="M17" s="14">
        <v>0.2</v>
      </c>
      <c r="N17" s="14">
        <v>0.44</v>
      </c>
      <c r="O17" s="14">
        <v>0.49</v>
      </c>
      <c r="P17" s="14">
        <v>0.28999999999999998</v>
      </c>
      <c r="Q17" s="14">
        <v>0.26</v>
      </c>
      <c r="R17" s="14">
        <v>0.43</v>
      </c>
      <c r="S17" s="14">
        <v>0.34</v>
      </c>
      <c r="T17" s="14">
        <v>0.24</v>
      </c>
      <c r="U17" s="14">
        <v>0.15</v>
      </c>
      <c r="V17" s="14">
        <v>0.2</v>
      </c>
      <c r="W17" s="14">
        <v>0.28000000000000003</v>
      </c>
      <c r="X17" s="14">
        <v>0.2</v>
      </c>
      <c r="Y17" s="14">
        <v>0.18</v>
      </c>
      <c r="Z17" s="14">
        <v>0.24</v>
      </c>
      <c r="AA17" s="14">
        <v>0.45</v>
      </c>
      <c r="AB17" s="14">
        <v>0.31</v>
      </c>
      <c r="AC17" s="14">
        <v>0.3</v>
      </c>
      <c r="AD17" s="14">
        <v>0.14000000000000001</v>
      </c>
      <c r="AE17" s="14">
        <v>0.24</v>
      </c>
      <c r="AF17" s="14">
        <v>0.17</v>
      </c>
    </row>
    <row r="18" spans="1:32">
      <c r="A18" s="19"/>
      <c r="B18" s="11" t="s">
        <v>386</v>
      </c>
      <c r="C18" s="12">
        <v>50</v>
      </c>
      <c r="D18" s="12">
        <v>1</v>
      </c>
      <c r="E18" s="12">
        <v>4</v>
      </c>
      <c r="F18" s="12">
        <v>1</v>
      </c>
      <c r="G18" s="12">
        <v>1</v>
      </c>
      <c r="H18" s="12">
        <v>3</v>
      </c>
      <c r="I18" s="12">
        <v>3</v>
      </c>
      <c r="J18" s="12">
        <v>0</v>
      </c>
      <c r="K18" s="12">
        <v>5</v>
      </c>
      <c r="L18" s="12">
        <v>1</v>
      </c>
      <c r="M18" s="12">
        <v>0</v>
      </c>
      <c r="N18" s="12">
        <v>0</v>
      </c>
      <c r="O18" s="12">
        <v>0</v>
      </c>
      <c r="P18" s="12">
        <v>3</v>
      </c>
      <c r="Q18" s="12">
        <v>0</v>
      </c>
      <c r="R18" s="12">
        <v>3</v>
      </c>
      <c r="S18" s="12">
        <v>1</v>
      </c>
      <c r="T18" s="12">
        <v>6</v>
      </c>
      <c r="U18" s="12">
        <v>0</v>
      </c>
      <c r="V18" s="12">
        <v>0</v>
      </c>
      <c r="W18" s="12">
        <v>0</v>
      </c>
      <c r="X18" s="12">
        <v>4</v>
      </c>
      <c r="Y18" s="12">
        <v>2</v>
      </c>
      <c r="Z18" s="12">
        <v>11</v>
      </c>
      <c r="AA18" s="12">
        <v>3</v>
      </c>
      <c r="AB18" s="12">
        <v>3</v>
      </c>
      <c r="AC18" s="12">
        <v>2</v>
      </c>
      <c r="AD18" s="12">
        <v>1</v>
      </c>
      <c r="AE18" s="12">
        <v>6</v>
      </c>
      <c r="AF18" s="12">
        <v>0</v>
      </c>
    </row>
    <row r="19" spans="1:32">
      <c r="A19" s="19"/>
      <c r="B19" s="13" t="s">
        <v>399</v>
      </c>
      <c r="C19" s="15" t="s">
        <v>375</v>
      </c>
      <c r="D19" s="15" t="s">
        <v>375</v>
      </c>
      <c r="E19" s="14">
        <v>0.01</v>
      </c>
      <c r="F19" s="15" t="s">
        <v>375</v>
      </c>
      <c r="G19" s="15" t="s">
        <v>375</v>
      </c>
      <c r="H19" s="15" t="s">
        <v>375</v>
      </c>
      <c r="I19" s="15" t="s">
        <v>375</v>
      </c>
      <c r="J19" s="15" t="s">
        <v>375</v>
      </c>
      <c r="K19" s="15" t="s">
        <v>375</v>
      </c>
      <c r="L19" s="15" t="s">
        <v>375</v>
      </c>
      <c r="M19" s="15" t="s">
        <v>375</v>
      </c>
      <c r="N19" s="15" t="s">
        <v>375</v>
      </c>
      <c r="O19" s="15" t="s">
        <v>375</v>
      </c>
      <c r="P19" s="15" t="s">
        <v>375</v>
      </c>
      <c r="Q19" s="15" t="s">
        <v>375</v>
      </c>
      <c r="R19" s="14">
        <v>0.01</v>
      </c>
      <c r="S19" s="15" t="s">
        <v>375</v>
      </c>
      <c r="T19" s="15" t="s">
        <v>375</v>
      </c>
      <c r="U19" s="15" t="s">
        <v>375</v>
      </c>
      <c r="V19" s="15" t="s">
        <v>375</v>
      </c>
      <c r="W19" s="15" t="s">
        <v>375</v>
      </c>
      <c r="X19" s="15" t="s">
        <v>375</v>
      </c>
      <c r="Y19" s="15" t="s">
        <v>375</v>
      </c>
      <c r="Z19" s="14">
        <v>0.01</v>
      </c>
      <c r="AA19" s="15" t="s">
        <v>375</v>
      </c>
      <c r="AB19" s="15" t="s">
        <v>375</v>
      </c>
      <c r="AC19" s="15" t="s">
        <v>375</v>
      </c>
      <c r="AD19" s="15" t="s">
        <v>375</v>
      </c>
      <c r="AE19" s="14">
        <v>0.01</v>
      </c>
      <c r="AF19" s="15" t="s">
        <v>375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1483</v>
      </c>
      <c r="C3" s="17"/>
      <c r="D3" s="17"/>
      <c r="E3" s="17"/>
      <c r="F3" s="17"/>
      <c r="H3" s="17" t="s">
        <v>1484</v>
      </c>
      <c r="I3" s="17"/>
      <c r="J3" s="17"/>
      <c r="K3" s="17"/>
      <c r="L3" s="17"/>
    </row>
    <row r="4" spans="1:32" ht="27" customHeight="1">
      <c r="B4" s="17" t="s">
        <v>1485</v>
      </c>
      <c r="C4" s="17"/>
      <c r="D4" s="17"/>
      <c r="E4" s="17"/>
      <c r="F4" s="17"/>
      <c r="H4" s="17" t="s">
        <v>1486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HYPERLINK("#Content!A161","&lt;&lt;Back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1475</v>
      </c>
      <c r="C12" s="12">
        <v>5568</v>
      </c>
      <c r="D12" s="12">
        <v>197</v>
      </c>
      <c r="E12" s="12">
        <v>317</v>
      </c>
      <c r="F12" s="12">
        <v>166</v>
      </c>
      <c r="G12" s="12">
        <v>237</v>
      </c>
      <c r="H12" s="12">
        <v>370</v>
      </c>
      <c r="I12" s="12">
        <v>471</v>
      </c>
      <c r="J12" s="12">
        <v>100</v>
      </c>
      <c r="K12" s="12">
        <v>206</v>
      </c>
      <c r="L12" s="12">
        <v>253</v>
      </c>
      <c r="M12" s="12">
        <v>332</v>
      </c>
      <c r="N12" s="12">
        <v>154</v>
      </c>
      <c r="O12" s="12">
        <v>140</v>
      </c>
      <c r="P12" s="12">
        <v>262</v>
      </c>
      <c r="Q12" s="12">
        <v>216</v>
      </c>
      <c r="R12" s="12">
        <v>131</v>
      </c>
      <c r="S12" s="12">
        <v>231</v>
      </c>
      <c r="T12" s="12">
        <v>185</v>
      </c>
      <c r="U12" s="12">
        <v>113</v>
      </c>
      <c r="V12" s="12">
        <v>180</v>
      </c>
      <c r="W12" s="12">
        <v>164</v>
      </c>
      <c r="X12" s="12">
        <v>237</v>
      </c>
      <c r="Y12" s="12">
        <v>268</v>
      </c>
      <c r="Z12" s="12">
        <v>139</v>
      </c>
      <c r="AA12" s="12">
        <v>144</v>
      </c>
      <c r="AB12" s="12">
        <v>243</v>
      </c>
      <c r="AC12" s="12">
        <v>139</v>
      </c>
      <c r="AD12" s="12">
        <v>196</v>
      </c>
      <c r="AE12" s="12">
        <v>247</v>
      </c>
      <c r="AF12" s="12">
        <v>235</v>
      </c>
    </row>
    <row r="13" spans="1:32">
      <c r="A13" s="19"/>
      <c r="B13" s="13" t="s">
        <v>1476</v>
      </c>
      <c r="C13" s="14">
        <v>0.21</v>
      </c>
      <c r="D13" s="14">
        <v>0.19</v>
      </c>
      <c r="E13" s="14">
        <v>0.3</v>
      </c>
      <c r="F13" s="14">
        <v>0.16</v>
      </c>
      <c r="G13" s="14">
        <v>0.23</v>
      </c>
      <c r="H13" s="14">
        <v>0.3</v>
      </c>
      <c r="I13" s="14">
        <v>0.31</v>
      </c>
      <c r="J13" s="14">
        <v>0.34</v>
      </c>
      <c r="K13" s="14">
        <v>0.2</v>
      </c>
      <c r="L13" s="14">
        <v>0.25</v>
      </c>
      <c r="M13" s="14">
        <v>0.33</v>
      </c>
      <c r="N13" s="14">
        <v>0.15</v>
      </c>
      <c r="O13" s="14">
        <v>0.14000000000000001</v>
      </c>
      <c r="P13" s="14">
        <v>0.26</v>
      </c>
      <c r="Q13" s="14">
        <v>0.21</v>
      </c>
      <c r="R13" s="14">
        <v>0.26</v>
      </c>
      <c r="S13" s="14">
        <v>0.23</v>
      </c>
      <c r="T13" s="14">
        <v>0.18</v>
      </c>
      <c r="U13" s="14">
        <v>0.22</v>
      </c>
      <c r="V13" s="14">
        <v>0.18</v>
      </c>
      <c r="W13" s="14">
        <v>0.33</v>
      </c>
      <c r="X13" s="14">
        <v>0.24</v>
      </c>
      <c r="Y13" s="14">
        <v>0.27</v>
      </c>
      <c r="Z13" s="14">
        <v>0.14000000000000001</v>
      </c>
      <c r="AA13" s="14">
        <v>0.14000000000000001</v>
      </c>
      <c r="AB13" s="14">
        <v>0.23</v>
      </c>
      <c r="AC13" s="14">
        <v>0.14000000000000001</v>
      </c>
      <c r="AD13" s="14">
        <v>0.2</v>
      </c>
      <c r="AE13" s="14">
        <v>0.25</v>
      </c>
      <c r="AF13" s="14">
        <v>0.23</v>
      </c>
    </row>
    <row r="14" spans="1:32">
      <c r="A14" s="19"/>
      <c r="B14" s="11" t="s">
        <v>1477</v>
      </c>
      <c r="C14" s="12">
        <v>14610</v>
      </c>
      <c r="D14" s="12">
        <v>576</v>
      </c>
      <c r="E14" s="12">
        <v>625</v>
      </c>
      <c r="F14" s="12">
        <v>633</v>
      </c>
      <c r="G14" s="12">
        <v>565</v>
      </c>
      <c r="H14" s="12">
        <v>702</v>
      </c>
      <c r="I14" s="12">
        <v>876</v>
      </c>
      <c r="J14" s="12">
        <v>174</v>
      </c>
      <c r="K14" s="12">
        <v>554</v>
      </c>
      <c r="L14" s="12">
        <v>505</v>
      </c>
      <c r="M14" s="12">
        <v>554</v>
      </c>
      <c r="N14" s="12">
        <v>513</v>
      </c>
      <c r="O14" s="12">
        <v>439</v>
      </c>
      <c r="P14" s="12">
        <v>563</v>
      </c>
      <c r="Q14" s="12">
        <v>584</v>
      </c>
      <c r="R14" s="12">
        <v>230</v>
      </c>
      <c r="S14" s="12">
        <v>540</v>
      </c>
      <c r="T14" s="12">
        <v>615</v>
      </c>
      <c r="U14" s="12">
        <v>242</v>
      </c>
      <c r="V14" s="12">
        <v>681</v>
      </c>
      <c r="W14" s="12">
        <v>247</v>
      </c>
      <c r="X14" s="12">
        <v>535</v>
      </c>
      <c r="Y14" s="12">
        <v>525</v>
      </c>
      <c r="Z14" s="12">
        <v>681</v>
      </c>
      <c r="AA14" s="12">
        <v>591</v>
      </c>
      <c r="AB14" s="12">
        <v>598</v>
      </c>
      <c r="AC14" s="12">
        <v>678</v>
      </c>
      <c r="AD14" s="12">
        <v>676</v>
      </c>
      <c r="AE14" s="12">
        <v>561</v>
      </c>
      <c r="AF14" s="12">
        <v>609</v>
      </c>
    </row>
    <row r="15" spans="1:32">
      <c r="A15" s="19"/>
      <c r="B15" s="13" t="s">
        <v>1478</v>
      </c>
      <c r="C15" s="14">
        <v>0.55000000000000004</v>
      </c>
      <c r="D15" s="14">
        <v>0.57000000000000006</v>
      </c>
      <c r="E15" s="14">
        <v>0.6</v>
      </c>
      <c r="F15" s="14">
        <v>0.59</v>
      </c>
      <c r="G15" s="14">
        <v>0.56000000000000005</v>
      </c>
      <c r="H15" s="14">
        <v>0.57000000000000006</v>
      </c>
      <c r="I15" s="14">
        <v>0.57000000000000006</v>
      </c>
      <c r="J15" s="14">
        <v>0.57999999999999996</v>
      </c>
      <c r="K15" s="14">
        <v>0.55000000000000004</v>
      </c>
      <c r="L15" s="14">
        <v>0.5</v>
      </c>
      <c r="M15" s="14">
        <v>0.55000000000000004</v>
      </c>
      <c r="N15" s="14">
        <v>0.51</v>
      </c>
      <c r="O15" s="14">
        <v>0.44</v>
      </c>
      <c r="P15" s="14">
        <v>0.56000000000000005</v>
      </c>
      <c r="Q15" s="14">
        <v>0.57000000000000006</v>
      </c>
      <c r="R15" s="14">
        <v>0.46</v>
      </c>
      <c r="S15" s="14">
        <v>0.54</v>
      </c>
      <c r="T15" s="14">
        <v>0.6</v>
      </c>
      <c r="U15" s="14">
        <v>0.48</v>
      </c>
      <c r="V15" s="14">
        <v>0.66</v>
      </c>
      <c r="W15" s="14">
        <v>0.49</v>
      </c>
      <c r="X15" s="14">
        <v>0.53</v>
      </c>
      <c r="Y15" s="14">
        <v>0.52</v>
      </c>
      <c r="Z15" s="14">
        <v>0.67</v>
      </c>
      <c r="AA15" s="14">
        <v>0.57000000000000006</v>
      </c>
      <c r="AB15" s="14">
        <v>0.57999999999999996</v>
      </c>
      <c r="AC15" s="14">
        <v>0.67</v>
      </c>
      <c r="AD15" s="14">
        <v>0.67</v>
      </c>
      <c r="AE15" s="14">
        <v>0.56000000000000005</v>
      </c>
      <c r="AF15" s="14">
        <v>0.59</v>
      </c>
    </row>
    <row r="16" spans="1:32">
      <c r="A16" s="19"/>
      <c r="B16" s="11" t="s">
        <v>1416</v>
      </c>
      <c r="C16" s="12">
        <v>6227</v>
      </c>
      <c r="D16" s="12">
        <v>245</v>
      </c>
      <c r="E16" s="12">
        <v>99</v>
      </c>
      <c r="F16" s="12">
        <v>265</v>
      </c>
      <c r="G16" s="12">
        <v>213</v>
      </c>
      <c r="H16" s="12">
        <v>154</v>
      </c>
      <c r="I16" s="12">
        <v>177</v>
      </c>
      <c r="J16" s="12">
        <v>23</v>
      </c>
      <c r="K16" s="12">
        <v>240</v>
      </c>
      <c r="L16" s="12">
        <v>247</v>
      </c>
      <c r="M16" s="12">
        <v>121</v>
      </c>
      <c r="N16" s="12">
        <v>343</v>
      </c>
      <c r="O16" s="12">
        <v>425</v>
      </c>
      <c r="P16" s="12">
        <v>177</v>
      </c>
      <c r="Q16" s="12">
        <v>230</v>
      </c>
      <c r="R16" s="12">
        <v>139</v>
      </c>
      <c r="S16" s="12">
        <v>232</v>
      </c>
      <c r="T16" s="12">
        <v>221</v>
      </c>
      <c r="U16" s="12">
        <v>153</v>
      </c>
      <c r="V16" s="12">
        <v>165</v>
      </c>
      <c r="W16" s="12">
        <v>91</v>
      </c>
      <c r="X16" s="12">
        <v>235</v>
      </c>
      <c r="Y16" s="12">
        <v>209</v>
      </c>
      <c r="Z16" s="12">
        <v>188</v>
      </c>
      <c r="AA16" s="12">
        <v>300</v>
      </c>
      <c r="AB16" s="12">
        <v>197</v>
      </c>
      <c r="AC16" s="12">
        <v>186</v>
      </c>
      <c r="AD16" s="12">
        <v>130</v>
      </c>
      <c r="AE16" s="12">
        <v>187</v>
      </c>
      <c r="AF16" s="12">
        <v>188</v>
      </c>
    </row>
    <row r="17" spans="1:32">
      <c r="A17" s="19"/>
      <c r="B17" s="13" t="s">
        <v>1417</v>
      </c>
      <c r="C17" s="14">
        <v>0.24</v>
      </c>
      <c r="D17" s="14">
        <v>0.24</v>
      </c>
      <c r="E17" s="14">
        <v>0.09</v>
      </c>
      <c r="F17" s="14">
        <v>0.25</v>
      </c>
      <c r="G17" s="14">
        <v>0.21</v>
      </c>
      <c r="H17" s="14">
        <v>0.13</v>
      </c>
      <c r="I17" s="14">
        <v>0.12</v>
      </c>
      <c r="J17" s="14">
        <v>0.08</v>
      </c>
      <c r="K17" s="14">
        <v>0.24</v>
      </c>
      <c r="L17" s="14">
        <v>0.25</v>
      </c>
      <c r="M17" s="14">
        <v>0.12</v>
      </c>
      <c r="N17" s="14">
        <v>0.34</v>
      </c>
      <c r="O17" s="14">
        <v>0.42</v>
      </c>
      <c r="P17" s="14">
        <v>0.18</v>
      </c>
      <c r="Q17" s="14">
        <v>0.22</v>
      </c>
      <c r="R17" s="14">
        <v>0.28000000000000003</v>
      </c>
      <c r="S17" s="14">
        <v>0.23</v>
      </c>
      <c r="T17" s="14">
        <v>0.22</v>
      </c>
      <c r="U17" s="14">
        <v>0.3</v>
      </c>
      <c r="V17" s="14">
        <v>0.16</v>
      </c>
      <c r="W17" s="14">
        <v>0.18</v>
      </c>
      <c r="X17" s="14">
        <v>0.23</v>
      </c>
      <c r="Y17" s="14">
        <v>0.21</v>
      </c>
      <c r="Z17" s="14">
        <v>0.18</v>
      </c>
      <c r="AA17" s="14">
        <v>0.28999999999999998</v>
      </c>
      <c r="AB17" s="14">
        <v>0.19</v>
      </c>
      <c r="AC17" s="14">
        <v>0.19</v>
      </c>
      <c r="AD17" s="14">
        <v>0.13</v>
      </c>
      <c r="AE17" s="14">
        <v>0.19</v>
      </c>
      <c r="AF17" s="14">
        <v>0.18</v>
      </c>
    </row>
    <row r="18" spans="1:32">
      <c r="A18" s="19"/>
      <c r="B18" s="11" t="s">
        <v>386</v>
      </c>
      <c r="C18" s="12">
        <v>48</v>
      </c>
      <c r="D18" s="12">
        <v>3</v>
      </c>
      <c r="E18" s="12">
        <v>5</v>
      </c>
      <c r="F18" s="12">
        <v>0</v>
      </c>
      <c r="G18" s="12">
        <v>1</v>
      </c>
      <c r="H18" s="12">
        <v>3</v>
      </c>
      <c r="I18" s="12">
        <v>3</v>
      </c>
      <c r="J18" s="12">
        <v>0</v>
      </c>
      <c r="K18" s="12">
        <v>6</v>
      </c>
      <c r="L18" s="12">
        <v>1</v>
      </c>
      <c r="M18" s="12">
        <v>0</v>
      </c>
      <c r="N18" s="12">
        <v>1</v>
      </c>
      <c r="O18" s="12">
        <v>0</v>
      </c>
      <c r="P18" s="12">
        <v>1</v>
      </c>
      <c r="Q18" s="12">
        <v>0</v>
      </c>
      <c r="R18" s="12">
        <v>1</v>
      </c>
      <c r="S18" s="12">
        <v>1</v>
      </c>
      <c r="T18" s="12">
        <v>2</v>
      </c>
      <c r="U18" s="12">
        <v>1</v>
      </c>
      <c r="V18" s="12">
        <v>0</v>
      </c>
      <c r="W18" s="12">
        <v>0</v>
      </c>
      <c r="X18" s="12">
        <v>4</v>
      </c>
      <c r="Y18" s="12">
        <v>1</v>
      </c>
      <c r="Z18" s="12">
        <v>9</v>
      </c>
      <c r="AA18" s="12">
        <v>2</v>
      </c>
      <c r="AB18" s="12">
        <v>2</v>
      </c>
      <c r="AC18" s="12">
        <v>2</v>
      </c>
      <c r="AD18" s="12">
        <v>1</v>
      </c>
      <c r="AE18" s="12">
        <v>6</v>
      </c>
      <c r="AF18" s="12">
        <v>0</v>
      </c>
    </row>
    <row r="19" spans="1:32">
      <c r="A19" s="19"/>
      <c r="B19" s="13" t="s">
        <v>399</v>
      </c>
      <c r="C19" s="15" t="s">
        <v>375</v>
      </c>
      <c r="D19" s="15" t="s">
        <v>375</v>
      </c>
      <c r="E19" s="14">
        <v>0.01</v>
      </c>
      <c r="F19" s="15" t="s">
        <v>375</v>
      </c>
      <c r="G19" s="15" t="s">
        <v>375</v>
      </c>
      <c r="H19" s="15" t="s">
        <v>375</v>
      </c>
      <c r="I19" s="15" t="s">
        <v>375</v>
      </c>
      <c r="J19" s="15" t="s">
        <v>375</v>
      </c>
      <c r="K19" s="14">
        <v>0.01</v>
      </c>
      <c r="L19" s="15" t="s">
        <v>375</v>
      </c>
      <c r="M19" s="15" t="s">
        <v>375</v>
      </c>
      <c r="N19" s="15" t="s">
        <v>375</v>
      </c>
      <c r="O19" s="15" t="s">
        <v>375</v>
      </c>
      <c r="P19" s="15" t="s">
        <v>375</v>
      </c>
      <c r="Q19" s="15" t="s">
        <v>375</v>
      </c>
      <c r="R19" s="15" t="s">
        <v>375</v>
      </c>
      <c r="S19" s="15" t="s">
        <v>375</v>
      </c>
      <c r="T19" s="15" t="s">
        <v>375</v>
      </c>
      <c r="U19" s="15" t="s">
        <v>375</v>
      </c>
      <c r="V19" s="15" t="s">
        <v>375</v>
      </c>
      <c r="W19" s="15" t="s">
        <v>375</v>
      </c>
      <c r="X19" s="15" t="s">
        <v>375</v>
      </c>
      <c r="Y19" s="15" t="s">
        <v>375</v>
      </c>
      <c r="Z19" s="14">
        <v>0.01</v>
      </c>
      <c r="AA19" s="15" t="s">
        <v>375</v>
      </c>
      <c r="AB19" s="15" t="s">
        <v>375</v>
      </c>
      <c r="AC19" s="15" t="s">
        <v>375</v>
      </c>
      <c r="AD19" s="15" t="s">
        <v>375</v>
      </c>
      <c r="AE19" s="15" t="s">
        <v>375</v>
      </c>
      <c r="AF19" s="15" t="s">
        <v>375</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19"/>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321</v>
      </c>
      <c r="C3" s="17"/>
      <c r="D3" s="17"/>
      <c r="E3" s="17"/>
      <c r="F3" s="17"/>
      <c r="H3" s="17" t="s">
        <v>322</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HYPERLINK("#Content!A162","&lt;&lt;Back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1487</v>
      </c>
      <c r="C12" s="12">
        <v>4626</v>
      </c>
      <c r="D12" s="12">
        <v>157</v>
      </c>
      <c r="E12" s="12">
        <v>259</v>
      </c>
      <c r="F12" s="12">
        <v>125</v>
      </c>
      <c r="G12" s="12">
        <v>224</v>
      </c>
      <c r="H12" s="12">
        <v>273</v>
      </c>
      <c r="I12" s="12">
        <v>341</v>
      </c>
      <c r="J12" s="12">
        <v>68</v>
      </c>
      <c r="K12" s="12">
        <v>154</v>
      </c>
      <c r="L12" s="12">
        <v>208</v>
      </c>
      <c r="M12" s="12">
        <v>314</v>
      </c>
      <c r="N12" s="12">
        <v>142</v>
      </c>
      <c r="O12" s="12">
        <v>124</v>
      </c>
      <c r="P12" s="12">
        <v>139</v>
      </c>
      <c r="Q12" s="12">
        <v>189</v>
      </c>
      <c r="R12" s="12">
        <v>87</v>
      </c>
      <c r="S12" s="12">
        <v>169</v>
      </c>
      <c r="T12" s="12">
        <v>152</v>
      </c>
      <c r="U12" s="12">
        <v>117</v>
      </c>
      <c r="V12" s="12">
        <v>170</v>
      </c>
      <c r="W12" s="12">
        <v>119</v>
      </c>
      <c r="X12" s="12">
        <v>285</v>
      </c>
      <c r="Y12" s="12">
        <v>245</v>
      </c>
      <c r="Z12" s="12">
        <v>108</v>
      </c>
      <c r="AA12" s="12">
        <v>136</v>
      </c>
      <c r="AB12" s="12">
        <v>124</v>
      </c>
      <c r="AC12" s="12">
        <v>97</v>
      </c>
      <c r="AD12" s="12">
        <v>214</v>
      </c>
      <c r="AE12" s="12">
        <v>199</v>
      </c>
      <c r="AF12" s="12">
        <v>241</v>
      </c>
    </row>
    <row r="13" spans="1:32">
      <c r="A13" s="19"/>
      <c r="B13" s="13" t="s">
        <v>1487</v>
      </c>
      <c r="C13" s="14">
        <v>0.17</v>
      </c>
      <c r="D13" s="14">
        <v>0.16</v>
      </c>
      <c r="E13" s="14">
        <v>0.25</v>
      </c>
      <c r="F13" s="14">
        <v>0.12</v>
      </c>
      <c r="G13" s="14">
        <v>0.22</v>
      </c>
      <c r="H13" s="14">
        <v>0.22</v>
      </c>
      <c r="I13" s="14">
        <v>0.22</v>
      </c>
      <c r="J13" s="14">
        <v>0.23</v>
      </c>
      <c r="K13" s="14">
        <v>0.15</v>
      </c>
      <c r="L13" s="14">
        <v>0.21</v>
      </c>
      <c r="M13" s="14">
        <v>0.31</v>
      </c>
      <c r="N13" s="14">
        <v>0.14000000000000001</v>
      </c>
      <c r="O13" s="14">
        <v>0.12</v>
      </c>
      <c r="P13" s="14">
        <v>0.14000000000000001</v>
      </c>
      <c r="Q13" s="14">
        <v>0.18</v>
      </c>
      <c r="R13" s="14">
        <v>0.18</v>
      </c>
      <c r="S13" s="14">
        <v>0.17</v>
      </c>
      <c r="T13" s="14">
        <v>0.15</v>
      </c>
      <c r="U13" s="14">
        <v>0.23</v>
      </c>
      <c r="V13" s="14">
        <v>0.16</v>
      </c>
      <c r="W13" s="14">
        <v>0.23</v>
      </c>
      <c r="X13" s="14">
        <v>0.28000000000000003</v>
      </c>
      <c r="Y13" s="14">
        <v>0.24</v>
      </c>
      <c r="Z13" s="14">
        <v>0.11</v>
      </c>
      <c r="AA13" s="14">
        <v>0.13</v>
      </c>
      <c r="AB13" s="14">
        <v>0.12</v>
      </c>
      <c r="AC13" s="14">
        <v>0.1</v>
      </c>
      <c r="AD13" s="14">
        <v>0.21</v>
      </c>
      <c r="AE13" s="14">
        <v>0.2</v>
      </c>
      <c r="AF13" s="14">
        <v>0.24</v>
      </c>
    </row>
    <row r="14" spans="1:32">
      <c r="A14" s="19"/>
      <c r="B14" s="11" t="s">
        <v>1488</v>
      </c>
      <c r="C14" s="12">
        <v>13197</v>
      </c>
      <c r="D14" s="12">
        <v>533</v>
      </c>
      <c r="E14" s="12">
        <v>574</v>
      </c>
      <c r="F14" s="12">
        <v>572</v>
      </c>
      <c r="G14" s="12">
        <v>477</v>
      </c>
      <c r="H14" s="12">
        <v>725</v>
      </c>
      <c r="I14" s="12">
        <v>885</v>
      </c>
      <c r="J14" s="12">
        <v>160</v>
      </c>
      <c r="K14" s="12">
        <v>494</v>
      </c>
      <c r="L14" s="12">
        <v>424</v>
      </c>
      <c r="M14" s="12">
        <v>490</v>
      </c>
      <c r="N14" s="12">
        <v>399</v>
      </c>
      <c r="O14" s="12">
        <v>359</v>
      </c>
      <c r="P14" s="12">
        <v>557</v>
      </c>
      <c r="Q14" s="12">
        <v>534</v>
      </c>
      <c r="R14" s="12">
        <v>191</v>
      </c>
      <c r="S14" s="12">
        <v>477</v>
      </c>
      <c r="T14" s="12">
        <v>585</v>
      </c>
      <c r="U14" s="12">
        <v>234</v>
      </c>
      <c r="V14" s="12">
        <v>611</v>
      </c>
      <c r="W14" s="12">
        <v>239</v>
      </c>
      <c r="X14" s="12">
        <v>463</v>
      </c>
      <c r="Y14" s="12">
        <v>509</v>
      </c>
      <c r="Z14" s="12">
        <v>641</v>
      </c>
      <c r="AA14" s="12">
        <v>402</v>
      </c>
      <c r="AB14" s="12">
        <v>581</v>
      </c>
      <c r="AC14" s="12">
        <v>590</v>
      </c>
      <c r="AD14" s="12">
        <v>608</v>
      </c>
      <c r="AE14" s="12">
        <v>506</v>
      </c>
      <c r="AF14" s="12">
        <v>537</v>
      </c>
    </row>
    <row r="15" spans="1:32">
      <c r="A15" s="19"/>
      <c r="B15" s="13" t="s">
        <v>1488</v>
      </c>
      <c r="C15" s="14">
        <v>0.5</v>
      </c>
      <c r="D15" s="14">
        <v>0.52</v>
      </c>
      <c r="E15" s="14">
        <v>0.55000000000000004</v>
      </c>
      <c r="F15" s="14">
        <v>0.54</v>
      </c>
      <c r="G15" s="14">
        <v>0.47</v>
      </c>
      <c r="H15" s="14">
        <v>0.59</v>
      </c>
      <c r="I15" s="14">
        <v>0.57999999999999996</v>
      </c>
      <c r="J15" s="14">
        <v>0.54</v>
      </c>
      <c r="K15" s="14">
        <v>0.49</v>
      </c>
      <c r="L15" s="14">
        <v>0.42</v>
      </c>
      <c r="M15" s="14">
        <v>0.49</v>
      </c>
      <c r="N15" s="14">
        <v>0.39</v>
      </c>
      <c r="O15" s="14">
        <v>0.36</v>
      </c>
      <c r="P15" s="14">
        <v>0.56000000000000005</v>
      </c>
      <c r="Q15" s="14">
        <v>0.52</v>
      </c>
      <c r="R15" s="14">
        <v>0.38</v>
      </c>
      <c r="S15" s="14">
        <v>0.48</v>
      </c>
      <c r="T15" s="14">
        <v>0.57000000000000006</v>
      </c>
      <c r="U15" s="14">
        <v>0.46</v>
      </c>
      <c r="V15" s="14">
        <v>0.6</v>
      </c>
      <c r="W15" s="14">
        <v>0.48</v>
      </c>
      <c r="X15" s="14">
        <v>0.46</v>
      </c>
      <c r="Y15" s="14">
        <v>0.51</v>
      </c>
      <c r="Z15" s="14">
        <v>0.63</v>
      </c>
      <c r="AA15" s="14">
        <v>0.39</v>
      </c>
      <c r="AB15" s="14">
        <v>0.56000000000000005</v>
      </c>
      <c r="AC15" s="14">
        <v>0.59</v>
      </c>
      <c r="AD15" s="14">
        <v>0.61</v>
      </c>
      <c r="AE15" s="14">
        <v>0.5</v>
      </c>
      <c r="AF15" s="14">
        <v>0.52</v>
      </c>
    </row>
    <row r="16" spans="1:32">
      <c r="A16" s="19"/>
      <c r="B16" s="11" t="s">
        <v>375</v>
      </c>
      <c r="C16" s="12">
        <v>4930</v>
      </c>
      <c r="D16" s="12">
        <v>174</v>
      </c>
      <c r="E16" s="12">
        <v>137</v>
      </c>
      <c r="F16" s="12">
        <v>187</v>
      </c>
      <c r="G16" s="12">
        <v>232</v>
      </c>
      <c r="H16" s="12">
        <v>179</v>
      </c>
      <c r="I16" s="12">
        <v>236</v>
      </c>
      <c r="J16" s="12">
        <v>57</v>
      </c>
      <c r="K16" s="12">
        <v>197</v>
      </c>
      <c r="L16" s="12">
        <v>178</v>
      </c>
      <c r="M16" s="12">
        <v>120</v>
      </c>
      <c r="N16" s="12">
        <v>197</v>
      </c>
      <c r="O16" s="12">
        <v>263</v>
      </c>
      <c r="P16" s="12">
        <v>161</v>
      </c>
      <c r="Q16" s="12">
        <v>185</v>
      </c>
      <c r="R16" s="12">
        <v>96</v>
      </c>
      <c r="S16" s="12">
        <v>175</v>
      </c>
      <c r="T16" s="12">
        <v>129</v>
      </c>
      <c r="U16" s="12">
        <v>105</v>
      </c>
      <c r="V16" s="12">
        <v>160</v>
      </c>
      <c r="W16" s="12">
        <v>84</v>
      </c>
      <c r="X16" s="12">
        <v>220</v>
      </c>
      <c r="Y16" s="12">
        <v>150</v>
      </c>
      <c r="Z16" s="12">
        <v>140</v>
      </c>
      <c r="AA16" s="12">
        <v>240</v>
      </c>
      <c r="AB16" s="12">
        <v>234</v>
      </c>
      <c r="AC16" s="12">
        <v>173</v>
      </c>
      <c r="AD16" s="12">
        <v>100</v>
      </c>
      <c r="AE16" s="12">
        <v>197</v>
      </c>
      <c r="AF16" s="12">
        <v>208</v>
      </c>
    </row>
    <row r="17" spans="1:32">
      <c r="A17" s="19"/>
      <c r="B17" s="13" t="s">
        <v>375</v>
      </c>
      <c r="C17" s="14">
        <v>0.19</v>
      </c>
      <c r="D17" s="14">
        <v>0.17</v>
      </c>
      <c r="E17" s="14">
        <v>0.13</v>
      </c>
      <c r="F17" s="14">
        <v>0.17</v>
      </c>
      <c r="G17" s="14">
        <v>0.23</v>
      </c>
      <c r="H17" s="14">
        <v>0.15</v>
      </c>
      <c r="I17" s="14">
        <v>0.16</v>
      </c>
      <c r="J17" s="14">
        <v>0.19</v>
      </c>
      <c r="K17" s="14">
        <v>0.2</v>
      </c>
      <c r="L17" s="14">
        <v>0.18</v>
      </c>
      <c r="M17" s="14">
        <v>0.12</v>
      </c>
      <c r="N17" s="14">
        <v>0.2</v>
      </c>
      <c r="O17" s="14">
        <v>0.26</v>
      </c>
      <c r="P17" s="14">
        <v>0.16</v>
      </c>
      <c r="Q17" s="14">
        <v>0.18</v>
      </c>
      <c r="R17" s="14">
        <v>0.19</v>
      </c>
      <c r="S17" s="14">
        <v>0.17</v>
      </c>
      <c r="T17" s="14">
        <v>0.13</v>
      </c>
      <c r="U17" s="14">
        <v>0.21</v>
      </c>
      <c r="V17" s="14">
        <v>0.16</v>
      </c>
      <c r="W17" s="14">
        <v>0.17</v>
      </c>
      <c r="X17" s="14">
        <v>0.22</v>
      </c>
      <c r="Y17" s="14">
        <v>0.15</v>
      </c>
      <c r="Z17" s="14">
        <v>0.14000000000000001</v>
      </c>
      <c r="AA17" s="14">
        <v>0.23</v>
      </c>
      <c r="AB17" s="14">
        <v>0.22</v>
      </c>
      <c r="AC17" s="14">
        <v>0.17</v>
      </c>
      <c r="AD17" s="14">
        <v>0.1</v>
      </c>
      <c r="AE17" s="14">
        <v>0.2</v>
      </c>
      <c r="AF17" s="14">
        <v>0.2</v>
      </c>
    </row>
    <row r="18" spans="1:32">
      <c r="A18" s="19"/>
      <c r="B18" s="11" t="s">
        <v>1489</v>
      </c>
      <c r="C18" s="12">
        <v>3700</v>
      </c>
      <c r="D18" s="12">
        <v>157</v>
      </c>
      <c r="E18" s="12">
        <v>76</v>
      </c>
      <c r="F18" s="12">
        <v>180</v>
      </c>
      <c r="G18" s="12">
        <v>83</v>
      </c>
      <c r="H18" s="12">
        <v>53</v>
      </c>
      <c r="I18" s="12">
        <v>65</v>
      </c>
      <c r="J18" s="12">
        <v>12</v>
      </c>
      <c r="K18" s="12">
        <v>160</v>
      </c>
      <c r="L18" s="12">
        <v>195</v>
      </c>
      <c r="M18" s="12">
        <v>82</v>
      </c>
      <c r="N18" s="12">
        <v>272</v>
      </c>
      <c r="O18" s="12">
        <v>258</v>
      </c>
      <c r="P18" s="12">
        <v>145</v>
      </c>
      <c r="Q18" s="12">
        <v>122</v>
      </c>
      <c r="R18" s="12">
        <v>127</v>
      </c>
      <c r="S18" s="12">
        <v>183</v>
      </c>
      <c r="T18" s="12">
        <v>156</v>
      </c>
      <c r="U18" s="12">
        <v>52</v>
      </c>
      <c r="V18" s="12">
        <v>85</v>
      </c>
      <c r="W18" s="12">
        <v>60</v>
      </c>
      <c r="X18" s="12">
        <v>43</v>
      </c>
      <c r="Y18" s="12">
        <v>99</v>
      </c>
      <c r="Z18" s="12">
        <v>128</v>
      </c>
      <c r="AA18" s="12">
        <v>260</v>
      </c>
      <c r="AB18" s="12">
        <v>102</v>
      </c>
      <c r="AC18" s="12">
        <v>145</v>
      </c>
      <c r="AD18" s="12">
        <v>81</v>
      </c>
      <c r="AE18" s="12">
        <v>98</v>
      </c>
      <c r="AF18" s="12">
        <v>45</v>
      </c>
    </row>
    <row r="19" spans="1:32">
      <c r="A19" s="19"/>
      <c r="B19" s="13" t="s">
        <v>1489</v>
      </c>
      <c r="C19" s="14">
        <v>0.14000000000000001</v>
      </c>
      <c r="D19" s="14">
        <v>0.15</v>
      </c>
      <c r="E19" s="14">
        <v>7.0000000000000007E-2</v>
      </c>
      <c r="F19" s="14">
        <v>0.17</v>
      </c>
      <c r="G19" s="14">
        <v>0.08</v>
      </c>
      <c r="H19" s="14">
        <v>0.04</v>
      </c>
      <c r="I19" s="14">
        <v>0.04</v>
      </c>
      <c r="J19" s="14">
        <v>0.04</v>
      </c>
      <c r="K19" s="14">
        <v>0.16</v>
      </c>
      <c r="L19" s="14">
        <v>0.19</v>
      </c>
      <c r="M19" s="14">
        <v>0.08</v>
      </c>
      <c r="N19" s="14">
        <v>0.27</v>
      </c>
      <c r="O19" s="14">
        <v>0.26</v>
      </c>
      <c r="P19" s="14">
        <v>0.14000000000000001</v>
      </c>
      <c r="Q19" s="14">
        <v>0.12</v>
      </c>
      <c r="R19" s="14">
        <v>0.25</v>
      </c>
      <c r="S19" s="14">
        <v>0.18</v>
      </c>
      <c r="T19" s="14">
        <v>0.15</v>
      </c>
      <c r="U19" s="14">
        <v>0.1</v>
      </c>
      <c r="V19" s="14">
        <v>0.08</v>
      </c>
      <c r="W19" s="14">
        <v>0.12</v>
      </c>
      <c r="X19" s="14">
        <v>0.04</v>
      </c>
      <c r="Y19" s="14">
        <v>0.1</v>
      </c>
      <c r="Z19" s="14">
        <v>0.12</v>
      </c>
      <c r="AA19" s="14">
        <v>0.25</v>
      </c>
      <c r="AB19" s="14">
        <v>0.1</v>
      </c>
      <c r="AC19" s="14">
        <v>0.14000000000000001</v>
      </c>
      <c r="AD19" s="14">
        <v>0.08</v>
      </c>
      <c r="AE19" s="14">
        <v>0.1</v>
      </c>
      <c r="AF19" s="14">
        <v>0.04</v>
      </c>
    </row>
  </sheetData>
  <mergeCells count="9">
    <mergeCell ref="H3:L3"/>
    <mergeCell ref="C8:AF8"/>
    <mergeCell ref="B3:F3"/>
    <mergeCell ref="B5:F5"/>
    <mergeCell ref="A10:A19"/>
    <mergeCell ref="H5:L5"/>
    <mergeCell ref="B10:B11"/>
    <mergeCell ref="H4:L4"/>
    <mergeCell ref="B4:F4"/>
  </mergeCells>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36" customHeight="1">
      <c r="B3" s="17" t="s">
        <v>323</v>
      </c>
      <c r="C3" s="17"/>
      <c r="D3" s="17"/>
      <c r="E3" s="17"/>
      <c r="F3" s="17"/>
      <c r="H3" s="17" t="s">
        <v>324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HYPERLINK("#Content!A163","&lt;&lt;Back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1393</v>
      </c>
      <c r="C12" s="12">
        <v>1684</v>
      </c>
      <c r="D12" s="12">
        <v>49</v>
      </c>
      <c r="E12" s="12">
        <v>48</v>
      </c>
      <c r="F12" s="12">
        <v>58</v>
      </c>
      <c r="G12" s="12">
        <v>453</v>
      </c>
      <c r="H12" s="12">
        <v>89</v>
      </c>
      <c r="I12" s="12">
        <v>102</v>
      </c>
      <c r="J12" s="12">
        <v>13</v>
      </c>
      <c r="K12" s="12">
        <v>71</v>
      </c>
      <c r="L12" s="12">
        <v>203</v>
      </c>
      <c r="M12" s="12">
        <v>13</v>
      </c>
      <c r="N12" s="12">
        <v>42</v>
      </c>
      <c r="O12" s="12">
        <v>42</v>
      </c>
      <c r="P12" s="12">
        <v>46</v>
      </c>
      <c r="Q12" s="12">
        <v>46</v>
      </c>
      <c r="R12" s="12">
        <v>10</v>
      </c>
      <c r="S12" s="12">
        <v>72</v>
      </c>
      <c r="T12" s="12">
        <v>51</v>
      </c>
      <c r="U12" s="12">
        <v>114</v>
      </c>
      <c r="V12" s="12">
        <v>32</v>
      </c>
      <c r="W12" s="12">
        <v>45</v>
      </c>
      <c r="X12" s="12">
        <v>115</v>
      </c>
      <c r="Y12" s="12">
        <v>150</v>
      </c>
      <c r="Z12" s="12">
        <v>38</v>
      </c>
      <c r="AA12" s="12">
        <v>27</v>
      </c>
      <c r="AB12" s="12">
        <v>43</v>
      </c>
      <c r="AC12" s="12">
        <v>32</v>
      </c>
      <c r="AD12" s="12">
        <v>49</v>
      </c>
      <c r="AE12" s="12">
        <v>170</v>
      </c>
      <c r="AF12" s="12">
        <v>208</v>
      </c>
    </row>
    <row r="13" spans="1:32">
      <c r="A13" s="19"/>
      <c r="B13" s="13" t="s">
        <v>1394</v>
      </c>
      <c r="C13" s="14">
        <v>7.0000000000000007E-2</v>
      </c>
      <c r="D13" s="14">
        <v>0.05</v>
      </c>
      <c r="E13" s="14">
        <v>0.05</v>
      </c>
      <c r="F13" s="14">
        <v>0.05</v>
      </c>
      <c r="G13" s="14">
        <v>0.44</v>
      </c>
      <c r="H13" s="14">
        <v>7.0000000000000007E-2</v>
      </c>
      <c r="I13" s="14">
        <v>0.06</v>
      </c>
      <c r="J13" s="14">
        <v>0.04</v>
      </c>
      <c r="K13" s="14">
        <v>7.0000000000000007E-2</v>
      </c>
      <c r="L13" s="14">
        <v>0.2</v>
      </c>
      <c r="M13" s="14">
        <v>0.01</v>
      </c>
      <c r="N13" s="14">
        <v>0.04</v>
      </c>
      <c r="O13" s="14">
        <v>0.04</v>
      </c>
      <c r="P13" s="14">
        <v>0.05</v>
      </c>
      <c r="Q13" s="14">
        <v>0.04</v>
      </c>
      <c r="R13" s="14">
        <v>0.02</v>
      </c>
      <c r="S13" s="14">
        <v>7.0000000000000007E-2</v>
      </c>
      <c r="T13" s="14">
        <v>0.05</v>
      </c>
      <c r="U13" s="14">
        <v>0.22</v>
      </c>
      <c r="V13" s="14">
        <v>0.03</v>
      </c>
      <c r="W13" s="14">
        <v>0.09</v>
      </c>
      <c r="X13" s="14">
        <v>0.12</v>
      </c>
      <c r="Y13" s="14">
        <v>0.15</v>
      </c>
      <c r="Z13" s="14">
        <v>0.04</v>
      </c>
      <c r="AA13" s="14">
        <v>0.03</v>
      </c>
      <c r="AB13" s="14">
        <v>0.04</v>
      </c>
      <c r="AC13" s="14">
        <v>0.03</v>
      </c>
      <c r="AD13" s="14">
        <v>0.05</v>
      </c>
      <c r="AE13" s="14">
        <v>0.17</v>
      </c>
      <c r="AF13" s="14">
        <v>0.2</v>
      </c>
    </row>
    <row r="14" spans="1:32">
      <c r="A14" s="19"/>
      <c r="B14" s="11" t="s">
        <v>1395</v>
      </c>
      <c r="C14" s="12">
        <v>13567</v>
      </c>
      <c r="D14" s="12">
        <v>572</v>
      </c>
      <c r="E14" s="12">
        <v>428</v>
      </c>
      <c r="F14" s="12">
        <v>660</v>
      </c>
      <c r="G14" s="12">
        <v>474</v>
      </c>
      <c r="H14" s="12">
        <v>710</v>
      </c>
      <c r="I14" s="12">
        <v>835</v>
      </c>
      <c r="J14" s="12">
        <v>124</v>
      </c>
      <c r="K14" s="12">
        <v>492</v>
      </c>
      <c r="L14" s="12">
        <v>604</v>
      </c>
      <c r="M14" s="12">
        <v>228</v>
      </c>
      <c r="N14" s="12">
        <v>422</v>
      </c>
      <c r="O14" s="12">
        <v>424</v>
      </c>
      <c r="P14" s="12">
        <v>410</v>
      </c>
      <c r="Q14" s="12">
        <v>539</v>
      </c>
      <c r="R14" s="12">
        <v>209</v>
      </c>
      <c r="S14" s="12">
        <v>514</v>
      </c>
      <c r="T14" s="12">
        <v>540</v>
      </c>
      <c r="U14" s="12">
        <v>357</v>
      </c>
      <c r="V14" s="12">
        <v>467</v>
      </c>
      <c r="W14" s="12">
        <v>238</v>
      </c>
      <c r="X14" s="12">
        <v>597</v>
      </c>
      <c r="Y14" s="12">
        <v>463</v>
      </c>
      <c r="Z14" s="12">
        <v>755</v>
      </c>
      <c r="AA14" s="12">
        <v>690</v>
      </c>
      <c r="AB14" s="12">
        <v>402</v>
      </c>
      <c r="AC14" s="12">
        <v>508</v>
      </c>
      <c r="AD14" s="12">
        <v>448</v>
      </c>
      <c r="AE14" s="12">
        <v>656</v>
      </c>
      <c r="AF14" s="12">
        <v>635</v>
      </c>
    </row>
    <row r="15" spans="1:32">
      <c r="A15" s="19"/>
      <c r="B15" s="13" t="s">
        <v>1396</v>
      </c>
      <c r="C15" s="14">
        <v>0.51</v>
      </c>
      <c r="D15" s="14">
        <v>0.56000000000000005</v>
      </c>
      <c r="E15" s="14">
        <v>0.41</v>
      </c>
      <c r="F15" s="14">
        <v>0.62</v>
      </c>
      <c r="G15" s="14">
        <v>0.47</v>
      </c>
      <c r="H15" s="14">
        <v>0.57999999999999996</v>
      </c>
      <c r="I15" s="14">
        <v>0.55000000000000004</v>
      </c>
      <c r="J15" s="14">
        <v>0.42</v>
      </c>
      <c r="K15" s="14">
        <v>0.49</v>
      </c>
      <c r="L15" s="14">
        <v>0.6</v>
      </c>
      <c r="M15" s="14">
        <v>0.23</v>
      </c>
      <c r="N15" s="14">
        <v>0.42</v>
      </c>
      <c r="O15" s="14">
        <v>0.42</v>
      </c>
      <c r="P15" s="14">
        <v>0.41</v>
      </c>
      <c r="Q15" s="14">
        <v>0.52</v>
      </c>
      <c r="R15" s="14">
        <v>0.42</v>
      </c>
      <c r="S15" s="14">
        <v>0.51</v>
      </c>
      <c r="T15" s="14">
        <v>0.53</v>
      </c>
      <c r="U15" s="14">
        <v>0.70000000000000007</v>
      </c>
      <c r="V15" s="14">
        <v>0.45</v>
      </c>
      <c r="W15" s="14">
        <v>0.47</v>
      </c>
      <c r="X15" s="14">
        <v>0.59</v>
      </c>
      <c r="Y15" s="14">
        <v>0.46</v>
      </c>
      <c r="Z15" s="14">
        <v>0.74</v>
      </c>
      <c r="AA15" s="14">
        <v>0.66</v>
      </c>
      <c r="AB15" s="14">
        <v>0.39</v>
      </c>
      <c r="AC15" s="14">
        <v>0.51</v>
      </c>
      <c r="AD15" s="14">
        <v>0.45</v>
      </c>
      <c r="AE15" s="14">
        <v>0.65</v>
      </c>
      <c r="AF15" s="14">
        <v>0.62</v>
      </c>
    </row>
    <row r="16" spans="1:32">
      <c r="A16" s="19"/>
      <c r="B16" s="11" t="s">
        <v>1397</v>
      </c>
      <c r="C16" s="12">
        <v>7989</v>
      </c>
      <c r="D16" s="12">
        <v>300</v>
      </c>
      <c r="E16" s="12">
        <v>347</v>
      </c>
      <c r="F16" s="12">
        <v>273</v>
      </c>
      <c r="G16" s="12">
        <v>57</v>
      </c>
      <c r="H16" s="12">
        <v>353</v>
      </c>
      <c r="I16" s="12">
        <v>477</v>
      </c>
      <c r="J16" s="12">
        <v>124</v>
      </c>
      <c r="K16" s="12">
        <v>284</v>
      </c>
      <c r="L16" s="12">
        <v>123</v>
      </c>
      <c r="M16" s="12">
        <v>395</v>
      </c>
      <c r="N16" s="12">
        <v>362</v>
      </c>
      <c r="O16" s="12">
        <v>361</v>
      </c>
      <c r="P16" s="12">
        <v>418</v>
      </c>
      <c r="Q16" s="12">
        <v>327</v>
      </c>
      <c r="R16" s="12">
        <v>192</v>
      </c>
      <c r="S16" s="12">
        <v>290</v>
      </c>
      <c r="T16" s="12">
        <v>349</v>
      </c>
      <c r="U16" s="12">
        <v>30</v>
      </c>
      <c r="V16" s="12">
        <v>313</v>
      </c>
      <c r="W16" s="12">
        <v>186</v>
      </c>
      <c r="X16" s="12">
        <v>245</v>
      </c>
      <c r="Y16" s="12">
        <v>269</v>
      </c>
      <c r="Z16" s="12">
        <v>150</v>
      </c>
      <c r="AA16" s="12">
        <v>277</v>
      </c>
      <c r="AB16" s="12">
        <v>439</v>
      </c>
      <c r="AC16" s="12">
        <v>367</v>
      </c>
      <c r="AD16" s="12">
        <v>378</v>
      </c>
      <c r="AE16" s="12">
        <v>124</v>
      </c>
      <c r="AF16" s="12">
        <v>162</v>
      </c>
    </row>
    <row r="17" spans="1:32">
      <c r="A17" s="19"/>
      <c r="B17" s="13" t="s">
        <v>1398</v>
      </c>
      <c r="C17" s="14">
        <v>0.3</v>
      </c>
      <c r="D17" s="14">
        <v>0.28999999999999998</v>
      </c>
      <c r="E17" s="14">
        <v>0.33</v>
      </c>
      <c r="F17" s="14">
        <v>0.26</v>
      </c>
      <c r="G17" s="14">
        <v>0.06</v>
      </c>
      <c r="H17" s="14">
        <v>0.28999999999999998</v>
      </c>
      <c r="I17" s="14">
        <v>0.31</v>
      </c>
      <c r="J17" s="14">
        <v>0.42</v>
      </c>
      <c r="K17" s="14">
        <v>0.28000000000000003</v>
      </c>
      <c r="L17" s="14">
        <v>0.12</v>
      </c>
      <c r="M17" s="14">
        <v>0.39</v>
      </c>
      <c r="N17" s="14">
        <v>0.36</v>
      </c>
      <c r="O17" s="14">
        <v>0.36</v>
      </c>
      <c r="P17" s="14">
        <v>0.42</v>
      </c>
      <c r="Q17" s="14">
        <v>0.32</v>
      </c>
      <c r="R17" s="14">
        <v>0.38</v>
      </c>
      <c r="S17" s="14">
        <v>0.28999999999999998</v>
      </c>
      <c r="T17" s="14">
        <v>0.34</v>
      </c>
      <c r="U17" s="14">
        <v>0.06</v>
      </c>
      <c r="V17" s="14">
        <v>0.31</v>
      </c>
      <c r="W17" s="14">
        <v>0.37</v>
      </c>
      <c r="X17" s="14">
        <v>0.24</v>
      </c>
      <c r="Y17" s="14">
        <v>0.27</v>
      </c>
      <c r="Z17" s="14">
        <v>0.15</v>
      </c>
      <c r="AA17" s="14">
        <v>0.27</v>
      </c>
      <c r="AB17" s="14">
        <v>0.42</v>
      </c>
      <c r="AC17" s="14">
        <v>0.37</v>
      </c>
      <c r="AD17" s="14">
        <v>0.38</v>
      </c>
      <c r="AE17" s="14">
        <v>0.12</v>
      </c>
      <c r="AF17" s="14">
        <v>0.16</v>
      </c>
    </row>
    <row r="18" spans="1:32">
      <c r="A18" s="19"/>
      <c r="B18" s="11" t="s">
        <v>1399</v>
      </c>
      <c r="C18" s="12">
        <v>2741</v>
      </c>
      <c r="D18" s="12">
        <v>94</v>
      </c>
      <c r="E18" s="12">
        <v>209</v>
      </c>
      <c r="F18" s="12">
        <v>59</v>
      </c>
      <c r="G18" s="12">
        <v>28</v>
      </c>
      <c r="H18" s="12">
        <v>71</v>
      </c>
      <c r="I18" s="12">
        <v>103</v>
      </c>
      <c r="J18" s="12">
        <v>32</v>
      </c>
      <c r="K18" s="12">
        <v>117</v>
      </c>
      <c r="L18" s="12">
        <v>45</v>
      </c>
      <c r="M18" s="12">
        <v>362</v>
      </c>
      <c r="N18" s="12">
        <v>159</v>
      </c>
      <c r="O18" s="12">
        <v>146</v>
      </c>
      <c r="P18" s="12">
        <v>113</v>
      </c>
      <c r="Q18" s="12">
        <v>110</v>
      </c>
      <c r="R18" s="12">
        <v>80</v>
      </c>
      <c r="S18" s="12">
        <v>85</v>
      </c>
      <c r="T18" s="12">
        <v>47</v>
      </c>
      <c r="U18" s="12">
        <v>4</v>
      </c>
      <c r="V18" s="12">
        <v>191</v>
      </c>
      <c r="W18" s="12">
        <v>31</v>
      </c>
      <c r="X18" s="12">
        <v>51</v>
      </c>
      <c r="Y18" s="12">
        <v>108</v>
      </c>
      <c r="Z18" s="12">
        <v>33</v>
      </c>
      <c r="AA18" s="12">
        <v>28</v>
      </c>
      <c r="AB18" s="12">
        <v>136</v>
      </c>
      <c r="AC18" s="12">
        <v>84</v>
      </c>
      <c r="AD18" s="12">
        <v>124</v>
      </c>
      <c r="AE18" s="12">
        <v>16</v>
      </c>
      <c r="AF18" s="12">
        <v>23</v>
      </c>
    </row>
    <row r="19" spans="1:32">
      <c r="A19" s="19"/>
      <c r="B19" s="13" t="s">
        <v>1400</v>
      </c>
      <c r="C19" s="14">
        <v>0.1</v>
      </c>
      <c r="D19" s="14">
        <v>0.09</v>
      </c>
      <c r="E19" s="14">
        <v>0.2</v>
      </c>
      <c r="F19" s="14">
        <v>0.06</v>
      </c>
      <c r="G19" s="14">
        <v>0.03</v>
      </c>
      <c r="H19" s="14">
        <v>0.06</v>
      </c>
      <c r="I19" s="14">
        <v>7.0000000000000007E-2</v>
      </c>
      <c r="J19" s="14">
        <v>0.11</v>
      </c>
      <c r="K19" s="14">
        <v>0.12</v>
      </c>
      <c r="L19" s="14">
        <v>0.05</v>
      </c>
      <c r="M19" s="14">
        <v>0.36</v>
      </c>
      <c r="N19" s="14">
        <v>0.16</v>
      </c>
      <c r="O19" s="14">
        <v>0.15</v>
      </c>
      <c r="P19" s="14">
        <v>0.11</v>
      </c>
      <c r="Q19" s="14">
        <v>0.11</v>
      </c>
      <c r="R19" s="14">
        <v>0.16</v>
      </c>
      <c r="S19" s="14">
        <v>0.09</v>
      </c>
      <c r="T19" s="14">
        <v>0.05</v>
      </c>
      <c r="U19" s="14">
        <v>0.01</v>
      </c>
      <c r="V19" s="14">
        <v>0.19</v>
      </c>
      <c r="W19" s="14">
        <v>0.06</v>
      </c>
      <c r="X19" s="14">
        <v>0.05</v>
      </c>
      <c r="Y19" s="14">
        <v>0.11</v>
      </c>
      <c r="Z19" s="14">
        <v>0.03</v>
      </c>
      <c r="AA19" s="14">
        <v>0.03</v>
      </c>
      <c r="AB19" s="14">
        <v>0.13</v>
      </c>
      <c r="AC19" s="14">
        <v>0.08</v>
      </c>
      <c r="AD19" s="14">
        <v>0.12</v>
      </c>
      <c r="AE19" s="14">
        <v>0.02</v>
      </c>
      <c r="AF19" s="14">
        <v>0.02</v>
      </c>
    </row>
    <row r="20" spans="1:32">
      <c r="A20" s="19"/>
      <c r="B20" s="11" t="s">
        <v>386</v>
      </c>
      <c r="C20" s="12">
        <v>472</v>
      </c>
      <c r="D20" s="12">
        <v>5</v>
      </c>
      <c r="E20" s="12">
        <v>14</v>
      </c>
      <c r="F20" s="12">
        <v>14</v>
      </c>
      <c r="G20" s="12">
        <v>3</v>
      </c>
      <c r="H20" s="12">
        <v>7</v>
      </c>
      <c r="I20" s="12">
        <v>11</v>
      </c>
      <c r="J20" s="12">
        <v>3</v>
      </c>
      <c r="K20" s="12">
        <v>40</v>
      </c>
      <c r="L20" s="12">
        <v>30</v>
      </c>
      <c r="M20" s="12">
        <v>10</v>
      </c>
      <c r="N20" s="12">
        <v>27</v>
      </c>
      <c r="O20" s="12">
        <v>31</v>
      </c>
      <c r="P20" s="12">
        <v>15</v>
      </c>
      <c r="Q20" s="12">
        <v>10</v>
      </c>
      <c r="R20" s="12">
        <v>10</v>
      </c>
      <c r="S20" s="12">
        <v>43</v>
      </c>
      <c r="T20" s="12">
        <v>36</v>
      </c>
      <c r="U20" s="12">
        <v>4</v>
      </c>
      <c r="V20" s="12">
        <v>24</v>
      </c>
      <c r="W20" s="12">
        <v>2</v>
      </c>
      <c r="X20" s="12">
        <v>2</v>
      </c>
      <c r="Y20" s="12">
        <v>14</v>
      </c>
      <c r="Z20" s="12">
        <v>40</v>
      </c>
      <c r="AA20" s="12">
        <v>14</v>
      </c>
      <c r="AB20" s="12">
        <v>20</v>
      </c>
      <c r="AC20" s="12">
        <v>15</v>
      </c>
      <c r="AD20" s="12">
        <v>4</v>
      </c>
      <c r="AE20" s="12">
        <v>36</v>
      </c>
      <c r="AF20" s="12">
        <v>2</v>
      </c>
    </row>
    <row r="21" spans="1:32">
      <c r="A21" s="19"/>
      <c r="B21" s="13" t="s">
        <v>399</v>
      </c>
      <c r="C21" s="14">
        <v>0.02</v>
      </c>
      <c r="D21" s="14">
        <v>0.01</v>
      </c>
      <c r="E21" s="14">
        <v>0.01</v>
      </c>
      <c r="F21" s="14">
        <v>0.01</v>
      </c>
      <c r="G21" s="15" t="s">
        <v>375</v>
      </c>
      <c r="H21" s="15" t="s">
        <v>375</v>
      </c>
      <c r="I21" s="14">
        <v>0.01</v>
      </c>
      <c r="J21" s="14">
        <v>0.01</v>
      </c>
      <c r="K21" s="14">
        <v>0.04</v>
      </c>
      <c r="L21" s="14">
        <v>0.03</v>
      </c>
      <c r="M21" s="14">
        <v>0.01</v>
      </c>
      <c r="N21" s="14">
        <v>0.02</v>
      </c>
      <c r="O21" s="14">
        <v>0.03</v>
      </c>
      <c r="P21" s="14">
        <v>0.01</v>
      </c>
      <c r="Q21" s="14">
        <v>0.01</v>
      </c>
      <c r="R21" s="14">
        <v>0.02</v>
      </c>
      <c r="S21" s="14">
        <v>0.04</v>
      </c>
      <c r="T21" s="14">
        <v>0.03</v>
      </c>
      <c r="U21" s="14">
        <v>0.01</v>
      </c>
      <c r="V21" s="14">
        <v>0.02</v>
      </c>
      <c r="W21" s="14">
        <v>0.01</v>
      </c>
      <c r="X21" s="15" t="s">
        <v>375</v>
      </c>
      <c r="Y21" s="14">
        <v>0.01</v>
      </c>
      <c r="Z21" s="14">
        <v>0.04</v>
      </c>
      <c r="AA21" s="14">
        <v>0.01</v>
      </c>
      <c r="AB21" s="14">
        <v>0.02</v>
      </c>
      <c r="AC21" s="14">
        <v>0.01</v>
      </c>
      <c r="AD21" s="15" t="s">
        <v>375</v>
      </c>
      <c r="AE21" s="14">
        <v>0.04</v>
      </c>
      <c r="AF21" s="15" t="s">
        <v>375</v>
      </c>
    </row>
    <row r="22" spans="1:32">
      <c r="A22" s="19"/>
      <c r="B22" s="11" t="s">
        <v>1490</v>
      </c>
      <c r="C22" s="12">
        <v>15251</v>
      </c>
      <c r="D22" s="12">
        <v>621</v>
      </c>
      <c r="E22" s="12">
        <v>476</v>
      </c>
      <c r="F22" s="12">
        <v>718</v>
      </c>
      <c r="G22" s="12">
        <v>927</v>
      </c>
      <c r="H22" s="12">
        <v>799</v>
      </c>
      <c r="I22" s="12">
        <v>937</v>
      </c>
      <c r="J22" s="12">
        <v>137</v>
      </c>
      <c r="K22" s="12">
        <v>563</v>
      </c>
      <c r="L22" s="12">
        <v>807</v>
      </c>
      <c r="M22" s="12">
        <v>241</v>
      </c>
      <c r="N22" s="12">
        <v>464</v>
      </c>
      <c r="O22" s="12">
        <v>466</v>
      </c>
      <c r="P22" s="12">
        <v>456</v>
      </c>
      <c r="Q22" s="12">
        <v>585</v>
      </c>
      <c r="R22" s="12">
        <v>219</v>
      </c>
      <c r="S22" s="12">
        <v>586</v>
      </c>
      <c r="T22" s="12">
        <v>591</v>
      </c>
      <c r="U22" s="12">
        <v>471</v>
      </c>
      <c r="V22" s="12">
        <v>499</v>
      </c>
      <c r="W22" s="12">
        <v>283</v>
      </c>
      <c r="X22" s="12">
        <v>712</v>
      </c>
      <c r="Y22" s="12">
        <v>613</v>
      </c>
      <c r="Z22" s="12">
        <v>793</v>
      </c>
      <c r="AA22" s="12">
        <v>717</v>
      </c>
      <c r="AB22" s="12">
        <v>445</v>
      </c>
      <c r="AC22" s="12">
        <v>540</v>
      </c>
      <c r="AD22" s="12">
        <v>497</v>
      </c>
      <c r="AE22" s="12">
        <v>826</v>
      </c>
      <c r="AF22" s="12">
        <v>843</v>
      </c>
    </row>
    <row r="23" spans="1:32">
      <c r="A23" s="19"/>
      <c r="B23" s="13" t="s">
        <v>1491</v>
      </c>
      <c r="C23" s="14">
        <v>0.57999999999999996</v>
      </c>
      <c r="D23" s="14">
        <v>0.61</v>
      </c>
      <c r="E23" s="14">
        <v>0.46</v>
      </c>
      <c r="F23" s="14">
        <v>0.67</v>
      </c>
      <c r="G23" s="14">
        <v>0.91</v>
      </c>
      <c r="H23" s="14">
        <v>0.65</v>
      </c>
      <c r="I23" s="14">
        <v>0.61</v>
      </c>
      <c r="J23" s="14">
        <v>0.46</v>
      </c>
      <c r="K23" s="14">
        <v>0.56000000000000005</v>
      </c>
      <c r="L23" s="14">
        <v>0.8</v>
      </c>
      <c r="M23" s="14">
        <v>0.24</v>
      </c>
      <c r="N23" s="14">
        <v>0.46</v>
      </c>
      <c r="O23" s="14">
        <v>0.46</v>
      </c>
      <c r="P23" s="14">
        <v>0.46</v>
      </c>
      <c r="Q23" s="14">
        <v>0.56000000000000005</v>
      </c>
      <c r="R23" s="14">
        <v>0.44</v>
      </c>
      <c r="S23" s="14">
        <v>0.57999999999999996</v>
      </c>
      <c r="T23" s="14">
        <v>0.57999999999999996</v>
      </c>
      <c r="U23" s="14">
        <v>0.92</v>
      </c>
      <c r="V23" s="14">
        <v>0.48</v>
      </c>
      <c r="W23" s="14">
        <v>0.56000000000000005</v>
      </c>
      <c r="X23" s="14">
        <v>0.71</v>
      </c>
      <c r="Y23" s="14">
        <v>0.61</v>
      </c>
      <c r="Z23" s="14">
        <v>0.78</v>
      </c>
      <c r="AA23" s="14">
        <v>0.69000000000000006</v>
      </c>
      <c r="AB23" s="14">
        <v>0.43</v>
      </c>
      <c r="AC23" s="14">
        <v>0.54</v>
      </c>
      <c r="AD23" s="14">
        <v>0.5</v>
      </c>
      <c r="AE23" s="14">
        <v>0.82000000000000006</v>
      </c>
      <c r="AF23" s="14">
        <v>0.82000000000000006</v>
      </c>
    </row>
    <row r="24" spans="1:32">
      <c r="A24" s="19"/>
      <c r="B24" s="11" t="s">
        <v>1492</v>
      </c>
      <c r="C24" s="12">
        <v>10730</v>
      </c>
      <c r="D24" s="12">
        <v>394</v>
      </c>
      <c r="E24" s="12">
        <v>556</v>
      </c>
      <c r="F24" s="12">
        <v>332</v>
      </c>
      <c r="G24" s="12">
        <v>85</v>
      </c>
      <c r="H24" s="12">
        <v>424</v>
      </c>
      <c r="I24" s="12">
        <v>580</v>
      </c>
      <c r="J24" s="12">
        <v>156</v>
      </c>
      <c r="K24" s="12">
        <v>401</v>
      </c>
      <c r="L24" s="12">
        <v>168</v>
      </c>
      <c r="M24" s="12">
        <v>757</v>
      </c>
      <c r="N24" s="12">
        <v>521</v>
      </c>
      <c r="O24" s="12">
        <v>507</v>
      </c>
      <c r="P24" s="12">
        <v>531</v>
      </c>
      <c r="Q24" s="12">
        <v>437</v>
      </c>
      <c r="R24" s="12">
        <v>272</v>
      </c>
      <c r="S24" s="12">
        <v>375</v>
      </c>
      <c r="T24" s="12">
        <v>396</v>
      </c>
      <c r="U24" s="12">
        <v>34</v>
      </c>
      <c r="V24" s="12">
        <v>504</v>
      </c>
      <c r="W24" s="12">
        <v>217</v>
      </c>
      <c r="X24" s="12">
        <v>296</v>
      </c>
      <c r="Y24" s="12">
        <v>377</v>
      </c>
      <c r="Z24" s="12">
        <v>183</v>
      </c>
      <c r="AA24" s="12">
        <v>305</v>
      </c>
      <c r="AB24" s="12">
        <v>575</v>
      </c>
      <c r="AC24" s="12">
        <v>451</v>
      </c>
      <c r="AD24" s="12">
        <v>502</v>
      </c>
      <c r="AE24" s="12">
        <v>140</v>
      </c>
      <c r="AF24" s="12">
        <v>185</v>
      </c>
    </row>
    <row r="25" spans="1:32">
      <c r="A25" s="19"/>
      <c r="B25" s="13" t="s">
        <v>1493</v>
      </c>
      <c r="C25" s="14">
        <v>0.4</v>
      </c>
      <c r="D25" s="14">
        <v>0.38</v>
      </c>
      <c r="E25" s="14">
        <v>0.53</v>
      </c>
      <c r="F25" s="14">
        <v>0.32</v>
      </c>
      <c r="G25" s="14">
        <v>0.09</v>
      </c>
      <c r="H25" s="14">
        <v>0.35</v>
      </c>
      <c r="I25" s="14">
        <v>0.38</v>
      </c>
      <c r="J25" s="14">
        <v>0.53</v>
      </c>
      <c r="K25" s="14">
        <v>0.4</v>
      </c>
      <c r="L25" s="14">
        <v>0.17</v>
      </c>
      <c r="M25" s="14">
        <v>0.75</v>
      </c>
      <c r="N25" s="14">
        <v>0.52</v>
      </c>
      <c r="O25" s="14">
        <v>0.51</v>
      </c>
      <c r="P25" s="14">
        <v>0.53</v>
      </c>
      <c r="Q25" s="14">
        <v>0.43</v>
      </c>
      <c r="R25" s="14">
        <v>0.54</v>
      </c>
      <c r="S25" s="14">
        <v>0.38</v>
      </c>
      <c r="T25" s="14">
        <v>0.39</v>
      </c>
      <c r="U25" s="14">
        <v>7.0000000000000007E-2</v>
      </c>
      <c r="V25" s="14">
        <v>0.5</v>
      </c>
      <c r="W25" s="14">
        <v>0.43</v>
      </c>
      <c r="X25" s="14">
        <v>0.28999999999999998</v>
      </c>
      <c r="Y25" s="14">
        <v>0.38</v>
      </c>
      <c r="Z25" s="14">
        <v>0.18</v>
      </c>
      <c r="AA25" s="14">
        <v>0.3</v>
      </c>
      <c r="AB25" s="14">
        <v>0.55000000000000004</v>
      </c>
      <c r="AC25" s="14">
        <v>0.45</v>
      </c>
      <c r="AD25" s="14">
        <v>0.5</v>
      </c>
      <c r="AE25" s="14">
        <v>0.14000000000000001</v>
      </c>
      <c r="AF25" s="14">
        <v>0.18</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325</v>
      </c>
      <c r="C3" s="17"/>
      <c r="D3" s="17"/>
      <c r="E3" s="17"/>
      <c r="F3" s="17"/>
      <c r="H3" s="17" t="s">
        <v>326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HYPERLINK("#Content!A164","&lt;&lt;Back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1393</v>
      </c>
      <c r="C12" s="12">
        <v>1104</v>
      </c>
      <c r="D12" s="12">
        <v>27</v>
      </c>
      <c r="E12" s="12">
        <v>113</v>
      </c>
      <c r="F12" s="12">
        <v>51</v>
      </c>
      <c r="G12" s="12">
        <v>137</v>
      </c>
      <c r="H12" s="12">
        <v>45</v>
      </c>
      <c r="I12" s="12">
        <v>52</v>
      </c>
      <c r="J12" s="12">
        <v>7</v>
      </c>
      <c r="K12" s="12">
        <v>59</v>
      </c>
      <c r="L12" s="12">
        <v>153</v>
      </c>
      <c r="M12" s="12">
        <v>16</v>
      </c>
      <c r="N12" s="12">
        <v>30</v>
      </c>
      <c r="O12" s="12">
        <v>26</v>
      </c>
      <c r="P12" s="12">
        <v>54</v>
      </c>
      <c r="Q12" s="12">
        <v>40</v>
      </c>
      <c r="R12" s="12">
        <v>9</v>
      </c>
      <c r="S12" s="12">
        <v>72</v>
      </c>
      <c r="T12" s="12">
        <v>55</v>
      </c>
      <c r="U12" s="12">
        <v>39</v>
      </c>
      <c r="V12" s="12">
        <v>36</v>
      </c>
      <c r="W12" s="12">
        <v>48</v>
      </c>
      <c r="X12" s="12">
        <v>36</v>
      </c>
      <c r="Y12" s="12">
        <v>125</v>
      </c>
      <c r="Z12" s="12">
        <v>52</v>
      </c>
      <c r="AA12" s="12">
        <v>45</v>
      </c>
      <c r="AB12" s="12">
        <v>57</v>
      </c>
      <c r="AC12" s="12">
        <v>25</v>
      </c>
      <c r="AD12" s="12">
        <v>65</v>
      </c>
      <c r="AE12" s="12">
        <v>27</v>
      </c>
      <c r="AF12" s="12">
        <v>39</v>
      </c>
    </row>
    <row r="13" spans="1:32">
      <c r="A13" s="19"/>
      <c r="B13" s="13" t="s">
        <v>1394</v>
      </c>
      <c r="C13" s="14">
        <v>0.04</v>
      </c>
      <c r="D13" s="14">
        <v>0.03</v>
      </c>
      <c r="E13" s="14">
        <v>0.11</v>
      </c>
      <c r="F13" s="14">
        <v>0.05</v>
      </c>
      <c r="G13" s="14">
        <v>0.13</v>
      </c>
      <c r="H13" s="14">
        <v>0.04</v>
      </c>
      <c r="I13" s="14">
        <v>0.03</v>
      </c>
      <c r="J13" s="14">
        <v>0.02</v>
      </c>
      <c r="K13" s="14">
        <v>0.06</v>
      </c>
      <c r="L13" s="14">
        <v>0.15</v>
      </c>
      <c r="M13" s="14">
        <v>0.02</v>
      </c>
      <c r="N13" s="14">
        <v>0.03</v>
      </c>
      <c r="O13" s="14">
        <v>0.03</v>
      </c>
      <c r="P13" s="14">
        <v>0.05</v>
      </c>
      <c r="Q13" s="14">
        <v>0.04</v>
      </c>
      <c r="R13" s="14">
        <v>0.02</v>
      </c>
      <c r="S13" s="14">
        <v>7.0000000000000007E-2</v>
      </c>
      <c r="T13" s="14">
        <v>0.05</v>
      </c>
      <c r="U13" s="14">
        <v>0.08</v>
      </c>
      <c r="V13" s="14">
        <v>0.04</v>
      </c>
      <c r="W13" s="14">
        <v>0.1</v>
      </c>
      <c r="X13" s="14">
        <v>0.04</v>
      </c>
      <c r="Y13" s="14">
        <v>0.13</v>
      </c>
      <c r="Z13" s="14">
        <v>0.05</v>
      </c>
      <c r="AA13" s="14">
        <v>0.04</v>
      </c>
      <c r="AB13" s="14">
        <v>0.06</v>
      </c>
      <c r="AC13" s="14">
        <v>0.02</v>
      </c>
      <c r="AD13" s="14">
        <v>0.06</v>
      </c>
      <c r="AE13" s="14">
        <v>0.03</v>
      </c>
      <c r="AF13" s="14">
        <v>0.04</v>
      </c>
    </row>
    <row r="14" spans="1:32">
      <c r="A14" s="19"/>
      <c r="B14" s="11" t="s">
        <v>1395</v>
      </c>
      <c r="C14" s="12">
        <v>13227</v>
      </c>
      <c r="D14" s="12">
        <v>531</v>
      </c>
      <c r="E14" s="12">
        <v>453</v>
      </c>
      <c r="F14" s="12">
        <v>589</v>
      </c>
      <c r="G14" s="12">
        <v>650</v>
      </c>
      <c r="H14" s="12">
        <v>634</v>
      </c>
      <c r="I14" s="12">
        <v>743</v>
      </c>
      <c r="J14" s="12">
        <v>109</v>
      </c>
      <c r="K14" s="12">
        <v>452</v>
      </c>
      <c r="L14" s="12">
        <v>607</v>
      </c>
      <c r="M14" s="12">
        <v>294</v>
      </c>
      <c r="N14" s="12">
        <v>437</v>
      </c>
      <c r="O14" s="12">
        <v>395</v>
      </c>
      <c r="P14" s="12">
        <v>482</v>
      </c>
      <c r="Q14" s="12">
        <v>565</v>
      </c>
      <c r="R14" s="12">
        <v>242</v>
      </c>
      <c r="S14" s="12">
        <v>534</v>
      </c>
      <c r="T14" s="12">
        <v>597</v>
      </c>
      <c r="U14" s="12">
        <v>287</v>
      </c>
      <c r="V14" s="12">
        <v>556</v>
      </c>
      <c r="W14" s="12">
        <v>258</v>
      </c>
      <c r="X14" s="12">
        <v>593</v>
      </c>
      <c r="Y14" s="12">
        <v>384</v>
      </c>
      <c r="Z14" s="12">
        <v>688</v>
      </c>
      <c r="AA14" s="12">
        <v>645</v>
      </c>
      <c r="AB14" s="12">
        <v>465</v>
      </c>
      <c r="AC14" s="12">
        <v>480</v>
      </c>
      <c r="AD14" s="12">
        <v>513</v>
      </c>
      <c r="AE14" s="12">
        <v>577</v>
      </c>
      <c r="AF14" s="12">
        <v>595</v>
      </c>
    </row>
    <row r="15" spans="1:32">
      <c r="A15" s="19"/>
      <c r="B15" s="13" t="s">
        <v>1396</v>
      </c>
      <c r="C15" s="14">
        <v>0.5</v>
      </c>
      <c r="D15" s="14">
        <v>0.52</v>
      </c>
      <c r="E15" s="14">
        <v>0.43</v>
      </c>
      <c r="F15" s="14">
        <v>0.55000000000000004</v>
      </c>
      <c r="G15" s="14">
        <v>0.64</v>
      </c>
      <c r="H15" s="14">
        <v>0.51</v>
      </c>
      <c r="I15" s="14">
        <v>0.49</v>
      </c>
      <c r="J15" s="14">
        <v>0.37</v>
      </c>
      <c r="K15" s="14">
        <v>0.45</v>
      </c>
      <c r="L15" s="14">
        <v>0.6</v>
      </c>
      <c r="M15" s="14">
        <v>0.28999999999999998</v>
      </c>
      <c r="N15" s="14">
        <v>0.43</v>
      </c>
      <c r="O15" s="14">
        <v>0.39</v>
      </c>
      <c r="P15" s="14">
        <v>0.48</v>
      </c>
      <c r="Q15" s="14">
        <v>0.55000000000000004</v>
      </c>
      <c r="R15" s="14">
        <v>0.48</v>
      </c>
      <c r="S15" s="14">
        <v>0.53</v>
      </c>
      <c r="T15" s="14">
        <v>0.57999999999999996</v>
      </c>
      <c r="U15" s="14">
        <v>0.57000000000000006</v>
      </c>
      <c r="V15" s="14">
        <v>0.54</v>
      </c>
      <c r="W15" s="14">
        <v>0.51</v>
      </c>
      <c r="X15" s="14">
        <v>0.59</v>
      </c>
      <c r="Y15" s="14">
        <v>0.38</v>
      </c>
      <c r="Z15" s="14">
        <v>0.68</v>
      </c>
      <c r="AA15" s="14">
        <v>0.62</v>
      </c>
      <c r="AB15" s="14">
        <v>0.45</v>
      </c>
      <c r="AC15" s="14">
        <v>0.48</v>
      </c>
      <c r="AD15" s="14">
        <v>0.51</v>
      </c>
      <c r="AE15" s="14">
        <v>0.57999999999999996</v>
      </c>
      <c r="AF15" s="14">
        <v>0.57999999999999996</v>
      </c>
    </row>
    <row r="16" spans="1:32">
      <c r="A16" s="19"/>
      <c r="B16" s="11" t="s">
        <v>1397</v>
      </c>
      <c r="C16" s="12">
        <v>8427</v>
      </c>
      <c r="D16" s="12">
        <v>344</v>
      </c>
      <c r="E16" s="12">
        <v>226</v>
      </c>
      <c r="F16" s="12">
        <v>294</v>
      </c>
      <c r="G16" s="12">
        <v>148</v>
      </c>
      <c r="H16" s="12">
        <v>451</v>
      </c>
      <c r="I16" s="12">
        <v>592</v>
      </c>
      <c r="J16" s="12">
        <v>141</v>
      </c>
      <c r="K16" s="12">
        <v>269</v>
      </c>
      <c r="L16" s="12">
        <v>143</v>
      </c>
      <c r="M16" s="12">
        <v>393</v>
      </c>
      <c r="N16" s="12">
        <v>358</v>
      </c>
      <c r="O16" s="12">
        <v>365</v>
      </c>
      <c r="P16" s="12">
        <v>347</v>
      </c>
      <c r="Q16" s="12">
        <v>313</v>
      </c>
      <c r="R16" s="12">
        <v>165</v>
      </c>
      <c r="S16" s="12">
        <v>223</v>
      </c>
      <c r="T16" s="12">
        <v>230</v>
      </c>
      <c r="U16" s="12">
        <v>124</v>
      </c>
      <c r="V16" s="12">
        <v>318</v>
      </c>
      <c r="W16" s="12">
        <v>138</v>
      </c>
      <c r="X16" s="12">
        <v>298</v>
      </c>
      <c r="Y16" s="12">
        <v>293</v>
      </c>
      <c r="Z16" s="12">
        <v>177</v>
      </c>
      <c r="AA16" s="12">
        <v>268</v>
      </c>
      <c r="AB16" s="12">
        <v>337</v>
      </c>
      <c r="AC16" s="12">
        <v>384</v>
      </c>
      <c r="AD16" s="12">
        <v>286</v>
      </c>
      <c r="AE16" s="12">
        <v>284</v>
      </c>
      <c r="AF16" s="12">
        <v>295</v>
      </c>
    </row>
    <row r="17" spans="1:32">
      <c r="A17" s="19"/>
      <c r="B17" s="13" t="s">
        <v>1398</v>
      </c>
      <c r="C17" s="14">
        <v>0.32</v>
      </c>
      <c r="D17" s="14">
        <v>0.34</v>
      </c>
      <c r="E17" s="14">
        <v>0.22</v>
      </c>
      <c r="F17" s="14">
        <v>0.28000000000000003</v>
      </c>
      <c r="G17" s="14">
        <v>0.15</v>
      </c>
      <c r="H17" s="14">
        <v>0.37</v>
      </c>
      <c r="I17" s="14">
        <v>0.39</v>
      </c>
      <c r="J17" s="14">
        <v>0.47</v>
      </c>
      <c r="K17" s="14">
        <v>0.27</v>
      </c>
      <c r="L17" s="14">
        <v>0.14000000000000001</v>
      </c>
      <c r="M17" s="14">
        <v>0.39</v>
      </c>
      <c r="N17" s="14">
        <v>0.36</v>
      </c>
      <c r="O17" s="14">
        <v>0.36</v>
      </c>
      <c r="P17" s="14">
        <v>0.35</v>
      </c>
      <c r="Q17" s="14">
        <v>0.3</v>
      </c>
      <c r="R17" s="14">
        <v>0.33</v>
      </c>
      <c r="S17" s="14">
        <v>0.22</v>
      </c>
      <c r="T17" s="14">
        <v>0.23</v>
      </c>
      <c r="U17" s="14">
        <v>0.24</v>
      </c>
      <c r="V17" s="14">
        <v>0.31</v>
      </c>
      <c r="W17" s="14">
        <v>0.28000000000000003</v>
      </c>
      <c r="X17" s="14">
        <v>0.28999999999999998</v>
      </c>
      <c r="Y17" s="14">
        <v>0.28999999999999998</v>
      </c>
      <c r="Z17" s="14">
        <v>0.17</v>
      </c>
      <c r="AA17" s="14">
        <v>0.26</v>
      </c>
      <c r="AB17" s="14">
        <v>0.32</v>
      </c>
      <c r="AC17" s="14">
        <v>0.38</v>
      </c>
      <c r="AD17" s="14">
        <v>0.28999999999999998</v>
      </c>
      <c r="AE17" s="14">
        <v>0.28000000000000003</v>
      </c>
      <c r="AF17" s="14">
        <v>0.28000000000000003</v>
      </c>
    </row>
    <row r="18" spans="1:32">
      <c r="A18" s="19"/>
      <c r="B18" s="11" t="s">
        <v>1399</v>
      </c>
      <c r="C18" s="12">
        <v>2400</v>
      </c>
      <c r="D18" s="12">
        <v>113</v>
      </c>
      <c r="E18" s="12">
        <v>167</v>
      </c>
      <c r="F18" s="12">
        <v>99</v>
      </c>
      <c r="G18" s="12">
        <v>42</v>
      </c>
      <c r="H18" s="12">
        <v>70</v>
      </c>
      <c r="I18" s="12">
        <v>102</v>
      </c>
      <c r="J18" s="12">
        <v>32</v>
      </c>
      <c r="K18" s="12">
        <v>88</v>
      </c>
      <c r="L18" s="12">
        <v>48</v>
      </c>
      <c r="M18" s="12">
        <v>266</v>
      </c>
      <c r="N18" s="12">
        <v>115</v>
      </c>
      <c r="O18" s="12">
        <v>136</v>
      </c>
      <c r="P18" s="12">
        <v>67</v>
      </c>
      <c r="Q18" s="12">
        <v>78</v>
      </c>
      <c r="R18" s="12">
        <v>56</v>
      </c>
      <c r="S18" s="12">
        <v>67</v>
      </c>
      <c r="T18" s="12">
        <v>23</v>
      </c>
      <c r="U18" s="12">
        <v>50</v>
      </c>
      <c r="V18" s="12">
        <v>80</v>
      </c>
      <c r="W18" s="12">
        <v>31</v>
      </c>
      <c r="X18" s="12">
        <v>57</v>
      </c>
      <c r="Y18" s="12">
        <v>168</v>
      </c>
      <c r="Z18" s="12">
        <v>40</v>
      </c>
      <c r="AA18" s="12">
        <v>17</v>
      </c>
      <c r="AB18" s="12">
        <v>128</v>
      </c>
      <c r="AC18" s="12">
        <v>85</v>
      </c>
      <c r="AD18" s="12">
        <v>89</v>
      </c>
      <c r="AE18" s="12">
        <v>36</v>
      </c>
      <c r="AF18" s="12">
        <v>51</v>
      </c>
    </row>
    <row r="19" spans="1:32">
      <c r="A19" s="19"/>
      <c r="B19" s="13" t="s">
        <v>1400</v>
      </c>
      <c r="C19" s="14">
        <v>0.09</v>
      </c>
      <c r="D19" s="14">
        <v>0.11</v>
      </c>
      <c r="E19" s="14">
        <v>0.16</v>
      </c>
      <c r="F19" s="14">
        <v>0.09</v>
      </c>
      <c r="G19" s="14">
        <v>0.04</v>
      </c>
      <c r="H19" s="14">
        <v>0.06</v>
      </c>
      <c r="I19" s="14">
        <v>7.0000000000000007E-2</v>
      </c>
      <c r="J19" s="14">
        <v>0.11</v>
      </c>
      <c r="K19" s="14">
        <v>0.08</v>
      </c>
      <c r="L19" s="14">
        <v>0.05</v>
      </c>
      <c r="M19" s="14">
        <v>0.26</v>
      </c>
      <c r="N19" s="14">
        <v>0.11</v>
      </c>
      <c r="O19" s="14">
        <v>0.14000000000000001</v>
      </c>
      <c r="P19" s="14">
        <v>7.0000000000000007E-2</v>
      </c>
      <c r="Q19" s="14">
        <v>0.08</v>
      </c>
      <c r="R19" s="14">
        <v>0.11</v>
      </c>
      <c r="S19" s="14">
        <v>7.0000000000000007E-2</v>
      </c>
      <c r="T19" s="14">
        <v>0.02</v>
      </c>
      <c r="U19" s="14">
        <v>0.1</v>
      </c>
      <c r="V19" s="14">
        <v>0.08</v>
      </c>
      <c r="W19" s="14">
        <v>0.06</v>
      </c>
      <c r="X19" s="14">
        <v>0.06</v>
      </c>
      <c r="Y19" s="14">
        <v>0.17</v>
      </c>
      <c r="Z19" s="14">
        <v>0.04</v>
      </c>
      <c r="AA19" s="14">
        <v>0.02</v>
      </c>
      <c r="AB19" s="14">
        <v>0.12</v>
      </c>
      <c r="AC19" s="14">
        <v>0.09</v>
      </c>
      <c r="AD19" s="14">
        <v>0.09</v>
      </c>
      <c r="AE19" s="14">
        <v>0.03</v>
      </c>
      <c r="AF19" s="14">
        <v>0.05</v>
      </c>
    </row>
    <row r="20" spans="1:32">
      <c r="A20" s="19"/>
      <c r="B20" s="11" t="s">
        <v>386</v>
      </c>
      <c r="C20" s="12">
        <v>1295</v>
      </c>
      <c r="D20" s="12">
        <v>6</v>
      </c>
      <c r="E20" s="12">
        <v>88</v>
      </c>
      <c r="F20" s="12">
        <v>31</v>
      </c>
      <c r="G20" s="12">
        <v>39</v>
      </c>
      <c r="H20" s="12">
        <v>30</v>
      </c>
      <c r="I20" s="12">
        <v>39</v>
      </c>
      <c r="J20" s="12">
        <v>9</v>
      </c>
      <c r="K20" s="12">
        <v>138</v>
      </c>
      <c r="L20" s="12">
        <v>56</v>
      </c>
      <c r="M20" s="12">
        <v>37</v>
      </c>
      <c r="N20" s="12">
        <v>71</v>
      </c>
      <c r="O20" s="12">
        <v>82</v>
      </c>
      <c r="P20" s="12">
        <v>52</v>
      </c>
      <c r="Q20" s="12">
        <v>35</v>
      </c>
      <c r="R20" s="12">
        <v>28</v>
      </c>
      <c r="S20" s="12">
        <v>108</v>
      </c>
      <c r="T20" s="12">
        <v>119</v>
      </c>
      <c r="U20" s="12">
        <v>7</v>
      </c>
      <c r="V20" s="12">
        <v>36</v>
      </c>
      <c r="W20" s="12">
        <v>27</v>
      </c>
      <c r="X20" s="12">
        <v>25</v>
      </c>
      <c r="Y20" s="12">
        <v>33</v>
      </c>
      <c r="Z20" s="12">
        <v>58</v>
      </c>
      <c r="AA20" s="12">
        <v>62</v>
      </c>
      <c r="AB20" s="12">
        <v>53</v>
      </c>
      <c r="AC20" s="12">
        <v>30</v>
      </c>
      <c r="AD20" s="12">
        <v>50</v>
      </c>
      <c r="AE20" s="12">
        <v>77</v>
      </c>
      <c r="AF20" s="12">
        <v>52</v>
      </c>
    </row>
    <row r="21" spans="1:32">
      <c r="A21" s="19"/>
      <c r="B21" s="13" t="s">
        <v>399</v>
      </c>
      <c r="C21" s="14">
        <v>0.05</v>
      </c>
      <c r="D21" s="15" t="s">
        <v>375</v>
      </c>
      <c r="E21" s="14">
        <v>0.08</v>
      </c>
      <c r="F21" s="14">
        <v>0.03</v>
      </c>
      <c r="G21" s="14">
        <v>0.04</v>
      </c>
      <c r="H21" s="14">
        <v>0.02</v>
      </c>
      <c r="I21" s="14">
        <v>0.02</v>
      </c>
      <c r="J21" s="14">
        <v>0.03</v>
      </c>
      <c r="K21" s="14">
        <v>0.14000000000000001</v>
      </c>
      <c r="L21" s="14">
        <v>0.06</v>
      </c>
      <c r="M21" s="14">
        <v>0.04</v>
      </c>
      <c r="N21" s="14">
        <v>7.0000000000000007E-2</v>
      </c>
      <c r="O21" s="14">
        <v>0.08</v>
      </c>
      <c r="P21" s="14">
        <v>0.05</v>
      </c>
      <c r="Q21" s="14">
        <v>0.03</v>
      </c>
      <c r="R21" s="14">
        <v>0.06</v>
      </c>
      <c r="S21" s="14">
        <v>0.11</v>
      </c>
      <c r="T21" s="14">
        <v>0.12</v>
      </c>
      <c r="U21" s="14">
        <v>0.01</v>
      </c>
      <c r="V21" s="14">
        <v>0.03</v>
      </c>
      <c r="W21" s="14">
        <v>0.05</v>
      </c>
      <c r="X21" s="14">
        <v>0.02</v>
      </c>
      <c r="Y21" s="14">
        <v>0.03</v>
      </c>
      <c r="Z21" s="14">
        <v>0.06</v>
      </c>
      <c r="AA21" s="14">
        <v>0.06</v>
      </c>
      <c r="AB21" s="14">
        <v>0.05</v>
      </c>
      <c r="AC21" s="14">
        <v>0.03</v>
      </c>
      <c r="AD21" s="14">
        <v>0.05</v>
      </c>
      <c r="AE21" s="14">
        <v>0.08</v>
      </c>
      <c r="AF21" s="14">
        <v>0.05</v>
      </c>
    </row>
    <row r="22" spans="1:32">
      <c r="A22" s="19"/>
      <c r="B22" s="11" t="s">
        <v>1490</v>
      </c>
      <c r="C22" s="12">
        <v>14331</v>
      </c>
      <c r="D22" s="12">
        <v>558</v>
      </c>
      <c r="E22" s="12">
        <v>566</v>
      </c>
      <c r="F22" s="12">
        <v>640</v>
      </c>
      <c r="G22" s="12">
        <v>787</v>
      </c>
      <c r="H22" s="12">
        <v>679</v>
      </c>
      <c r="I22" s="12">
        <v>795</v>
      </c>
      <c r="J22" s="12">
        <v>116</v>
      </c>
      <c r="K22" s="12">
        <v>511</v>
      </c>
      <c r="L22" s="12">
        <v>760</v>
      </c>
      <c r="M22" s="12">
        <v>310</v>
      </c>
      <c r="N22" s="12">
        <v>467</v>
      </c>
      <c r="O22" s="12">
        <v>421</v>
      </c>
      <c r="P22" s="12">
        <v>536</v>
      </c>
      <c r="Q22" s="12">
        <v>605</v>
      </c>
      <c r="R22" s="12">
        <v>251</v>
      </c>
      <c r="S22" s="12">
        <v>606</v>
      </c>
      <c r="T22" s="12">
        <v>652</v>
      </c>
      <c r="U22" s="12">
        <v>326</v>
      </c>
      <c r="V22" s="12">
        <v>592</v>
      </c>
      <c r="W22" s="12">
        <v>306</v>
      </c>
      <c r="X22" s="12">
        <v>629</v>
      </c>
      <c r="Y22" s="12">
        <v>509</v>
      </c>
      <c r="Z22" s="12">
        <v>740</v>
      </c>
      <c r="AA22" s="12">
        <v>690</v>
      </c>
      <c r="AB22" s="12">
        <v>522</v>
      </c>
      <c r="AC22" s="12">
        <v>505</v>
      </c>
      <c r="AD22" s="12">
        <v>578</v>
      </c>
      <c r="AE22" s="12">
        <v>604</v>
      </c>
      <c r="AF22" s="12">
        <v>634</v>
      </c>
    </row>
    <row r="23" spans="1:32">
      <c r="A23" s="19"/>
      <c r="B23" s="13" t="s">
        <v>1491</v>
      </c>
      <c r="C23" s="14">
        <v>0.54</v>
      </c>
      <c r="D23" s="14">
        <v>0.55000000000000004</v>
      </c>
      <c r="E23" s="14">
        <v>0.54</v>
      </c>
      <c r="F23" s="14">
        <v>0.6</v>
      </c>
      <c r="G23" s="14">
        <v>0.77</v>
      </c>
      <c r="H23" s="14">
        <v>0.55000000000000004</v>
      </c>
      <c r="I23" s="14">
        <v>0.52</v>
      </c>
      <c r="J23" s="14">
        <v>0.39</v>
      </c>
      <c r="K23" s="14">
        <v>0.51</v>
      </c>
      <c r="L23" s="14">
        <v>0.75</v>
      </c>
      <c r="M23" s="14">
        <v>0.31</v>
      </c>
      <c r="N23" s="14">
        <v>0.46</v>
      </c>
      <c r="O23" s="14">
        <v>0.42</v>
      </c>
      <c r="P23" s="14">
        <v>0.53</v>
      </c>
      <c r="Q23" s="14">
        <v>0.59</v>
      </c>
      <c r="R23" s="14">
        <v>0.5</v>
      </c>
      <c r="S23" s="14">
        <v>0.6</v>
      </c>
      <c r="T23" s="14">
        <v>0.63</v>
      </c>
      <c r="U23" s="14">
        <v>0.65</v>
      </c>
      <c r="V23" s="14">
        <v>0.57999999999999996</v>
      </c>
      <c r="W23" s="14">
        <v>0.61</v>
      </c>
      <c r="X23" s="14">
        <v>0.63</v>
      </c>
      <c r="Y23" s="14">
        <v>0.51</v>
      </c>
      <c r="Z23" s="14">
        <v>0.73</v>
      </c>
      <c r="AA23" s="14">
        <v>0.66</v>
      </c>
      <c r="AB23" s="14">
        <v>0.51</v>
      </c>
      <c r="AC23" s="14">
        <v>0.5</v>
      </c>
      <c r="AD23" s="14">
        <v>0.57000000000000006</v>
      </c>
      <c r="AE23" s="14">
        <v>0.61</v>
      </c>
      <c r="AF23" s="14">
        <v>0.62</v>
      </c>
    </row>
    <row r="24" spans="1:32">
      <c r="A24" s="19"/>
      <c r="B24" s="11" t="s">
        <v>1492</v>
      </c>
      <c r="C24" s="12">
        <v>10827</v>
      </c>
      <c r="D24" s="12">
        <v>457</v>
      </c>
      <c r="E24" s="12">
        <v>393</v>
      </c>
      <c r="F24" s="12">
        <v>393</v>
      </c>
      <c r="G24" s="12">
        <v>190</v>
      </c>
      <c r="H24" s="12">
        <v>521</v>
      </c>
      <c r="I24" s="12">
        <v>694</v>
      </c>
      <c r="J24" s="12">
        <v>173</v>
      </c>
      <c r="K24" s="12">
        <v>357</v>
      </c>
      <c r="L24" s="12">
        <v>191</v>
      </c>
      <c r="M24" s="12">
        <v>659</v>
      </c>
      <c r="N24" s="12">
        <v>473</v>
      </c>
      <c r="O24" s="12">
        <v>501</v>
      </c>
      <c r="P24" s="12">
        <v>414</v>
      </c>
      <c r="Q24" s="12">
        <v>391</v>
      </c>
      <c r="R24" s="12">
        <v>221</v>
      </c>
      <c r="S24" s="12">
        <v>290</v>
      </c>
      <c r="T24" s="12">
        <v>253</v>
      </c>
      <c r="U24" s="12">
        <v>174</v>
      </c>
      <c r="V24" s="12">
        <v>398</v>
      </c>
      <c r="W24" s="12">
        <v>169</v>
      </c>
      <c r="X24" s="12">
        <v>355</v>
      </c>
      <c r="Y24" s="12">
        <v>461</v>
      </c>
      <c r="Z24" s="12">
        <v>217</v>
      </c>
      <c r="AA24" s="12">
        <v>285</v>
      </c>
      <c r="AB24" s="12">
        <v>465</v>
      </c>
      <c r="AC24" s="12">
        <v>469</v>
      </c>
      <c r="AD24" s="12">
        <v>375</v>
      </c>
      <c r="AE24" s="12">
        <v>320</v>
      </c>
      <c r="AF24" s="12">
        <v>346</v>
      </c>
    </row>
    <row r="25" spans="1:32">
      <c r="A25" s="19"/>
      <c r="B25" s="13" t="s">
        <v>1494</v>
      </c>
      <c r="C25" s="14">
        <v>0.41</v>
      </c>
      <c r="D25" s="14">
        <v>0.45</v>
      </c>
      <c r="E25" s="14">
        <v>0.38</v>
      </c>
      <c r="F25" s="14">
        <v>0.37</v>
      </c>
      <c r="G25" s="14">
        <v>0.19</v>
      </c>
      <c r="H25" s="14">
        <v>0.43</v>
      </c>
      <c r="I25" s="14">
        <v>0.46</v>
      </c>
      <c r="J25" s="14">
        <v>0.57999999999999996</v>
      </c>
      <c r="K25" s="14">
        <v>0.35</v>
      </c>
      <c r="L25" s="14">
        <v>0.19</v>
      </c>
      <c r="M25" s="14">
        <v>0.65</v>
      </c>
      <c r="N25" s="14">
        <v>0.47</v>
      </c>
      <c r="O25" s="14">
        <v>0.5</v>
      </c>
      <c r="P25" s="14">
        <v>0.42</v>
      </c>
      <c r="Q25" s="14">
        <v>0.38</v>
      </c>
      <c r="R25" s="14">
        <v>0.44</v>
      </c>
      <c r="S25" s="14">
        <v>0.28999999999999998</v>
      </c>
      <c r="T25" s="14">
        <v>0.25</v>
      </c>
      <c r="U25" s="14">
        <v>0.34</v>
      </c>
      <c r="V25" s="14">
        <v>0.39</v>
      </c>
      <c r="W25" s="14">
        <v>0.34</v>
      </c>
      <c r="X25" s="14">
        <v>0.35</v>
      </c>
      <c r="Y25" s="14">
        <v>0.46</v>
      </c>
      <c r="Z25" s="14">
        <v>0.21</v>
      </c>
      <c r="AA25" s="14">
        <v>0.28000000000000003</v>
      </c>
      <c r="AB25" s="14">
        <v>0.44</v>
      </c>
      <c r="AC25" s="14">
        <v>0.47</v>
      </c>
      <c r="AD25" s="14">
        <v>0.38</v>
      </c>
      <c r="AE25" s="14">
        <v>0.31</v>
      </c>
      <c r="AF25" s="14">
        <v>0.33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1495</v>
      </c>
      <c r="C3" s="17"/>
      <c r="D3" s="17"/>
      <c r="E3" s="17"/>
      <c r="F3" s="17"/>
      <c r="H3" s="17" t="s">
        <v>1496</v>
      </c>
      <c r="I3" s="17"/>
      <c r="J3" s="17"/>
      <c r="K3" s="17"/>
      <c r="L3" s="17"/>
    </row>
    <row r="4" spans="1:32" ht="27" customHeight="1">
      <c r="B4" s="17" t="s">
        <v>1497</v>
      </c>
      <c r="C4" s="17"/>
      <c r="D4" s="17"/>
      <c r="E4" s="17"/>
      <c r="F4" s="17"/>
      <c r="H4" s="17" t="s">
        <v>1498</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HYPERLINK("#Content!A165","&lt;&lt;Back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3138</v>
      </c>
      <c r="D12" s="12">
        <v>79</v>
      </c>
      <c r="E12" s="12">
        <v>123</v>
      </c>
      <c r="F12" s="12">
        <v>64</v>
      </c>
      <c r="G12" s="12">
        <v>355</v>
      </c>
      <c r="H12" s="12">
        <v>286</v>
      </c>
      <c r="I12" s="12">
        <v>314</v>
      </c>
      <c r="J12" s="12">
        <v>29</v>
      </c>
      <c r="K12" s="12">
        <v>15</v>
      </c>
      <c r="L12" s="12">
        <v>114</v>
      </c>
      <c r="M12" s="12">
        <v>49</v>
      </c>
      <c r="N12" s="12">
        <v>47</v>
      </c>
      <c r="O12" s="12">
        <v>81</v>
      </c>
      <c r="P12" s="12">
        <v>230</v>
      </c>
      <c r="Q12" s="12">
        <v>66</v>
      </c>
      <c r="R12" s="12">
        <v>17</v>
      </c>
      <c r="S12" s="12">
        <v>40</v>
      </c>
      <c r="T12" s="12">
        <v>31</v>
      </c>
      <c r="U12" s="12">
        <v>70</v>
      </c>
      <c r="V12" s="12">
        <v>69</v>
      </c>
      <c r="W12" s="12">
        <v>47</v>
      </c>
      <c r="X12" s="12">
        <v>227</v>
      </c>
      <c r="Y12" s="12">
        <v>245</v>
      </c>
      <c r="Z12" s="12">
        <v>92</v>
      </c>
      <c r="AA12" s="12">
        <v>132</v>
      </c>
      <c r="AB12" s="12">
        <v>69</v>
      </c>
      <c r="AC12" s="12">
        <v>84</v>
      </c>
      <c r="AD12" s="12">
        <v>206</v>
      </c>
      <c r="AE12" s="12">
        <v>152</v>
      </c>
      <c r="AF12" s="12">
        <v>280</v>
      </c>
    </row>
    <row r="13" spans="1:32">
      <c r="A13" s="19"/>
      <c r="B13" s="13" t="s">
        <v>489</v>
      </c>
      <c r="C13" s="14">
        <v>0.12</v>
      </c>
      <c r="D13" s="14">
        <v>0.08</v>
      </c>
      <c r="E13" s="14">
        <v>0.12</v>
      </c>
      <c r="F13" s="14">
        <v>0.06</v>
      </c>
      <c r="G13" s="14">
        <v>0.35</v>
      </c>
      <c r="H13" s="14">
        <v>0.23</v>
      </c>
      <c r="I13" s="14">
        <v>0.21</v>
      </c>
      <c r="J13" s="14">
        <v>0.1</v>
      </c>
      <c r="K13" s="14">
        <v>0.01</v>
      </c>
      <c r="L13" s="14">
        <v>0.12</v>
      </c>
      <c r="M13" s="14">
        <v>0.05</v>
      </c>
      <c r="N13" s="14">
        <v>0.05</v>
      </c>
      <c r="O13" s="14">
        <v>0.08</v>
      </c>
      <c r="P13" s="14">
        <v>0.23</v>
      </c>
      <c r="Q13" s="14">
        <v>0.06</v>
      </c>
      <c r="R13" s="14">
        <v>0.03</v>
      </c>
      <c r="S13" s="14">
        <v>0.04</v>
      </c>
      <c r="T13" s="14">
        <v>0.03</v>
      </c>
      <c r="U13" s="14">
        <v>0.14000000000000001</v>
      </c>
      <c r="V13" s="14">
        <v>7.0000000000000007E-2</v>
      </c>
      <c r="W13" s="14">
        <v>0.09</v>
      </c>
      <c r="X13" s="14">
        <v>0.22</v>
      </c>
      <c r="Y13" s="14">
        <v>0.24</v>
      </c>
      <c r="Z13" s="14">
        <v>0.09</v>
      </c>
      <c r="AA13" s="14">
        <v>0.13</v>
      </c>
      <c r="AB13" s="14">
        <v>0.06</v>
      </c>
      <c r="AC13" s="14">
        <v>0.09</v>
      </c>
      <c r="AD13" s="14">
        <v>0.21</v>
      </c>
      <c r="AE13" s="14">
        <v>0.15</v>
      </c>
      <c r="AF13" s="14">
        <v>0.27</v>
      </c>
    </row>
    <row r="14" spans="1:32">
      <c r="A14" s="19"/>
      <c r="B14" s="11" t="s">
        <v>490</v>
      </c>
      <c r="C14" s="12">
        <v>9456</v>
      </c>
      <c r="D14" s="12">
        <v>386</v>
      </c>
      <c r="E14" s="12">
        <v>363</v>
      </c>
      <c r="F14" s="12">
        <v>318</v>
      </c>
      <c r="G14" s="12">
        <v>375</v>
      </c>
      <c r="H14" s="12">
        <v>483</v>
      </c>
      <c r="I14" s="12">
        <v>576</v>
      </c>
      <c r="J14" s="12">
        <v>93</v>
      </c>
      <c r="K14" s="12">
        <v>180</v>
      </c>
      <c r="L14" s="12">
        <v>384</v>
      </c>
      <c r="M14" s="12">
        <v>177</v>
      </c>
      <c r="N14" s="12">
        <v>360</v>
      </c>
      <c r="O14" s="12">
        <v>336</v>
      </c>
      <c r="P14" s="12">
        <v>423</v>
      </c>
      <c r="Q14" s="12">
        <v>320</v>
      </c>
      <c r="R14" s="12">
        <v>106</v>
      </c>
      <c r="S14" s="12">
        <v>267</v>
      </c>
      <c r="T14" s="12">
        <v>313</v>
      </c>
      <c r="U14" s="12">
        <v>225</v>
      </c>
      <c r="V14" s="12">
        <v>351</v>
      </c>
      <c r="W14" s="12">
        <v>168</v>
      </c>
      <c r="X14" s="12">
        <v>435</v>
      </c>
      <c r="Y14" s="12">
        <v>311</v>
      </c>
      <c r="Z14" s="12">
        <v>483</v>
      </c>
      <c r="AA14" s="12">
        <v>370</v>
      </c>
      <c r="AB14" s="12">
        <v>373</v>
      </c>
      <c r="AC14" s="12">
        <v>305</v>
      </c>
      <c r="AD14" s="12">
        <v>360</v>
      </c>
      <c r="AE14" s="12">
        <v>349</v>
      </c>
      <c r="AF14" s="12">
        <v>416</v>
      </c>
    </row>
    <row r="15" spans="1:32">
      <c r="A15" s="19"/>
      <c r="B15" s="13" t="s">
        <v>491</v>
      </c>
      <c r="C15" s="14">
        <v>0.36</v>
      </c>
      <c r="D15" s="14">
        <v>0.38</v>
      </c>
      <c r="E15" s="14">
        <v>0.35</v>
      </c>
      <c r="F15" s="14">
        <v>0.3</v>
      </c>
      <c r="G15" s="14">
        <v>0.37</v>
      </c>
      <c r="H15" s="14">
        <v>0.39</v>
      </c>
      <c r="I15" s="14">
        <v>0.38</v>
      </c>
      <c r="J15" s="14">
        <v>0.31</v>
      </c>
      <c r="K15" s="14">
        <v>0.18</v>
      </c>
      <c r="L15" s="14">
        <v>0.38</v>
      </c>
      <c r="M15" s="14">
        <v>0.18</v>
      </c>
      <c r="N15" s="14">
        <v>0.36</v>
      </c>
      <c r="O15" s="14">
        <v>0.33</v>
      </c>
      <c r="P15" s="14">
        <v>0.42</v>
      </c>
      <c r="Q15" s="14">
        <v>0.31</v>
      </c>
      <c r="R15" s="14">
        <v>0.21</v>
      </c>
      <c r="S15" s="14">
        <v>0.26</v>
      </c>
      <c r="T15" s="14">
        <v>0.31</v>
      </c>
      <c r="U15" s="14">
        <v>0.44</v>
      </c>
      <c r="V15" s="14">
        <v>0.34</v>
      </c>
      <c r="W15" s="14">
        <v>0.33</v>
      </c>
      <c r="X15" s="14">
        <v>0.43</v>
      </c>
      <c r="Y15" s="14">
        <v>0.31</v>
      </c>
      <c r="Z15" s="14">
        <v>0.48</v>
      </c>
      <c r="AA15" s="14">
        <v>0.36</v>
      </c>
      <c r="AB15" s="14">
        <v>0.36</v>
      </c>
      <c r="AC15" s="14">
        <v>0.3</v>
      </c>
      <c r="AD15" s="14">
        <v>0.36</v>
      </c>
      <c r="AE15" s="14">
        <v>0.35</v>
      </c>
      <c r="AF15" s="14">
        <v>0.41</v>
      </c>
    </row>
    <row r="16" spans="1:32">
      <c r="A16" s="19"/>
      <c r="B16" s="11" t="s">
        <v>492</v>
      </c>
      <c r="C16" s="12">
        <v>8144</v>
      </c>
      <c r="D16" s="12">
        <v>374</v>
      </c>
      <c r="E16" s="12">
        <v>266</v>
      </c>
      <c r="F16" s="12">
        <v>370</v>
      </c>
      <c r="G16" s="12">
        <v>179</v>
      </c>
      <c r="H16" s="12">
        <v>270</v>
      </c>
      <c r="I16" s="12">
        <v>388</v>
      </c>
      <c r="J16" s="12">
        <v>118</v>
      </c>
      <c r="K16" s="12">
        <v>381</v>
      </c>
      <c r="L16" s="12">
        <v>285</v>
      </c>
      <c r="M16" s="12">
        <v>426</v>
      </c>
      <c r="N16" s="12">
        <v>337</v>
      </c>
      <c r="O16" s="12">
        <v>298</v>
      </c>
      <c r="P16" s="12">
        <v>230</v>
      </c>
      <c r="Q16" s="12">
        <v>390</v>
      </c>
      <c r="R16" s="12">
        <v>165</v>
      </c>
      <c r="S16" s="12">
        <v>379</v>
      </c>
      <c r="T16" s="12">
        <v>301</v>
      </c>
      <c r="U16" s="12">
        <v>96</v>
      </c>
      <c r="V16" s="12">
        <v>293</v>
      </c>
      <c r="W16" s="12">
        <v>199</v>
      </c>
      <c r="X16" s="12">
        <v>242</v>
      </c>
      <c r="Y16" s="12">
        <v>227</v>
      </c>
      <c r="Z16" s="12">
        <v>320</v>
      </c>
      <c r="AA16" s="12">
        <v>408</v>
      </c>
      <c r="AB16" s="12">
        <v>355</v>
      </c>
      <c r="AC16" s="12">
        <v>331</v>
      </c>
      <c r="AD16" s="12">
        <v>297</v>
      </c>
      <c r="AE16" s="12">
        <v>335</v>
      </c>
      <c r="AF16" s="12">
        <v>220</v>
      </c>
    </row>
    <row r="17" spans="1:32">
      <c r="A17" s="19"/>
      <c r="B17" s="13" t="s">
        <v>493</v>
      </c>
      <c r="C17" s="14">
        <v>0.31</v>
      </c>
      <c r="D17" s="14">
        <v>0.37</v>
      </c>
      <c r="E17" s="14">
        <v>0.25</v>
      </c>
      <c r="F17" s="14">
        <v>0.35</v>
      </c>
      <c r="G17" s="14">
        <v>0.18</v>
      </c>
      <c r="H17" s="14">
        <v>0.22</v>
      </c>
      <c r="I17" s="14">
        <v>0.25</v>
      </c>
      <c r="J17" s="14">
        <v>0.4</v>
      </c>
      <c r="K17" s="14">
        <v>0.38</v>
      </c>
      <c r="L17" s="14">
        <v>0.28000000000000003</v>
      </c>
      <c r="M17" s="14">
        <v>0.42</v>
      </c>
      <c r="N17" s="14">
        <v>0.33</v>
      </c>
      <c r="O17" s="14">
        <v>0.3</v>
      </c>
      <c r="P17" s="14">
        <v>0.23</v>
      </c>
      <c r="Q17" s="14">
        <v>0.38</v>
      </c>
      <c r="R17" s="14">
        <v>0.33</v>
      </c>
      <c r="S17" s="14">
        <v>0.38</v>
      </c>
      <c r="T17" s="14">
        <v>0.28999999999999998</v>
      </c>
      <c r="U17" s="14">
        <v>0.19</v>
      </c>
      <c r="V17" s="14">
        <v>0.28000000000000003</v>
      </c>
      <c r="W17" s="14">
        <v>0.4</v>
      </c>
      <c r="X17" s="14">
        <v>0.24</v>
      </c>
      <c r="Y17" s="14">
        <v>0.23</v>
      </c>
      <c r="Z17" s="14">
        <v>0.31</v>
      </c>
      <c r="AA17" s="14">
        <v>0.39</v>
      </c>
      <c r="AB17" s="14">
        <v>0.34</v>
      </c>
      <c r="AC17" s="14">
        <v>0.33</v>
      </c>
      <c r="AD17" s="14">
        <v>0.3</v>
      </c>
      <c r="AE17" s="14">
        <v>0.34</v>
      </c>
      <c r="AF17" s="14">
        <v>0.21</v>
      </c>
    </row>
    <row r="18" spans="1:32">
      <c r="A18" s="19"/>
      <c r="B18" s="11" t="s">
        <v>494</v>
      </c>
      <c r="C18" s="12">
        <v>4952</v>
      </c>
      <c r="D18" s="12">
        <v>168</v>
      </c>
      <c r="E18" s="12">
        <v>234</v>
      </c>
      <c r="F18" s="12">
        <v>294</v>
      </c>
      <c r="G18" s="12">
        <v>76</v>
      </c>
      <c r="H18" s="12">
        <v>146</v>
      </c>
      <c r="I18" s="12">
        <v>197</v>
      </c>
      <c r="J18" s="12">
        <v>51</v>
      </c>
      <c r="K18" s="12">
        <v>369</v>
      </c>
      <c r="L18" s="12">
        <v>170</v>
      </c>
      <c r="M18" s="12">
        <v>340</v>
      </c>
      <c r="N18" s="12">
        <v>231</v>
      </c>
      <c r="O18" s="12">
        <v>247</v>
      </c>
      <c r="P18" s="12">
        <v>93</v>
      </c>
      <c r="Q18" s="12">
        <v>238</v>
      </c>
      <c r="R18" s="12">
        <v>192</v>
      </c>
      <c r="S18" s="12">
        <v>270</v>
      </c>
      <c r="T18" s="12">
        <v>280</v>
      </c>
      <c r="U18" s="12">
        <v>98</v>
      </c>
      <c r="V18" s="12">
        <v>294</v>
      </c>
      <c r="W18" s="12">
        <v>79</v>
      </c>
      <c r="X18" s="12">
        <v>96</v>
      </c>
      <c r="Y18" s="12">
        <v>195</v>
      </c>
      <c r="Z18" s="12">
        <v>89</v>
      </c>
      <c r="AA18" s="12">
        <v>111</v>
      </c>
      <c r="AB18" s="12">
        <v>227</v>
      </c>
      <c r="AC18" s="12">
        <v>244</v>
      </c>
      <c r="AD18" s="12">
        <v>114</v>
      </c>
      <c r="AE18" s="12">
        <v>151</v>
      </c>
      <c r="AF18" s="12">
        <v>96</v>
      </c>
    </row>
    <row r="19" spans="1:32">
      <c r="A19" s="19"/>
      <c r="B19" s="13" t="s">
        <v>495</v>
      </c>
      <c r="C19" s="14">
        <v>0.18</v>
      </c>
      <c r="D19" s="14">
        <v>0.16</v>
      </c>
      <c r="E19" s="14">
        <v>0.22</v>
      </c>
      <c r="F19" s="14">
        <v>0.27</v>
      </c>
      <c r="G19" s="14">
        <v>7.0000000000000007E-2</v>
      </c>
      <c r="H19" s="14">
        <v>0.12</v>
      </c>
      <c r="I19" s="14">
        <v>0.13</v>
      </c>
      <c r="J19" s="14">
        <v>0.17</v>
      </c>
      <c r="K19" s="14">
        <v>0.37</v>
      </c>
      <c r="L19" s="14">
        <v>0.17</v>
      </c>
      <c r="M19" s="14">
        <v>0.34</v>
      </c>
      <c r="N19" s="14">
        <v>0.23</v>
      </c>
      <c r="O19" s="14">
        <v>0.25</v>
      </c>
      <c r="P19" s="14">
        <v>0.09</v>
      </c>
      <c r="Q19" s="14">
        <v>0.23</v>
      </c>
      <c r="R19" s="14">
        <v>0.39</v>
      </c>
      <c r="S19" s="14">
        <v>0.27</v>
      </c>
      <c r="T19" s="14">
        <v>0.27</v>
      </c>
      <c r="U19" s="14">
        <v>0.19</v>
      </c>
      <c r="V19" s="14">
        <v>0.28999999999999998</v>
      </c>
      <c r="W19" s="14">
        <v>0.16</v>
      </c>
      <c r="X19" s="14">
        <v>0.1</v>
      </c>
      <c r="Y19" s="14">
        <v>0.2</v>
      </c>
      <c r="Z19" s="14">
        <v>0.09</v>
      </c>
      <c r="AA19" s="14">
        <v>0.11</v>
      </c>
      <c r="AB19" s="14">
        <v>0.22</v>
      </c>
      <c r="AC19" s="14">
        <v>0.24</v>
      </c>
      <c r="AD19" s="14">
        <v>0.11</v>
      </c>
      <c r="AE19" s="14">
        <v>0.15</v>
      </c>
      <c r="AF19" s="14">
        <v>0.09</v>
      </c>
    </row>
    <row r="20" spans="1:32">
      <c r="A20" s="19"/>
      <c r="B20" s="11" t="s">
        <v>386</v>
      </c>
      <c r="C20" s="12">
        <v>763</v>
      </c>
      <c r="D20" s="12">
        <v>14</v>
      </c>
      <c r="E20" s="12">
        <v>60</v>
      </c>
      <c r="F20" s="12">
        <v>18</v>
      </c>
      <c r="G20" s="12">
        <v>31</v>
      </c>
      <c r="H20" s="12">
        <v>45</v>
      </c>
      <c r="I20" s="12">
        <v>51</v>
      </c>
      <c r="J20" s="12">
        <v>6</v>
      </c>
      <c r="K20" s="12">
        <v>61</v>
      </c>
      <c r="L20" s="12">
        <v>53</v>
      </c>
      <c r="M20" s="12">
        <v>15</v>
      </c>
      <c r="N20" s="12">
        <v>35</v>
      </c>
      <c r="O20" s="12">
        <v>42</v>
      </c>
      <c r="P20" s="12">
        <v>26</v>
      </c>
      <c r="Q20" s="12">
        <v>17</v>
      </c>
      <c r="R20" s="12">
        <v>21</v>
      </c>
      <c r="S20" s="12">
        <v>48</v>
      </c>
      <c r="T20" s="12">
        <v>98</v>
      </c>
      <c r="U20" s="12">
        <v>19</v>
      </c>
      <c r="V20" s="12">
        <v>20</v>
      </c>
      <c r="W20" s="12">
        <v>9</v>
      </c>
      <c r="X20" s="12">
        <v>10</v>
      </c>
      <c r="Y20" s="12">
        <v>25</v>
      </c>
      <c r="Z20" s="12">
        <v>32</v>
      </c>
      <c r="AA20" s="12">
        <v>16</v>
      </c>
      <c r="AB20" s="12">
        <v>18</v>
      </c>
      <c r="AC20" s="12">
        <v>41</v>
      </c>
      <c r="AD20" s="12">
        <v>26</v>
      </c>
      <c r="AE20" s="12">
        <v>14</v>
      </c>
      <c r="AF20" s="12">
        <v>18</v>
      </c>
    </row>
    <row r="21" spans="1:32">
      <c r="A21" s="19"/>
      <c r="B21" s="13" t="s">
        <v>399</v>
      </c>
      <c r="C21" s="14">
        <v>0.03</v>
      </c>
      <c r="D21" s="14">
        <v>0.01</v>
      </c>
      <c r="E21" s="14">
        <v>0.06</v>
      </c>
      <c r="F21" s="14">
        <v>0.02</v>
      </c>
      <c r="G21" s="14">
        <v>0.03</v>
      </c>
      <c r="H21" s="14">
        <v>0.04</v>
      </c>
      <c r="I21" s="14">
        <v>0.03</v>
      </c>
      <c r="J21" s="14">
        <v>0.02</v>
      </c>
      <c r="K21" s="14">
        <v>0.06</v>
      </c>
      <c r="L21" s="14">
        <v>0.05</v>
      </c>
      <c r="M21" s="14">
        <v>0.01</v>
      </c>
      <c r="N21" s="14">
        <v>0.03</v>
      </c>
      <c r="O21" s="14">
        <v>0.04</v>
      </c>
      <c r="P21" s="14">
        <v>0.03</v>
      </c>
      <c r="Q21" s="14">
        <v>0.02</v>
      </c>
      <c r="R21" s="14">
        <v>0.04</v>
      </c>
      <c r="S21" s="14">
        <v>0.05</v>
      </c>
      <c r="T21" s="14">
        <v>0.1</v>
      </c>
      <c r="U21" s="14">
        <v>0.04</v>
      </c>
      <c r="V21" s="14">
        <v>0.02</v>
      </c>
      <c r="W21" s="14">
        <v>0.02</v>
      </c>
      <c r="X21" s="14">
        <v>0.01</v>
      </c>
      <c r="Y21" s="14">
        <v>0.02</v>
      </c>
      <c r="Z21" s="14">
        <v>0.03</v>
      </c>
      <c r="AA21" s="14">
        <v>0.01</v>
      </c>
      <c r="AB21" s="14">
        <v>0.02</v>
      </c>
      <c r="AC21" s="14">
        <v>0.04</v>
      </c>
      <c r="AD21" s="14">
        <v>0.02</v>
      </c>
      <c r="AE21" s="14">
        <v>0.01</v>
      </c>
      <c r="AF21" s="14">
        <v>0.02</v>
      </c>
    </row>
    <row r="22" spans="1:32">
      <c r="A22" s="19"/>
      <c r="B22" s="11" t="s">
        <v>496</v>
      </c>
      <c r="C22" s="12">
        <v>12594</v>
      </c>
      <c r="D22" s="12">
        <v>465</v>
      </c>
      <c r="E22" s="12">
        <v>486</v>
      </c>
      <c r="F22" s="12">
        <v>382</v>
      </c>
      <c r="G22" s="12">
        <v>730</v>
      </c>
      <c r="H22" s="12">
        <v>769</v>
      </c>
      <c r="I22" s="12">
        <v>890</v>
      </c>
      <c r="J22" s="12">
        <v>122</v>
      </c>
      <c r="K22" s="12">
        <v>195</v>
      </c>
      <c r="L22" s="12">
        <v>498</v>
      </c>
      <c r="M22" s="12">
        <v>226</v>
      </c>
      <c r="N22" s="12">
        <v>407</v>
      </c>
      <c r="O22" s="12">
        <v>417</v>
      </c>
      <c r="P22" s="12">
        <v>653</v>
      </c>
      <c r="Q22" s="12">
        <v>386</v>
      </c>
      <c r="R22" s="12">
        <v>123</v>
      </c>
      <c r="S22" s="12">
        <v>307</v>
      </c>
      <c r="T22" s="12">
        <v>344</v>
      </c>
      <c r="U22" s="12">
        <v>295</v>
      </c>
      <c r="V22" s="12">
        <v>420</v>
      </c>
      <c r="W22" s="12">
        <v>215</v>
      </c>
      <c r="X22" s="12">
        <v>662</v>
      </c>
      <c r="Y22" s="12">
        <v>556</v>
      </c>
      <c r="Z22" s="12">
        <v>575</v>
      </c>
      <c r="AA22" s="12">
        <v>502</v>
      </c>
      <c r="AB22" s="12">
        <v>442</v>
      </c>
      <c r="AC22" s="12">
        <v>389</v>
      </c>
      <c r="AD22" s="12">
        <v>566</v>
      </c>
      <c r="AE22" s="12">
        <v>501</v>
      </c>
      <c r="AF22" s="12">
        <v>696</v>
      </c>
    </row>
    <row r="23" spans="1:32">
      <c r="A23" s="19"/>
      <c r="B23" s="13" t="s">
        <v>497</v>
      </c>
      <c r="C23" s="14">
        <v>0.48</v>
      </c>
      <c r="D23" s="14">
        <v>0.46</v>
      </c>
      <c r="E23" s="14">
        <v>0.47</v>
      </c>
      <c r="F23" s="14">
        <v>0.36</v>
      </c>
      <c r="G23" s="14">
        <v>0.72</v>
      </c>
      <c r="H23" s="14">
        <v>0.62</v>
      </c>
      <c r="I23" s="14">
        <v>0.59</v>
      </c>
      <c r="J23" s="14">
        <v>0.41</v>
      </c>
      <c r="K23" s="14">
        <v>0.19</v>
      </c>
      <c r="L23" s="14">
        <v>0.5</v>
      </c>
      <c r="M23" s="14">
        <v>0.23</v>
      </c>
      <c r="N23" s="14">
        <v>0.41</v>
      </c>
      <c r="O23" s="14">
        <v>0.41</v>
      </c>
      <c r="P23" s="14">
        <v>0.65</v>
      </c>
      <c r="Q23" s="14">
        <v>0.37</v>
      </c>
      <c r="R23" s="14">
        <v>0.24</v>
      </c>
      <c r="S23" s="14">
        <v>0.3</v>
      </c>
      <c r="T23" s="14">
        <v>0.34</v>
      </c>
      <c r="U23" s="14">
        <v>0.57999999999999996</v>
      </c>
      <c r="V23" s="14">
        <v>0.41</v>
      </c>
      <c r="W23" s="14">
        <v>0.42</v>
      </c>
      <c r="X23" s="14">
        <v>0.65</v>
      </c>
      <c r="Y23" s="14">
        <v>0.55000000000000004</v>
      </c>
      <c r="Z23" s="14">
        <v>0.57000000000000006</v>
      </c>
      <c r="AA23" s="14">
        <v>0.49</v>
      </c>
      <c r="AB23" s="14">
        <v>0.42</v>
      </c>
      <c r="AC23" s="14">
        <v>0.39</v>
      </c>
      <c r="AD23" s="14">
        <v>0.57000000000000006</v>
      </c>
      <c r="AE23" s="14">
        <v>0.5</v>
      </c>
      <c r="AF23" s="14">
        <v>0.68</v>
      </c>
    </row>
    <row r="24" spans="1:32">
      <c r="A24" s="19"/>
      <c r="B24" s="11" t="s">
        <v>498</v>
      </c>
      <c r="C24" s="12">
        <v>13096</v>
      </c>
      <c r="D24" s="12">
        <v>542</v>
      </c>
      <c r="E24" s="12">
        <v>500</v>
      </c>
      <c r="F24" s="12">
        <v>664</v>
      </c>
      <c r="G24" s="12">
        <v>255</v>
      </c>
      <c r="H24" s="12">
        <v>416</v>
      </c>
      <c r="I24" s="12">
        <v>585</v>
      </c>
      <c r="J24" s="12">
        <v>169</v>
      </c>
      <c r="K24" s="12">
        <v>750</v>
      </c>
      <c r="L24" s="12">
        <v>455</v>
      </c>
      <c r="M24" s="12">
        <v>766</v>
      </c>
      <c r="N24" s="12">
        <v>568</v>
      </c>
      <c r="O24" s="12">
        <v>545</v>
      </c>
      <c r="P24" s="12">
        <v>323</v>
      </c>
      <c r="Q24" s="12">
        <v>628</v>
      </c>
      <c r="R24" s="12">
        <v>357</v>
      </c>
      <c r="S24" s="12">
        <v>649</v>
      </c>
      <c r="T24" s="12">
        <v>581</v>
      </c>
      <c r="U24" s="12">
        <v>194</v>
      </c>
      <c r="V24" s="12">
        <v>587</v>
      </c>
      <c r="W24" s="12">
        <v>278</v>
      </c>
      <c r="X24" s="12">
        <v>338</v>
      </c>
      <c r="Y24" s="12">
        <v>422</v>
      </c>
      <c r="Z24" s="12">
        <v>409</v>
      </c>
      <c r="AA24" s="12">
        <v>519</v>
      </c>
      <c r="AB24" s="12">
        <v>582</v>
      </c>
      <c r="AC24" s="12">
        <v>575</v>
      </c>
      <c r="AD24" s="12">
        <v>411</v>
      </c>
      <c r="AE24" s="12">
        <v>486</v>
      </c>
      <c r="AF24" s="12">
        <v>316</v>
      </c>
    </row>
    <row r="25" spans="1:32">
      <c r="A25" s="19"/>
      <c r="B25" s="13" t="s">
        <v>499</v>
      </c>
      <c r="C25" s="14">
        <v>0.49</v>
      </c>
      <c r="D25" s="14">
        <v>0.53</v>
      </c>
      <c r="E25" s="14">
        <v>0.47</v>
      </c>
      <c r="F25" s="14">
        <v>0.62</v>
      </c>
      <c r="G25" s="14">
        <v>0.25</v>
      </c>
      <c r="H25" s="14">
        <v>0.34</v>
      </c>
      <c r="I25" s="14">
        <v>0.38</v>
      </c>
      <c r="J25" s="14">
        <v>0.57000000000000006</v>
      </c>
      <c r="K25" s="14">
        <v>0.75</v>
      </c>
      <c r="L25" s="14">
        <v>0.45</v>
      </c>
      <c r="M25" s="14">
        <v>0.76</v>
      </c>
      <c r="N25" s="14">
        <v>0.56000000000000005</v>
      </c>
      <c r="O25" s="14">
        <v>0.55000000000000004</v>
      </c>
      <c r="P25" s="14">
        <v>0.32</v>
      </c>
      <c r="Q25" s="14">
        <v>0.61</v>
      </c>
      <c r="R25" s="14">
        <v>0.72</v>
      </c>
      <c r="S25" s="14">
        <v>0.65</v>
      </c>
      <c r="T25" s="14">
        <v>0.56000000000000005</v>
      </c>
      <c r="U25" s="14">
        <v>0.38</v>
      </c>
      <c r="V25" s="14">
        <v>0.57000000000000006</v>
      </c>
      <c r="W25" s="14">
        <v>0.56000000000000005</v>
      </c>
      <c r="X25" s="14">
        <v>0.34</v>
      </c>
      <c r="Y25" s="14">
        <v>0.43</v>
      </c>
      <c r="Z25" s="14">
        <v>0.4</v>
      </c>
      <c r="AA25" s="14">
        <v>0.5</v>
      </c>
      <c r="AB25" s="14">
        <v>0.56000000000000005</v>
      </c>
      <c r="AC25" s="14">
        <v>0.57000000000000006</v>
      </c>
      <c r="AD25" s="14">
        <v>0.41</v>
      </c>
      <c r="AE25" s="14">
        <v>0.49</v>
      </c>
      <c r="AF25" s="14">
        <v>0.3</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1499</v>
      </c>
      <c r="C3" s="17"/>
      <c r="D3" s="17"/>
      <c r="E3" s="17"/>
      <c r="F3" s="17"/>
      <c r="H3" s="17" t="s">
        <v>1500</v>
      </c>
      <c r="I3" s="17"/>
      <c r="J3" s="17"/>
      <c r="K3" s="17"/>
      <c r="L3" s="17"/>
    </row>
    <row r="4" spans="1:32" ht="27" customHeight="1">
      <c r="B4" s="17" t="s">
        <v>1501</v>
      </c>
      <c r="C4" s="17"/>
      <c r="D4" s="17"/>
      <c r="E4" s="17"/>
      <c r="F4" s="17"/>
      <c r="H4" s="17" t="s">
        <v>1502</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HYPERLINK("#Content!A166","&lt;&lt;Back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5308</v>
      </c>
      <c r="D12" s="12">
        <v>125</v>
      </c>
      <c r="E12" s="12">
        <v>161</v>
      </c>
      <c r="F12" s="12">
        <v>136</v>
      </c>
      <c r="G12" s="12">
        <v>649</v>
      </c>
      <c r="H12" s="12">
        <v>436</v>
      </c>
      <c r="I12" s="12">
        <v>492</v>
      </c>
      <c r="J12" s="12">
        <v>56</v>
      </c>
      <c r="K12" s="12">
        <v>57</v>
      </c>
      <c r="L12" s="12">
        <v>191</v>
      </c>
      <c r="M12" s="12">
        <v>70</v>
      </c>
      <c r="N12" s="12">
        <v>83</v>
      </c>
      <c r="O12" s="12">
        <v>162</v>
      </c>
      <c r="P12" s="12">
        <v>352</v>
      </c>
      <c r="Q12" s="12">
        <v>72</v>
      </c>
      <c r="R12" s="12">
        <v>15</v>
      </c>
      <c r="S12" s="12">
        <v>112</v>
      </c>
      <c r="T12" s="12">
        <v>46</v>
      </c>
      <c r="U12" s="12">
        <v>108</v>
      </c>
      <c r="V12" s="12">
        <v>113</v>
      </c>
      <c r="W12" s="12">
        <v>57</v>
      </c>
      <c r="X12" s="12">
        <v>405</v>
      </c>
      <c r="Y12" s="12">
        <v>362</v>
      </c>
      <c r="Z12" s="12">
        <v>176</v>
      </c>
      <c r="AA12" s="12">
        <v>193</v>
      </c>
      <c r="AB12" s="12">
        <v>116</v>
      </c>
      <c r="AC12" s="12">
        <v>162</v>
      </c>
      <c r="AD12" s="12">
        <v>361</v>
      </c>
      <c r="AE12" s="12">
        <v>386</v>
      </c>
      <c r="AF12" s="12">
        <v>646</v>
      </c>
    </row>
    <row r="13" spans="1:32">
      <c r="A13" s="19"/>
      <c r="B13" s="13" t="s">
        <v>489</v>
      </c>
      <c r="C13" s="14">
        <v>0.2</v>
      </c>
      <c r="D13" s="14">
        <v>0.12</v>
      </c>
      <c r="E13" s="14">
        <v>0.15</v>
      </c>
      <c r="F13" s="14">
        <v>0.13</v>
      </c>
      <c r="G13" s="14">
        <v>0.64</v>
      </c>
      <c r="H13" s="14">
        <v>0.35</v>
      </c>
      <c r="I13" s="14">
        <v>0.32</v>
      </c>
      <c r="J13" s="14">
        <v>0.19</v>
      </c>
      <c r="K13" s="14">
        <v>0.06</v>
      </c>
      <c r="L13" s="14">
        <v>0.19</v>
      </c>
      <c r="M13" s="14">
        <v>7.0000000000000007E-2</v>
      </c>
      <c r="N13" s="14">
        <v>0.08</v>
      </c>
      <c r="O13" s="14">
        <v>0.16</v>
      </c>
      <c r="P13" s="14">
        <v>0.35</v>
      </c>
      <c r="Q13" s="14">
        <v>7.0000000000000007E-2</v>
      </c>
      <c r="R13" s="14">
        <v>0.03</v>
      </c>
      <c r="S13" s="14">
        <v>0.11</v>
      </c>
      <c r="T13" s="14">
        <v>0.05</v>
      </c>
      <c r="U13" s="14">
        <v>0.21</v>
      </c>
      <c r="V13" s="14">
        <v>0.11</v>
      </c>
      <c r="W13" s="14">
        <v>0.11</v>
      </c>
      <c r="X13" s="14">
        <v>0.4</v>
      </c>
      <c r="Y13" s="14">
        <v>0.36</v>
      </c>
      <c r="Z13" s="14">
        <v>0.17</v>
      </c>
      <c r="AA13" s="14">
        <v>0.18</v>
      </c>
      <c r="AB13" s="14">
        <v>0.11</v>
      </c>
      <c r="AC13" s="14">
        <v>0.16</v>
      </c>
      <c r="AD13" s="14">
        <v>0.36</v>
      </c>
      <c r="AE13" s="14">
        <v>0.39</v>
      </c>
      <c r="AF13" s="14">
        <v>0.63</v>
      </c>
    </row>
    <row r="14" spans="1:32">
      <c r="A14" s="19"/>
      <c r="B14" s="11" t="s">
        <v>490</v>
      </c>
      <c r="C14" s="12">
        <v>11029</v>
      </c>
      <c r="D14" s="12">
        <v>465</v>
      </c>
      <c r="E14" s="12">
        <v>423</v>
      </c>
      <c r="F14" s="12">
        <v>512</v>
      </c>
      <c r="G14" s="12">
        <v>287</v>
      </c>
      <c r="H14" s="12">
        <v>503</v>
      </c>
      <c r="I14" s="12">
        <v>625</v>
      </c>
      <c r="J14" s="12">
        <v>122</v>
      </c>
      <c r="K14" s="12">
        <v>349</v>
      </c>
      <c r="L14" s="12">
        <v>490</v>
      </c>
      <c r="M14" s="12">
        <v>190</v>
      </c>
      <c r="N14" s="12">
        <v>419</v>
      </c>
      <c r="O14" s="12">
        <v>422</v>
      </c>
      <c r="P14" s="12">
        <v>444</v>
      </c>
      <c r="Q14" s="12">
        <v>397</v>
      </c>
      <c r="R14" s="12">
        <v>153</v>
      </c>
      <c r="S14" s="12">
        <v>354</v>
      </c>
      <c r="T14" s="12">
        <v>360</v>
      </c>
      <c r="U14" s="12">
        <v>243</v>
      </c>
      <c r="V14" s="12">
        <v>381</v>
      </c>
      <c r="W14" s="12">
        <v>193</v>
      </c>
      <c r="X14" s="12">
        <v>424</v>
      </c>
      <c r="Y14" s="12">
        <v>389</v>
      </c>
      <c r="Z14" s="12">
        <v>626</v>
      </c>
      <c r="AA14" s="12">
        <v>417</v>
      </c>
      <c r="AB14" s="12">
        <v>391</v>
      </c>
      <c r="AC14" s="12">
        <v>437</v>
      </c>
      <c r="AD14" s="12">
        <v>408</v>
      </c>
      <c r="AE14" s="12">
        <v>444</v>
      </c>
      <c r="AF14" s="12">
        <v>317</v>
      </c>
    </row>
    <row r="15" spans="1:32">
      <c r="A15" s="19"/>
      <c r="B15" s="13" t="s">
        <v>491</v>
      </c>
      <c r="C15" s="14">
        <v>0.42</v>
      </c>
      <c r="D15" s="14">
        <v>0.46</v>
      </c>
      <c r="E15" s="14">
        <v>0.41</v>
      </c>
      <c r="F15" s="14">
        <v>0.48</v>
      </c>
      <c r="G15" s="14">
        <v>0.28000000000000003</v>
      </c>
      <c r="H15" s="14">
        <v>0.41</v>
      </c>
      <c r="I15" s="14">
        <v>0.41</v>
      </c>
      <c r="J15" s="14">
        <v>0.41</v>
      </c>
      <c r="K15" s="14">
        <v>0.35</v>
      </c>
      <c r="L15" s="14">
        <v>0.49</v>
      </c>
      <c r="M15" s="14">
        <v>0.19</v>
      </c>
      <c r="N15" s="14">
        <v>0.41</v>
      </c>
      <c r="O15" s="14">
        <v>0.42</v>
      </c>
      <c r="P15" s="14">
        <v>0.44</v>
      </c>
      <c r="Q15" s="14">
        <v>0.38</v>
      </c>
      <c r="R15" s="14">
        <v>0.31</v>
      </c>
      <c r="S15" s="14">
        <v>0.36</v>
      </c>
      <c r="T15" s="14">
        <v>0.35</v>
      </c>
      <c r="U15" s="14">
        <v>0.48</v>
      </c>
      <c r="V15" s="14">
        <v>0.37</v>
      </c>
      <c r="W15" s="14">
        <v>0.39</v>
      </c>
      <c r="X15" s="14">
        <v>0.42</v>
      </c>
      <c r="Y15" s="14">
        <v>0.39</v>
      </c>
      <c r="Z15" s="14">
        <v>0.62</v>
      </c>
      <c r="AA15" s="14">
        <v>0.4</v>
      </c>
      <c r="AB15" s="14">
        <v>0.38</v>
      </c>
      <c r="AC15" s="14">
        <v>0.43</v>
      </c>
      <c r="AD15" s="14">
        <v>0.41</v>
      </c>
      <c r="AE15" s="14">
        <v>0.44</v>
      </c>
      <c r="AF15" s="14">
        <v>0.31</v>
      </c>
    </row>
    <row r="16" spans="1:32">
      <c r="A16" s="19"/>
      <c r="B16" s="11" t="s">
        <v>492</v>
      </c>
      <c r="C16" s="12">
        <v>6146</v>
      </c>
      <c r="D16" s="12">
        <v>284</v>
      </c>
      <c r="E16" s="12">
        <v>263</v>
      </c>
      <c r="F16" s="12">
        <v>281</v>
      </c>
      <c r="G16" s="12">
        <v>52</v>
      </c>
      <c r="H16" s="12">
        <v>161</v>
      </c>
      <c r="I16" s="12">
        <v>249</v>
      </c>
      <c r="J16" s="12">
        <v>88</v>
      </c>
      <c r="K16" s="12">
        <v>345</v>
      </c>
      <c r="L16" s="12">
        <v>195</v>
      </c>
      <c r="M16" s="12">
        <v>405</v>
      </c>
      <c r="N16" s="12">
        <v>295</v>
      </c>
      <c r="O16" s="12">
        <v>229</v>
      </c>
      <c r="P16" s="12">
        <v>141</v>
      </c>
      <c r="Q16" s="12">
        <v>346</v>
      </c>
      <c r="R16" s="12">
        <v>153</v>
      </c>
      <c r="S16" s="12">
        <v>333</v>
      </c>
      <c r="T16" s="12">
        <v>321</v>
      </c>
      <c r="U16" s="12">
        <v>90</v>
      </c>
      <c r="V16" s="12">
        <v>281</v>
      </c>
      <c r="W16" s="12">
        <v>187</v>
      </c>
      <c r="X16" s="12">
        <v>116</v>
      </c>
      <c r="Y16" s="12">
        <v>138</v>
      </c>
      <c r="Z16" s="12">
        <v>168</v>
      </c>
      <c r="AA16" s="12">
        <v>352</v>
      </c>
      <c r="AB16" s="12">
        <v>345</v>
      </c>
      <c r="AC16" s="12">
        <v>256</v>
      </c>
      <c r="AD16" s="12">
        <v>161</v>
      </c>
      <c r="AE16" s="12">
        <v>119</v>
      </c>
      <c r="AF16" s="12">
        <v>46</v>
      </c>
    </row>
    <row r="17" spans="1:32">
      <c r="A17" s="19"/>
      <c r="B17" s="13" t="s">
        <v>493</v>
      </c>
      <c r="C17" s="14">
        <v>0.23</v>
      </c>
      <c r="D17" s="14">
        <v>0.28000000000000003</v>
      </c>
      <c r="E17" s="14">
        <v>0.25</v>
      </c>
      <c r="F17" s="14">
        <v>0.26</v>
      </c>
      <c r="G17" s="14">
        <v>0.05</v>
      </c>
      <c r="H17" s="14">
        <v>0.13</v>
      </c>
      <c r="I17" s="14">
        <v>0.16</v>
      </c>
      <c r="J17" s="14">
        <v>0.3</v>
      </c>
      <c r="K17" s="14">
        <v>0.34</v>
      </c>
      <c r="L17" s="14">
        <v>0.19</v>
      </c>
      <c r="M17" s="14">
        <v>0.4</v>
      </c>
      <c r="N17" s="14">
        <v>0.28999999999999998</v>
      </c>
      <c r="O17" s="14">
        <v>0.23</v>
      </c>
      <c r="P17" s="14">
        <v>0.14000000000000001</v>
      </c>
      <c r="Q17" s="14">
        <v>0.34</v>
      </c>
      <c r="R17" s="14">
        <v>0.3</v>
      </c>
      <c r="S17" s="14">
        <v>0.33</v>
      </c>
      <c r="T17" s="14">
        <v>0.31</v>
      </c>
      <c r="U17" s="14">
        <v>0.18</v>
      </c>
      <c r="V17" s="14">
        <v>0.27</v>
      </c>
      <c r="W17" s="14">
        <v>0.37</v>
      </c>
      <c r="X17" s="14">
        <v>0.11</v>
      </c>
      <c r="Y17" s="14">
        <v>0.14000000000000001</v>
      </c>
      <c r="Z17" s="14">
        <v>0.16</v>
      </c>
      <c r="AA17" s="14">
        <v>0.34</v>
      </c>
      <c r="AB17" s="14">
        <v>0.33</v>
      </c>
      <c r="AC17" s="14">
        <v>0.26</v>
      </c>
      <c r="AD17" s="14">
        <v>0.16</v>
      </c>
      <c r="AE17" s="14">
        <v>0.12</v>
      </c>
      <c r="AF17" s="14">
        <v>0.04</v>
      </c>
    </row>
    <row r="18" spans="1:32">
      <c r="A18" s="19"/>
      <c r="B18" s="11" t="s">
        <v>494</v>
      </c>
      <c r="C18" s="12">
        <v>3499</v>
      </c>
      <c r="D18" s="12">
        <v>143</v>
      </c>
      <c r="E18" s="12">
        <v>158</v>
      </c>
      <c r="F18" s="12">
        <v>121</v>
      </c>
      <c r="G18" s="12">
        <v>17</v>
      </c>
      <c r="H18" s="12">
        <v>99</v>
      </c>
      <c r="I18" s="12">
        <v>127</v>
      </c>
      <c r="J18" s="12">
        <v>28</v>
      </c>
      <c r="K18" s="12">
        <v>209</v>
      </c>
      <c r="L18" s="12">
        <v>106</v>
      </c>
      <c r="M18" s="12">
        <v>335</v>
      </c>
      <c r="N18" s="12">
        <v>197</v>
      </c>
      <c r="O18" s="12">
        <v>161</v>
      </c>
      <c r="P18" s="12">
        <v>54</v>
      </c>
      <c r="Q18" s="12">
        <v>203</v>
      </c>
      <c r="R18" s="12">
        <v>171</v>
      </c>
      <c r="S18" s="12">
        <v>182</v>
      </c>
      <c r="T18" s="12">
        <v>241</v>
      </c>
      <c r="U18" s="12">
        <v>55</v>
      </c>
      <c r="V18" s="12">
        <v>242</v>
      </c>
      <c r="W18" s="12">
        <v>57</v>
      </c>
      <c r="X18" s="12">
        <v>59</v>
      </c>
      <c r="Y18" s="12">
        <v>105</v>
      </c>
      <c r="Z18" s="12">
        <v>31</v>
      </c>
      <c r="AA18" s="12">
        <v>68</v>
      </c>
      <c r="AB18" s="12">
        <v>174</v>
      </c>
      <c r="AC18" s="12">
        <v>133</v>
      </c>
      <c r="AD18" s="12">
        <v>51</v>
      </c>
      <c r="AE18" s="12">
        <v>45</v>
      </c>
      <c r="AF18" s="12">
        <v>21</v>
      </c>
    </row>
    <row r="19" spans="1:32">
      <c r="A19" s="19"/>
      <c r="B19" s="13" t="s">
        <v>495</v>
      </c>
      <c r="C19" s="14">
        <v>0.13</v>
      </c>
      <c r="D19" s="14">
        <v>0.14000000000000001</v>
      </c>
      <c r="E19" s="14">
        <v>0.15</v>
      </c>
      <c r="F19" s="14">
        <v>0.11</v>
      </c>
      <c r="G19" s="14">
        <v>0.02</v>
      </c>
      <c r="H19" s="14">
        <v>0.08</v>
      </c>
      <c r="I19" s="14">
        <v>0.09</v>
      </c>
      <c r="J19" s="14">
        <v>0.09</v>
      </c>
      <c r="K19" s="14">
        <v>0.21</v>
      </c>
      <c r="L19" s="14">
        <v>0.11</v>
      </c>
      <c r="M19" s="14">
        <v>0.33</v>
      </c>
      <c r="N19" s="14">
        <v>0.2</v>
      </c>
      <c r="O19" s="14">
        <v>0.16</v>
      </c>
      <c r="P19" s="14">
        <v>0.06</v>
      </c>
      <c r="Q19" s="14">
        <v>0.2</v>
      </c>
      <c r="R19" s="14">
        <v>0.34</v>
      </c>
      <c r="S19" s="14">
        <v>0.18</v>
      </c>
      <c r="T19" s="14">
        <v>0.24</v>
      </c>
      <c r="U19" s="14">
        <v>0.11</v>
      </c>
      <c r="V19" s="14">
        <v>0.24</v>
      </c>
      <c r="W19" s="14">
        <v>0.11</v>
      </c>
      <c r="X19" s="14">
        <v>0.06</v>
      </c>
      <c r="Y19" s="14">
        <v>0.1</v>
      </c>
      <c r="Z19" s="14">
        <v>0.03</v>
      </c>
      <c r="AA19" s="14">
        <v>7.0000000000000007E-2</v>
      </c>
      <c r="AB19" s="14">
        <v>0.17</v>
      </c>
      <c r="AC19" s="14">
        <v>0.13</v>
      </c>
      <c r="AD19" s="14">
        <v>0.05</v>
      </c>
      <c r="AE19" s="14">
        <v>0.04</v>
      </c>
      <c r="AF19" s="14">
        <v>0.02</v>
      </c>
    </row>
    <row r="20" spans="1:32">
      <c r="A20" s="19"/>
      <c r="B20" s="11" t="s">
        <v>386</v>
      </c>
      <c r="C20" s="12">
        <v>470</v>
      </c>
      <c r="D20" s="12">
        <v>4</v>
      </c>
      <c r="E20" s="12">
        <v>41</v>
      </c>
      <c r="F20" s="12">
        <v>15</v>
      </c>
      <c r="G20" s="12">
        <v>12</v>
      </c>
      <c r="H20" s="12">
        <v>31</v>
      </c>
      <c r="I20" s="12">
        <v>33</v>
      </c>
      <c r="J20" s="12">
        <v>3</v>
      </c>
      <c r="K20" s="12">
        <v>46</v>
      </c>
      <c r="L20" s="12">
        <v>24</v>
      </c>
      <c r="M20" s="12">
        <v>7</v>
      </c>
      <c r="N20" s="12">
        <v>17</v>
      </c>
      <c r="O20" s="12">
        <v>31</v>
      </c>
      <c r="P20" s="12">
        <v>12</v>
      </c>
      <c r="Q20" s="12">
        <v>14</v>
      </c>
      <c r="R20" s="12">
        <v>10</v>
      </c>
      <c r="S20" s="12">
        <v>23</v>
      </c>
      <c r="T20" s="12">
        <v>54</v>
      </c>
      <c r="U20" s="12">
        <v>13</v>
      </c>
      <c r="V20" s="12">
        <v>9</v>
      </c>
      <c r="W20" s="12">
        <v>8</v>
      </c>
      <c r="X20" s="12">
        <v>6</v>
      </c>
      <c r="Y20" s="12">
        <v>9</v>
      </c>
      <c r="Z20" s="12">
        <v>16</v>
      </c>
      <c r="AA20" s="12">
        <v>7</v>
      </c>
      <c r="AB20" s="12">
        <v>16</v>
      </c>
      <c r="AC20" s="12">
        <v>17</v>
      </c>
      <c r="AD20" s="12">
        <v>22</v>
      </c>
      <c r="AE20" s="12">
        <v>7</v>
      </c>
      <c r="AF20" s="12">
        <v>1</v>
      </c>
    </row>
    <row r="21" spans="1:32">
      <c r="A21" s="19"/>
      <c r="B21" s="13" t="s">
        <v>399</v>
      </c>
      <c r="C21" s="14">
        <v>0.02</v>
      </c>
      <c r="D21" s="15" t="s">
        <v>375</v>
      </c>
      <c r="E21" s="14">
        <v>0.04</v>
      </c>
      <c r="F21" s="14">
        <v>0.02</v>
      </c>
      <c r="G21" s="14">
        <v>0.01</v>
      </c>
      <c r="H21" s="14">
        <v>0.03</v>
      </c>
      <c r="I21" s="14">
        <v>0.02</v>
      </c>
      <c r="J21" s="14">
        <v>0.01</v>
      </c>
      <c r="K21" s="14">
        <v>0.04</v>
      </c>
      <c r="L21" s="14">
        <v>0.02</v>
      </c>
      <c r="M21" s="14">
        <v>0.01</v>
      </c>
      <c r="N21" s="14">
        <v>0.02</v>
      </c>
      <c r="O21" s="14">
        <v>0.03</v>
      </c>
      <c r="P21" s="14">
        <v>0.01</v>
      </c>
      <c r="Q21" s="14">
        <v>0.01</v>
      </c>
      <c r="R21" s="14">
        <v>0.02</v>
      </c>
      <c r="S21" s="14">
        <v>0.02</v>
      </c>
      <c r="T21" s="14">
        <v>0.05</v>
      </c>
      <c r="U21" s="14">
        <v>0.02</v>
      </c>
      <c r="V21" s="14">
        <v>0.01</v>
      </c>
      <c r="W21" s="14">
        <v>0.02</v>
      </c>
      <c r="X21" s="14">
        <v>0.01</v>
      </c>
      <c r="Y21" s="14">
        <v>0.01</v>
      </c>
      <c r="Z21" s="14">
        <v>0.02</v>
      </c>
      <c r="AA21" s="14">
        <v>0.01</v>
      </c>
      <c r="AB21" s="14">
        <v>0.01</v>
      </c>
      <c r="AC21" s="14">
        <v>0.02</v>
      </c>
      <c r="AD21" s="14">
        <v>0.02</v>
      </c>
      <c r="AE21" s="14">
        <v>0.01</v>
      </c>
      <c r="AF21" s="15" t="s">
        <v>375</v>
      </c>
    </row>
    <row r="22" spans="1:32">
      <c r="A22" s="19"/>
      <c r="B22" s="11" t="s">
        <v>496</v>
      </c>
      <c r="C22" s="12">
        <v>16337</v>
      </c>
      <c r="D22" s="12">
        <v>590</v>
      </c>
      <c r="E22" s="12">
        <v>584</v>
      </c>
      <c r="F22" s="12">
        <v>648</v>
      </c>
      <c r="G22" s="12">
        <v>936</v>
      </c>
      <c r="H22" s="12">
        <v>939</v>
      </c>
      <c r="I22" s="12">
        <v>1117</v>
      </c>
      <c r="J22" s="12">
        <v>178</v>
      </c>
      <c r="K22" s="12">
        <v>406</v>
      </c>
      <c r="L22" s="12">
        <v>681</v>
      </c>
      <c r="M22" s="12">
        <v>260</v>
      </c>
      <c r="N22" s="12">
        <v>502</v>
      </c>
      <c r="O22" s="12">
        <v>584</v>
      </c>
      <c r="P22" s="12">
        <v>796</v>
      </c>
      <c r="Q22" s="12">
        <v>469</v>
      </c>
      <c r="R22" s="12">
        <v>168</v>
      </c>
      <c r="S22" s="12">
        <v>466</v>
      </c>
      <c r="T22" s="12">
        <v>406</v>
      </c>
      <c r="U22" s="12">
        <v>351</v>
      </c>
      <c r="V22" s="12">
        <v>494</v>
      </c>
      <c r="W22" s="12">
        <v>250</v>
      </c>
      <c r="X22" s="12">
        <v>829</v>
      </c>
      <c r="Y22" s="12">
        <v>751</v>
      </c>
      <c r="Z22" s="12">
        <v>802</v>
      </c>
      <c r="AA22" s="12">
        <v>610</v>
      </c>
      <c r="AB22" s="12">
        <v>507</v>
      </c>
      <c r="AC22" s="12">
        <v>599</v>
      </c>
      <c r="AD22" s="12">
        <v>769</v>
      </c>
      <c r="AE22" s="12">
        <v>830</v>
      </c>
      <c r="AF22" s="12">
        <v>963</v>
      </c>
    </row>
    <row r="23" spans="1:32">
      <c r="A23" s="19"/>
      <c r="B23" s="13" t="s">
        <v>497</v>
      </c>
      <c r="C23" s="14">
        <v>0.62</v>
      </c>
      <c r="D23" s="14">
        <v>0.57999999999999996</v>
      </c>
      <c r="E23" s="14">
        <v>0.56000000000000005</v>
      </c>
      <c r="F23" s="14">
        <v>0.61</v>
      </c>
      <c r="G23" s="14">
        <v>0.92</v>
      </c>
      <c r="H23" s="14">
        <v>0.76</v>
      </c>
      <c r="I23" s="14">
        <v>0.73</v>
      </c>
      <c r="J23" s="14">
        <v>0.6</v>
      </c>
      <c r="K23" s="14">
        <v>0.41</v>
      </c>
      <c r="L23" s="14">
        <v>0.68</v>
      </c>
      <c r="M23" s="14">
        <v>0.26</v>
      </c>
      <c r="N23" s="14">
        <v>0.49</v>
      </c>
      <c r="O23" s="14">
        <v>0.57999999999999996</v>
      </c>
      <c r="P23" s="14">
        <v>0.79</v>
      </c>
      <c r="Q23" s="14">
        <v>0.45</v>
      </c>
      <c r="R23" s="14">
        <v>0.34</v>
      </c>
      <c r="S23" s="14">
        <v>0.47</v>
      </c>
      <c r="T23" s="14">
        <v>0.4</v>
      </c>
      <c r="U23" s="14">
        <v>0.69000000000000006</v>
      </c>
      <c r="V23" s="14">
        <v>0.48</v>
      </c>
      <c r="W23" s="14">
        <v>0.5</v>
      </c>
      <c r="X23" s="14">
        <v>0.82000000000000006</v>
      </c>
      <c r="Y23" s="14">
        <v>0.75</v>
      </c>
      <c r="Z23" s="14">
        <v>0.79</v>
      </c>
      <c r="AA23" s="14">
        <v>0.57999999999999996</v>
      </c>
      <c r="AB23" s="14">
        <v>0.49</v>
      </c>
      <c r="AC23" s="14">
        <v>0.59</v>
      </c>
      <c r="AD23" s="14">
        <v>0.77</v>
      </c>
      <c r="AE23" s="14">
        <v>0.83000000000000007</v>
      </c>
      <c r="AF23" s="14">
        <v>0.94000000000000006</v>
      </c>
    </row>
    <row r="24" spans="1:32">
      <c r="A24" s="19"/>
      <c r="B24" s="11" t="s">
        <v>498</v>
      </c>
      <c r="C24" s="12">
        <v>9645</v>
      </c>
      <c r="D24" s="12">
        <v>427</v>
      </c>
      <c r="E24" s="12">
        <v>421</v>
      </c>
      <c r="F24" s="12">
        <v>402</v>
      </c>
      <c r="G24" s="12">
        <v>69</v>
      </c>
      <c r="H24" s="12">
        <v>260</v>
      </c>
      <c r="I24" s="12">
        <v>376</v>
      </c>
      <c r="J24" s="12">
        <v>116</v>
      </c>
      <c r="K24" s="12">
        <v>554</v>
      </c>
      <c r="L24" s="12">
        <v>301</v>
      </c>
      <c r="M24" s="12">
        <v>740</v>
      </c>
      <c r="N24" s="12">
        <v>492</v>
      </c>
      <c r="O24" s="12">
        <v>390</v>
      </c>
      <c r="P24" s="12">
        <v>195</v>
      </c>
      <c r="Q24" s="12">
        <v>549</v>
      </c>
      <c r="R24" s="12">
        <v>324</v>
      </c>
      <c r="S24" s="12">
        <v>515</v>
      </c>
      <c r="T24" s="12">
        <v>562</v>
      </c>
      <c r="U24" s="12">
        <v>145</v>
      </c>
      <c r="V24" s="12">
        <v>523</v>
      </c>
      <c r="W24" s="12">
        <v>244</v>
      </c>
      <c r="X24" s="12">
        <v>175</v>
      </c>
      <c r="Y24" s="12">
        <v>243</v>
      </c>
      <c r="Z24" s="12">
        <v>199</v>
      </c>
      <c r="AA24" s="12">
        <v>420</v>
      </c>
      <c r="AB24" s="12">
        <v>519</v>
      </c>
      <c r="AC24" s="12">
        <v>389</v>
      </c>
      <c r="AD24" s="12">
        <v>212</v>
      </c>
      <c r="AE24" s="12">
        <v>164</v>
      </c>
      <c r="AF24" s="12">
        <v>67</v>
      </c>
    </row>
    <row r="25" spans="1:32">
      <c r="A25" s="19"/>
      <c r="B25" s="13" t="s">
        <v>499</v>
      </c>
      <c r="C25" s="14">
        <v>0.36</v>
      </c>
      <c r="D25" s="14">
        <v>0.42</v>
      </c>
      <c r="E25" s="14">
        <v>0.4</v>
      </c>
      <c r="F25" s="14">
        <v>0.37</v>
      </c>
      <c r="G25" s="14">
        <v>7.0000000000000007E-2</v>
      </c>
      <c r="H25" s="14">
        <v>0.21</v>
      </c>
      <c r="I25" s="14">
        <v>0.25</v>
      </c>
      <c r="J25" s="14">
        <v>0.39</v>
      </c>
      <c r="K25" s="14">
        <v>0.55000000000000004</v>
      </c>
      <c r="L25" s="14">
        <v>0.3</v>
      </c>
      <c r="M25" s="14">
        <v>0.73</v>
      </c>
      <c r="N25" s="14">
        <v>0.49</v>
      </c>
      <c r="O25" s="14">
        <v>0.39</v>
      </c>
      <c r="P25" s="14">
        <v>0.2</v>
      </c>
      <c r="Q25" s="14">
        <v>0.54</v>
      </c>
      <c r="R25" s="14">
        <v>0.64</v>
      </c>
      <c r="S25" s="14">
        <v>0.51</v>
      </c>
      <c r="T25" s="14">
        <v>0.55000000000000004</v>
      </c>
      <c r="U25" s="14">
        <v>0.28999999999999998</v>
      </c>
      <c r="V25" s="14">
        <v>0.51</v>
      </c>
      <c r="W25" s="14">
        <v>0.48</v>
      </c>
      <c r="X25" s="14">
        <v>0.17</v>
      </c>
      <c r="Y25" s="14">
        <v>0.24</v>
      </c>
      <c r="Z25" s="14">
        <v>0.19</v>
      </c>
      <c r="AA25" s="14">
        <v>0.41</v>
      </c>
      <c r="AB25" s="14">
        <v>0.5</v>
      </c>
      <c r="AC25" s="14">
        <v>0.39</v>
      </c>
      <c r="AD25" s="14">
        <v>0.21</v>
      </c>
      <c r="AE25" s="14">
        <v>0.16</v>
      </c>
      <c r="AF25" s="14">
        <v>0.06</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F25"/>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24" customHeight="1">
      <c r="B3" s="17" t="s">
        <v>1503</v>
      </c>
      <c r="C3" s="17"/>
      <c r="D3" s="17"/>
      <c r="E3" s="17"/>
      <c r="F3" s="17"/>
      <c r="H3" s="17" t="s">
        <v>1504</v>
      </c>
      <c r="I3" s="17"/>
      <c r="J3" s="17"/>
      <c r="K3" s="17"/>
      <c r="L3" s="17"/>
    </row>
    <row r="4" spans="1:32" ht="27" customHeight="1">
      <c r="B4" s="17" t="s">
        <v>1505</v>
      </c>
      <c r="C4" s="17"/>
      <c r="D4" s="17"/>
      <c r="E4" s="17"/>
      <c r="F4" s="17"/>
      <c r="H4" s="17" t="s">
        <v>1506</v>
      </c>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HYPERLINK("#Content!A167","&lt;&lt;Back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488</v>
      </c>
      <c r="C12" s="12">
        <v>5210</v>
      </c>
      <c r="D12" s="12">
        <v>131</v>
      </c>
      <c r="E12" s="12">
        <v>118</v>
      </c>
      <c r="F12" s="12">
        <v>119</v>
      </c>
      <c r="G12" s="12">
        <v>489</v>
      </c>
      <c r="H12" s="12">
        <v>451</v>
      </c>
      <c r="I12" s="12">
        <v>515</v>
      </c>
      <c r="J12" s="12">
        <v>64</v>
      </c>
      <c r="K12" s="12">
        <v>86</v>
      </c>
      <c r="L12" s="12">
        <v>218</v>
      </c>
      <c r="M12" s="12">
        <v>79</v>
      </c>
      <c r="N12" s="12">
        <v>136</v>
      </c>
      <c r="O12" s="12">
        <v>158</v>
      </c>
      <c r="P12" s="12">
        <v>261</v>
      </c>
      <c r="Q12" s="12">
        <v>134</v>
      </c>
      <c r="R12" s="12">
        <v>16</v>
      </c>
      <c r="S12" s="12">
        <v>82</v>
      </c>
      <c r="T12" s="12">
        <v>68</v>
      </c>
      <c r="U12" s="12">
        <v>109</v>
      </c>
      <c r="V12" s="12">
        <v>128</v>
      </c>
      <c r="W12" s="12">
        <v>97</v>
      </c>
      <c r="X12" s="12">
        <v>334</v>
      </c>
      <c r="Y12" s="12">
        <v>282</v>
      </c>
      <c r="Z12" s="12">
        <v>142</v>
      </c>
      <c r="AA12" s="12">
        <v>260</v>
      </c>
      <c r="AB12" s="12">
        <v>94</v>
      </c>
      <c r="AC12" s="12">
        <v>88</v>
      </c>
      <c r="AD12" s="12">
        <v>220</v>
      </c>
      <c r="AE12" s="12">
        <v>204</v>
      </c>
      <c r="AF12" s="12">
        <v>358</v>
      </c>
    </row>
    <row r="13" spans="1:32">
      <c r="A13" s="19"/>
      <c r="B13" s="13" t="s">
        <v>489</v>
      </c>
      <c r="C13" s="14">
        <v>0.2</v>
      </c>
      <c r="D13" s="14">
        <v>0.13</v>
      </c>
      <c r="E13" s="14">
        <v>0.11</v>
      </c>
      <c r="F13" s="14">
        <v>0.11</v>
      </c>
      <c r="G13" s="14">
        <v>0.48</v>
      </c>
      <c r="H13" s="14">
        <v>0.37</v>
      </c>
      <c r="I13" s="14">
        <v>0.34</v>
      </c>
      <c r="J13" s="14">
        <v>0.22</v>
      </c>
      <c r="K13" s="14">
        <v>0.09</v>
      </c>
      <c r="L13" s="14">
        <v>0.22</v>
      </c>
      <c r="M13" s="14">
        <v>0.08</v>
      </c>
      <c r="N13" s="14">
        <v>0.13</v>
      </c>
      <c r="O13" s="14">
        <v>0.16</v>
      </c>
      <c r="P13" s="14">
        <v>0.26</v>
      </c>
      <c r="Q13" s="14">
        <v>0.13</v>
      </c>
      <c r="R13" s="14">
        <v>0.03</v>
      </c>
      <c r="S13" s="14">
        <v>0.08</v>
      </c>
      <c r="T13" s="14">
        <v>7.0000000000000007E-2</v>
      </c>
      <c r="U13" s="14">
        <v>0.21</v>
      </c>
      <c r="V13" s="14">
        <v>0.12</v>
      </c>
      <c r="W13" s="14">
        <v>0.19</v>
      </c>
      <c r="X13" s="14">
        <v>0.33</v>
      </c>
      <c r="Y13" s="14">
        <v>0.28000000000000003</v>
      </c>
      <c r="Z13" s="14">
        <v>0.14000000000000001</v>
      </c>
      <c r="AA13" s="14">
        <v>0.25</v>
      </c>
      <c r="AB13" s="14">
        <v>0.09</v>
      </c>
      <c r="AC13" s="14">
        <v>0.09</v>
      </c>
      <c r="AD13" s="14">
        <v>0.22</v>
      </c>
      <c r="AE13" s="14">
        <v>0.2</v>
      </c>
      <c r="AF13" s="14">
        <v>0.35</v>
      </c>
    </row>
    <row r="14" spans="1:32">
      <c r="A14" s="19"/>
      <c r="B14" s="11" t="s">
        <v>490</v>
      </c>
      <c r="C14" s="12">
        <v>12819</v>
      </c>
      <c r="D14" s="12">
        <v>517</v>
      </c>
      <c r="E14" s="12">
        <v>413</v>
      </c>
      <c r="F14" s="12">
        <v>419</v>
      </c>
      <c r="G14" s="12">
        <v>396</v>
      </c>
      <c r="H14" s="12">
        <v>599</v>
      </c>
      <c r="I14" s="12">
        <v>741</v>
      </c>
      <c r="J14" s="12">
        <v>142</v>
      </c>
      <c r="K14" s="12">
        <v>516</v>
      </c>
      <c r="L14" s="12">
        <v>536</v>
      </c>
      <c r="M14" s="12">
        <v>281</v>
      </c>
      <c r="N14" s="12">
        <v>490</v>
      </c>
      <c r="O14" s="12">
        <v>515</v>
      </c>
      <c r="P14" s="12">
        <v>490</v>
      </c>
      <c r="Q14" s="12">
        <v>463</v>
      </c>
      <c r="R14" s="12">
        <v>158</v>
      </c>
      <c r="S14" s="12">
        <v>484</v>
      </c>
      <c r="T14" s="12">
        <v>536</v>
      </c>
      <c r="U14" s="12">
        <v>292</v>
      </c>
      <c r="V14" s="12">
        <v>416</v>
      </c>
      <c r="W14" s="12">
        <v>283</v>
      </c>
      <c r="X14" s="12">
        <v>472</v>
      </c>
      <c r="Y14" s="12">
        <v>391</v>
      </c>
      <c r="Z14" s="12">
        <v>633</v>
      </c>
      <c r="AA14" s="12">
        <v>617</v>
      </c>
      <c r="AB14" s="12">
        <v>473</v>
      </c>
      <c r="AC14" s="12">
        <v>407</v>
      </c>
      <c r="AD14" s="12">
        <v>464</v>
      </c>
      <c r="AE14" s="12">
        <v>541</v>
      </c>
      <c r="AF14" s="12">
        <v>521</v>
      </c>
    </row>
    <row r="15" spans="1:32">
      <c r="A15" s="19"/>
      <c r="B15" s="13" t="s">
        <v>491</v>
      </c>
      <c r="C15" s="14">
        <v>0.48</v>
      </c>
      <c r="D15" s="14">
        <v>0.51</v>
      </c>
      <c r="E15" s="14">
        <v>0.39</v>
      </c>
      <c r="F15" s="14">
        <v>0.4</v>
      </c>
      <c r="G15" s="14">
        <v>0.39</v>
      </c>
      <c r="H15" s="14">
        <v>0.49</v>
      </c>
      <c r="I15" s="14">
        <v>0.48</v>
      </c>
      <c r="J15" s="14">
        <v>0.48</v>
      </c>
      <c r="K15" s="14">
        <v>0.51</v>
      </c>
      <c r="L15" s="14">
        <v>0.53</v>
      </c>
      <c r="M15" s="14">
        <v>0.28000000000000003</v>
      </c>
      <c r="N15" s="14">
        <v>0.48</v>
      </c>
      <c r="O15" s="14">
        <v>0.51</v>
      </c>
      <c r="P15" s="14">
        <v>0.49</v>
      </c>
      <c r="Q15" s="14">
        <v>0.45</v>
      </c>
      <c r="R15" s="14">
        <v>0.31</v>
      </c>
      <c r="S15" s="14">
        <v>0.48</v>
      </c>
      <c r="T15" s="14">
        <v>0.52</v>
      </c>
      <c r="U15" s="14">
        <v>0.57000000000000006</v>
      </c>
      <c r="V15" s="14">
        <v>0.41</v>
      </c>
      <c r="W15" s="14">
        <v>0.56000000000000005</v>
      </c>
      <c r="X15" s="14">
        <v>0.47</v>
      </c>
      <c r="Y15" s="14">
        <v>0.39</v>
      </c>
      <c r="Z15" s="14">
        <v>0.62</v>
      </c>
      <c r="AA15" s="14">
        <v>0.59</v>
      </c>
      <c r="AB15" s="14">
        <v>0.45</v>
      </c>
      <c r="AC15" s="14">
        <v>0.4</v>
      </c>
      <c r="AD15" s="14">
        <v>0.46</v>
      </c>
      <c r="AE15" s="14">
        <v>0.54</v>
      </c>
      <c r="AF15" s="14">
        <v>0.5</v>
      </c>
    </row>
    <row r="16" spans="1:32">
      <c r="A16" s="19"/>
      <c r="B16" s="11" t="s">
        <v>492</v>
      </c>
      <c r="C16" s="12">
        <v>5595</v>
      </c>
      <c r="D16" s="12">
        <v>267</v>
      </c>
      <c r="E16" s="12">
        <v>290</v>
      </c>
      <c r="F16" s="12">
        <v>383</v>
      </c>
      <c r="G16" s="12">
        <v>88</v>
      </c>
      <c r="H16" s="12">
        <v>101</v>
      </c>
      <c r="I16" s="12">
        <v>171</v>
      </c>
      <c r="J16" s="12">
        <v>70</v>
      </c>
      <c r="K16" s="12">
        <v>256</v>
      </c>
      <c r="L16" s="12">
        <v>154</v>
      </c>
      <c r="M16" s="12">
        <v>396</v>
      </c>
      <c r="N16" s="12">
        <v>248</v>
      </c>
      <c r="O16" s="12">
        <v>205</v>
      </c>
      <c r="P16" s="12">
        <v>159</v>
      </c>
      <c r="Q16" s="12">
        <v>306</v>
      </c>
      <c r="R16" s="12">
        <v>170</v>
      </c>
      <c r="S16" s="12">
        <v>322</v>
      </c>
      <c r="T16" s="12">
        <v>296</v>
      </c>
      <c r="U16" s="12">
        <v>66</v>
      </c>
      <c r="V16" s="12">
        <v>307</v>
      </c>
      <c r="W16" s="12">
        <v>86</v>
      </c>
      <c r="X16" s="12">
        <v>150</v>
      </c>
      <c r="Y16" s="12">
        <v>224</v>
      </c>
      <c r="Z16" s="12">
        <v>176</v>
      </c>
      <c r="AA16" s="12">
        <v>119</v>
      </c>
      <c r="AB16" s="12">
        <v>312</v>
      </c>
      <c r="AC16" s="12">
        <v>339</v>
      </c>
      <c r="AD16" s="12">
        <v>222</v>
      </c>
      <c r="AE16" s="12">
        <v>186</v>
      </c>
      <c r="AF16" s="12">
        <v>118</v>
      </c>
    </row>
    <row r="17" spans="1:32">
      <c r="A17" s="19"/>
      <c r="B17" s="13" t="s">
        <v>493</v>
      </c>
      <c r="C17" s="14">
        <v>0.21</v>
      </c>
      <c r="D17" s="14">
        <v>0.26</v>
      </c>
      <c r="E17" s="14">
        <v>0.28000000000000003</v>
      </c>
      <c r="F17" s="14">
        <v>0.36</v>
      </c>
      <c r="G17" s="14">
        <v>0.09</v>
      </c>
      <c r="H17" s="14">
        <v>0.08</v>
      </c>
      <c r="I17" s="14">
        <v>0.11</v>
      </c>
      <c r="J17" s="14">
        <v>0.23</v>
      </c>
      <c r="K17" s="14">
        <v>0.25</v>
      </c>
      <c r="L17" s="14">
        <v>0.15</v>
      </c>
      <c r="M17" s="14">
        <v>0.39</v>
      </c>
      <c r="N17" s="14">
        <v>0.25</v>
      </c>
      <c r="O17" s="14">
        <v>0.2</v>
      </c>
      <c r="P17" s="14">
        <v>0.16</v>
      </c>
      <c r="Q17" s="14">
        <v>0.3</v>
      </c>
      <c r="R17" s="14">
        <v>0.34</v>
      </c>
      <c r="S17" s="14">
        <v>0.32</v>
      </c>
      <c r="T17" s="14">
        <v>0.28999999999999998</v>
      </c>
      <c r="U17" s="14">
        <v>0.13</v>
      </c>
      <c r="V17" s="14">
        <v>0.3</v>
      </c>
      <c r="W17" s="14">
        <v>0.17</v>
      </c>
      <c r="X17" s="14">
        <v>0.15</v>
      </c>
      <c r="Y17" s="14">
        <v>0.22</v>
      </c>
      <c r="Z17" s="14">
        <v>0.17</v>
      </c>
      <c r="AA17" s="14">
        <v>0.12</v>
      </c>
      <c r="AB17" s="14">
        <v>0.3</v>
      </c>
      <c r="AC17" s="14">
        <v>0.34</v>
      </c>
      <c r="AD17" s="14">
        <v>0.22</v>
      </c>
      <c r="AE17" s="14">
        <v>0.19</v>
      </c>
      <c r="AF17" s="14">
        <v>0.11</v>
      </c>
    </row>
    <row r="18" spans="1:32">
      <c r="A18" s="19"/>
      <c r="B18" s="11" t="s">
        <v>494</v>
      </c>
      <c r="C18" s="12">
        <v>2154</v>
      </c>
      <c r="D18" s="12">
        <v>95</v>
      </c>
      <c r="E18" s="12">
        <v>173</v>
      </c>
      <c r="F18" s="12">
        <v>129</v>
      </c>
      <c r="G18" s="12">
        <v>21</v>
      </c>
      <c r="H18" s="12">
        <v>52</v>
      </c>
      <c r="I18" s="12">
        <v>70</v>
      </c>
      <c r="J18" s="12">
        <v>18</v>
      </c>
      <c r="K18" s="12">
        <v>105</v>
      </c>
      <c r="L18" s="12">
        <v>63</v>
      </c>
      <c r="M18" s="12">
        <v>239</v>
      </c>
      <c r="N18" s="12">
        <v>99</v>
      </c>
      <c r="O18" s="12">
        <v>85</v>
      </c>
      <c r="P18" s="12">
        <v>54</v>
      </c>
      <c r="Q18" s="12">
        <v>112</v>
      </c>
      <c r="R18" s="12">
        <v>130</v>
      </c>
      <c r="S18" s="12">
        <v>73</v>
      </c>
      <c r="T18" s="12">
        <v>68</v>
      </c>
      <c r="U18" s="12">
        <v>23</v>
      </c>
      <c r="V18" s="12">
        <v>167</v>
      </c>
      <c r="W18" s="12">
        <v>33</v>
      </c>
      <c r="X18" s="12">
        <v>48</v>
      </c>
      <c r="Y18" s="12">
        <v>77</v>
      </c>
      <c r="Z18" s="12">
        <v>37</v>
      </c>
      <c r="AA18" s="12">
        <v>26</v>
      </c>
      <c r="AB18" s="12">
        <v>125</v>
      </c>
      <c r="AC18" s="12">
        <v>146</v>
      </c>
      <c r="AD18" s="12">
        <v>78</v>
      </c>
      <c r="AE18" s="12">
        <v>55</v>
      </c>
      <c r="AF18" s="12">
        <v>28</v>
      </c>
    </row>
    <row r="19" spans="1:32">
      <c r="A19" s="19"/>
      <c r="B19" s="13" t="s">
        <v>495</v>
      </c>
      <c r="C19" s="14">
        <v>0.08</v>
      </c>
      <c r="D19" s="14">
        <v>0.09</v>
      </c>
      <c r="E19" s="14">
        <v>0.17</v>
      </c>
      <c r="F19" s="14">
        <v>0.12</v>
      </c>
      <c r="G19" s="14">
        <v>0.02</v>
      </c>
      <c r="H19" s="14">
        <v>0.04</v>
      </c>
      <c r="I19" s="14">
        <v>0.05</v>
      </c>
      <c r="J19" s="14">
        <v>0.06</v>
      </c>
      <c r="K19" s="14">
        <v>0.11</v>
      </c>
      <c r="L19" s="14">
        <v>0.06</v>
      </c>
      <c r="M19" s="14">
        <v>0.24</v>
      </c>
      <c r="N19" s="14">
        <v>0.1</v>
      </c>
      <c r="O19" s="14">
        <v>0.09</v>
      </c>
      <c r="P19" s="14">
        <v>0.05</v>
      </c>
      <c r="Q19" s="14">
        <v>0.11</v>
      </c>
      <c r="R19" s="14">
        <v>0.26</v>
      </c>
      <c r="S19" s="14">
        <v>7.0000000000000007E-2</v>
      </c>
      <c r="T19" s="14">
        <v>7.0000000000000007E-2</v>
      </c>
      <c r="U19" s="14">
        <v>0.05</v>
      </c>
      <c r="V19" s="14">
        <v>0.16</v>
      </c>
      <c r="W19" s="14">
        <v>7.0000000000000007E-2</v>
      </c>
      <c r="X19" s="14">
        <v>0.05</v>
      </c>
      <c r="Y19" s="14">
        <v>0.08</v>
      </c>
      <c r="Z19" s="14">
        <v>0.04</v>
      </c>
      <c r="AA19" s="14">
        <v>0.03</v>
      </c>
      <c r="AB19" s="14">
        <v>0.12</v>
      </c>
      <c r="AC19" s="14">
        <v>0.14000000000000001</v>
      </c>
      <c r="AD19" s="14">
        <v>0.08</v>
      </c>
      <c r="AE19" s="14">
        <v>0.06</v>
      </c>
      <c r="AF19" s="14">
        <v>0.03</v>
      </c>
    </row>
    <row r="20" spans="1:32">
      <c r="A20" s="19"/>
      <c r="B20" s="11" t="s">
        <v>386</v>
      </c>
      <c r="C20" s="12">
        <v>675</v>
      </c>
      <c r="D20" s="12">
        <v>11</v>
      </c>
      <c r="E20" s="12">
        <v>52</v>
      </c>
      <c r="F20" s="12">
        <v>14</v>
      </c>
      <c r="G20" s="12">
        <v>22</v>
      </c>
      <c r="H20" s="12">
        <v>27</v>
      </c>
      <c r="I20" s="12">
        <v>31</v>
      </c>
      <c r="J20" s="12">
        <v>3</v>
      </c>
      <c r="K20" s="12">
        <v>43</v>
      </c>
      <c r="L20" s="12">
        <v>35</v>
      </c>
      <c r="M20" s="12">
        <v>11</v>
      </c>
      <c r="N20" s="12">
        <v>38</v>
      </c>
      <c r="O20" s="12">
        <v>42</v>
      </c>
      <c r="P20" s="12">
        <v>40</v>
      </c>
      <c r="Q20" s="12">
        <v>17</v>
      </c>
      <c r="R20" s="12">
        <v>28</v>
      </c>
      <c r="S20" s="12">
        <v>43</v>
      </c>
      <c r="T20" s="12">
        <v>56</v>
      </c>
      <c r="U20" s="12">
        <v>19</v>
      </c>
      <c r="V20" s="12">
        <v>9</v>
      </c>
      <c r="W20" s="12">
        <v>4</v>
      </c>
      <c r="X20" s="12">
        <v>7</v>
      </c>
      <c r="Y20" s="12">
        <v>28</v>
      </c>
      <c r="Z20" s="12">
        <v>28</v>
      </c>
      <c r="AA20" s="12">
        <v>15</v>
      </c>
      <c r="AB20" s="12">
        <v>36</v>
      </c>
      <c r="AC20" s="12">
        <v>26</v>
      </c>
      <c r="AD20" s="12">
        <v>20</v>
      </c>
      <c r="AE20" s="12">
        <v>14</v>
      </c>
      <c r="AF20" s="12">
        <v>6</v>
      </c>
    </row>
    <row r="21" spans="1:32">
      <c r="A21" s="19"/>
      <c r="B21" s="13" t="s">
        <v>399</v>
      </c>
      <c r="C21" s="14">
        <v>0.03</v>
      </c>
      <c r="D21" s="14">
        <v>0.01</v>
      </c>
      <c r="E21" s="14">
        <v>0.05</v>
      </c>
      <c r="F21" s="14">
        <v>0.01</v>
      </c>
      <c r="G21" s="14">
        <v>0.02</v>
      </c>
      <c r="H21" s="14">
        <v>0.02</v>
      </c>
      <c r="I21" s="14">
        <v>0.02</v>
      </c>
      <c r="J21" s="14">
        <v>0.01</v>
      </c>
      <c r="K21" s="14">
        <v>0.04</v>
      </c>
      <c r="L21" s="14">
        <v>0.04</v>
      </c>
      <c r="M21" s="14">
        <v>0.01</v>
      </c>
      <c r="N21" s="14">
        <v>0.04</v>
      </c>
      <c r="O21" s="14">
        <v>0.04</v>
      </c>
      <c r="P21" s="14">
        <v>0.04</v>
      </c>
      <c r="Q21" s="14">
        <v>0.01</v>
      </c>
      <c r="R21" s="14">
        <v>0.06</v>
      </c>
      <c r="S21" s="14">
        <v>0.05</v>
      </c>
      <c r="T21" s="14">
        <v>0.05</v>
      </c>
      <c r="U21" s="14">
        <v>0.04</v>
      </c>
      <c r="V21" s="14">
        <v>0.01</v>
      </c>
      <c r="W21" s="14">
        <v>0.01</v>
      </c>
      <c r="X21" s="15" t="s">
        <v>375</v>
      </c>
      <c r="Y21" s="14">
        <v>0.03</v>
      </c>
      <c r="Z21" s="14">
        <v>0.03</v>
      </c>
      <c r="AA21" s="14">
        <v>0.01</v>
      </c>
      <c r="AB21" s="14">
        <v>0.04</v>
      </c>
      <c r="AC21" s="14">
        <v>0.03</v>
      </c>
      <c r="AD21" s="14">
        <v>0.02</v>
      </c>
      <c r="AE21" s="14">
        <v>0.01</v>
      </c>
      <c r="AF21" s="14">
        <v>0.01</v>
      </c>
    </row>
    <row r="22" spans="1:32">
      <c r="A22" s="19"/>
      <c r="B22" s="11" t="s">
        <v>496</v>
      </c>
      <c r="C22" s="12">
        <v>18029</v>
      </c>
      <c r="D22" s="12">
        <v>648</v>
      </c>
      <c r="E22" s="12">
        <v>531</v>
      </c>
      <c r="F22" s="12">
        <v>538</v>
      </c>
      <c r="G22" s="12">
        <v>885</v>
      </c>
      <c r="H22" s="12">
        <v>1050</v>
      </c>
      <c r="I22" s="12">
        <v>1256</v>
      </c>
      <c r="J22" s="12">
        <v>206</v>
      </c>
      <c r="K22" s="12">
        <v>602</v>
      </c>
      <c r="L22" s="12">
        <v>754</v>
      </c>
      <c r="M22" s="12">
        <v>360</v>
      </c>
      <c r="N22" s="12">
        <v>626</v>
      </c>
      <c r="O22" s="12">
        <v>673</v>
      </c>
      <c r="P22" s="12">
        <v>751</v>
      </c>
      <c r="Q22" s="12">
        <v>597</v>
      </c>
      <c r="R22" s="12">
        <v>174</v>
      </c>
      <c r="S22" s="12">
        <v>566</v>
      </c>
      <c r="T22" s="12">
        <v>604</v>
      </c>
      <c r="U22" s="12">
        <v>401</v>
      </c>
      <c r="V22" s="12">
        <v>544</v>
      </c>
      <c r="W22" s="12">
        <v>380</v>
      </c>
      <c r="X22" s="12">
        <v>806</v>
      </c>
      <c r="Y22" s="12">
        <v>673</v>
      </c>
      <c r="Z22" s="12">
        <v>775</v>
      </c>
      <c r="AA22" s="12">
        <v>877</v>
      </c>
      <c r="AB22" s="12">
        <v>567</v>
      </c>
      <c r="AC22" s="12">
        <v>495</v>
      </c>
      <c r="AD22" s="12">
        <v>684</v>
      </c>
      <c r="AE22" s="12">
        <v>745</v>
      </c>
      <c r="AF22" s="12">
        <v>879</v>
      </c>
    </row>
    <row r="23" spans="1:32">
      <c r="A23" s="19"/>
      <c r="B23" s="13" t="s">
        <v>497</v>
      </c>
      <c r="C23" s="14">
        <v>0.68</v>
      </c>
      <c r="D23" s="14">
        <v>0.64</v>
      </c>
      <c r="E23" s="14">
        <v>0.5</v>
      </c>
      <c r="F23" s="14">
        <v>0.51</v>
      </c>
      <c r="G23" s="14">
        <v>0.87</v>
      </c>
      <c r="H23" s="14">
        <v>0.86</v>
      </c>
      <c r="I23" s="14">
        <v>0.82000000000000006</v>
      </c>
      <c r="J23" s="14">
        <v>0.70000000000000007</v>
      </c>
      <c r="K23" s="14">
        <v>0.6</v>
      </c>
      <c r="L23" s="14">
        <v>0.75</v>
      </c>
      <c r="M23" s="14">
        <v>0.36</v>
      </c>
      <c r="N23" s="14">
        <v>0.61</v>
      </c>
      <c r="O23" s="14">
        <v>0.67</v>
      </c>
      <c r="P23" s="14">
        <v>0.75</v>
      </c>
      <c r="Q23" s="14">
        <v>0.57999999999999996</v>
      </c>
      <c r="R23" s="14">
        <v>0.34</v>
      </c>
      <c r="S23" s="14">
        <v>0.56000000000000005</v>
      </c>
      <c r="T23" s="14">
        <v>0.59</v>
      </c>
      <c r="U23" s="14">
        <v>0.78</v>
      </c>
      <c r="V23" s="14">
        <v>0.53</v>
      </c>
      <c r="W23" s="14">
        <v>0.75</v>
      </c>
      <c r="X23" s="14">
        <v>0.8</v>
      </c>
      <c r="Y23" s="14">
        <v>0.67</v>
      </c>
      <c r="Z23" s="14">
        <v>0.76</v>
      </c>
      <c r="AA23" s="14">
        <v>0.84</v>
      </c>
      <c r="AB23" s="14">
        <v>0.54</v>
      </c>
      <c r="AC23" s="14">
        <v>0.49</v>
      </c>
      <c r="AD23" s="14">
        <v>0.68</v>
      </c>
      <c r="AE23" s="14">
        <v>0.74</v>
      </c>
      <c r="AF23" s="14">
        <v>0.85</v>
      </c>
    </row>
    <row r="24" spans="1:32">
      <c r="A24" s="19"/>
      <c r="B24" s="11" t="s">
        <v>498</v>
      </c>
      <c r="C24" s="12">
        <v>7749</v>
      </c>
      <c r="D24" s="12">
        <v>362</v>
      </c>
      <c r="E24" s="12">
        <v>463</v>
      </c>
      <c r="F24" s="12">
        <v>512</v>
      </c>
      <c r="G24" s="12">
        <v>109</v>
      </c>
      <c r="H24" s="12">
        <v>153</v>
      </c>
      <c r="I24" s="12">
        <v>241</v>
      </c>
      <c r="J24" s="12">
        <v>88</v>
      </c>
      <c r="K24" s="12">
        <v>361</v>
      </c>
      <c r="L24" s="12">
        <v>217</v>
      </c>
      <c r="M24" s="12">
        <v>635</v>
      </c>
      <c r="N24" s="12">
        <v>347</v>
      </c>
      <c r="O24" s="12">
        <v>290</v>
      </c>
      <c r="P24" s="12">
        <v>213</v>
      </c>
      <c r="Q24" s="12">
        <v>418</v>
      </c>
      <c r="R24" s="12">
        <v>300</v>
      </c>
      <c r="S24" s="12">
        <v>395</v>
      </c>
      <c r="T24" s="12">
        <v>364</v>
      </c>
      <c r="U24" s="12">
        <v>89</v>
      </c>
      <c r="V24" s="12">
        <v>474</v>
      </c>
      <c r="W24" s="12">
        <v>119</v>
      </c>
      <c r="X24" s="12">
        <v>198</v>
      </c>
      <c r="Y24" s="12">
        <v>301</v>
      </c>
      <c r="Z24" s="12">
        <v>213</v>
      </c>
      <c r="AA24" s="12">
        <v>145</v>
      </c>
      <c r="AB24" s="12">
        <v>437</v>
      </c>
      <c r="AC24" s="12">
        <v>485</v>
      </c>
      <c r="AD24" s="12">
        <v>300</v>
      </c>
      <c r="AE24" s="12">
        <v>241</v>
      </c>
      <c r="AF24" s="12">
        <v>146</v>
      </c>
    </row>
    <row r="25" spans="1:32">
      <c r="A25" s="19"/>
      <c r="B25" s="13" t="s">
        <v>499</v>
      </c>
      <c r="C25" s="14">
        <v>0.28999999999999998</v>
      </c>
      <c r="D25" s="14">
        <v>0.35</v>
      </c>
      <c r="E25" s="14">
        <v>0.45</v>
      </c>
      <c r="F25" s="14">
        <v>0.48</v>
      </c>
      <c r="G25" s="14">
        <v>0.11</v>
      </c>
      <c r="H25" s="14">
        <v>0.12</v>
      </c>
      <c r="I25" s="14">
        <v>0.16</v>
      </c>
      <c r="J25" s="14">
        <v>0.28999999999999998</v>
      </c>
      <c r="K25" s="14">
        <v>0.36</v>
      </c>
      <c r="L25" s="14">
        <v>0.21</v>
      </c>
      <c r="M25" s="14">
        <v>0.63</v>
      </c>
      <c r="N25" s="14">
        <v>0.35</v>
      </c>
      <c r="O25" s="14">
        <v>0.28999999999999998</v>
      </c>
      <c r="P25" s="14">
        <v>0.21</v>
      </c>
      <c r="Q25" s="14">
        <v>0.41</v>
      </c>
      <c r="R25" s="14">
        <v>0.6</v>
      </c>
      <c r="S25" s="14">
        <v>0.39</v>
      </c>
      <c r="T25" s="14">
        <v>0.36</v>
      </c>
      <c r="U25" s="14">
        <v>0.18</v>
      </c>
      <c r="V25" s="14">
        <v>0.46</v>
      </c>
      <c r="W25" s="14">
        <v>0.24</v>
      </c>
      <c r="X25" s="14">
        <v>0.2</v>
      </c>
      <c r="Y25" s="14">
        <v>0.3</v>
      </c>
      <c r="Z25" s="14">
        <v>0.21</v>
      </c>
      <c r="AA25" s="14">
        <v>0.15</v>
      </c>
      <c r="AB25" s="14">
        <v>0.42</v>
      </c>
      <c r="AC25" s="14">
        <v>0.48</v>
      </c>
      <c r="AD25" s="14">
        <v>0.3</v>
      </c>
      <c r="AE25" s="14">
        <v>0.25</v>
      </c>
      <c r="AF25" s="14">
        <v>0.14000000000000001</v>
      </c>
    </row>
  </sheetData>
  <mergeCells count="10">
    <mergeCell ref="A22:A25"/>
    <mergeCell ref="B4:F4"/>
    <mergeCell ref="H3:L3"/>
    <mergeCell ref="A10:A21"/>
    <mergeCell ref="C8:AF8"/>
    <mergeCell ref="B3:F3"/>
    <mergeCell ref="B5:F5"/>
    <mergeCell ref="H5:L5"/>
    <mergeCell ref="B10:B11"/>
    <mergeCell ref="H4:L4"/>
  </mergeCells>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F3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48" customHeight="1">
      <c r="B3" s="17" t="s">
        <v>333</v>
      </c>
      <c r="C3" s="17"/>
      <c r="D3" s="17"/>
      <c r="E3" s="17"/>
      <c r="F3" s="17"/>
      <c r="H3" s="17" t="s">
        <v>334</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HYPERLINK("#Content!A168","&lt;&lt;Back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1507</v>
      </c>
      <c r="C12" s="12">
        <v>875</v>
      </c>
      <c r="D12" s="12">
        <v>24</v>
      </c>
      <c r="E12" s="12">
        <v>43</v>
      </c>
      <c r="F12" s="12">
        <v>30</v>
      </c>
      <c r="G12" s="12">
        <v>51</v>
      </c>
      <c r="H12" s="12">
        <v>25</v>
      </c>
      <c r="I12" s="12">
        <v>42</v>
      </c>
      <c r="J12" s="12">
        <v>17</v>
      </c>
      <c r="K12" s="12">
        <v>33</v>
      </c>
      <c r="L12" s="12">
        <v>15</v>
      </c>
      <c r="M12" s="12">
        <v>15</v>
      </c>
      <c r="N12" s="12">
        <v>34</v>
      </c>
      <c r="O12" s="12">
        <v>29</v>
      </c>
      <c r="P12" s="12">
        <v>36</v>
      </c>
      <c r="Q12" s="12">
        <v>33</v>
      </c>
      <c r="R12" s="12">
        <v>26</v>
      </c>
      <c r="S12" s="12">
        <v>15</v>
      </c>
      <c r="T12" s="12">
        <v>36</v>
      </c>
      <c r="U12" s="12">
        <v>11</v>
      </c>
      <c r="V12" s="12">
        <v>27</v>
      </c>
      <c r="W12" s="12">
        <v>18</v>
      </c>
      <c r="X12" s="12">
        <v>36</v>
      </c>
      <c r="Y12" s="12">
        <v>18</v>
      </c>
      <c r="Z12" s="12">
        <v>30</v>
      </c>
      <c r="AA12" s="12">
        <v>59</v>
      </c>
      <c r="AB12" s="12">
        <v>77</v>
      </c>
      <c r="AC12" s="12">
        <v>40</v>
      </c>
      <c r="AD12" s="12">
        <v>34</v>
      </c>
      <c r="AE12" s="12">
        <v>26</v>
      </c>
      <c r="AF12" s="12">
        <v>63</v>
      </c>
    </row>
    <row r="13" spans="1:32">
      <c r="A13" s="19"/>
      <c r="B13" s="13" t="s">
        <v>1508</v>
      </c>
      <c r="C13" s="14">
        <v>0.03</v>
      </c>
      <c r="D13" s="14">
        <v>0.02</v>
      </c>
      <c r="E13" s="14">
        <v>0.04</v>
      </c>
      <c r="F13" s="14">
        <v>0.03</v>
      </c>
      <c r="G13" s="14">
        <v>0.05</v>
      </c>
      <c r="H13" s="14">
        <v>0.02</v>
      </c>
      <c r="I13" s="14">
        <v>0.03</v>
      </c>
      <c r="J13" s="14">
        <v>0.06</v>
      </c>
      <c r="K13" s="14">
        <v>0.03</v>
      </c>
      <c r="L13" s="14">
        <v>0.02</v>
      </c>
      <c r="M13" s="14">
        <v>0.01</v>
      </c>
      <c r="N13" s="14">
        <v>0.03</v>
      </c>
      <c r="O13" s="14">
        <v>0.03</v>
      </c>
      <c r="P13" s="14">
        <v>0.04</v>
      </c>
      <c r="Q13" s="14">
        <v>0.03</v>
      </c>
      <c r="R13" s="14">
        <v>0.05</v>
      </c>
      <c r="S13" s="14">
        <v>0.02</v>
      </c>
      <c r="T13" s="14">
        <v>0.03</v>
      </c>
      <c r="U13" s="14">
        <v>0.02</v>
      </c>
      <c r="V13" s="14">
        <v>0.03</v>
      </c>
      <c r="W13" s="14">
        <v>0.04</v>
      </c>
      <c r="X13" s="14">
        <v>0.03</v>
      </c>
      <c r="Y13" s="14">
        <v>0.02</v>
      </c>
      <c r="Z13" s="14">
        <v>0.03</v>
      </c>
      <c r="AA13" s="14">
        <v>0.06</v>
      </c>
      <c r="AB13" s="14">
        <v>7.0000000000000007E-2</v>
      </c>
      <c r="AC13" s="14">
        <v>0.04</v>
      </c>
      <c r="AD13" s="14">
        <v>0.03</v>
      </c>
      <c r="AE13" s="14">
        <v>0.02</v>
      </c>
      <c r="AF13" s="14">
        <v>0.06</v>
      </c>
    </row>
    <row r="14" spans="1:32">
      <c r="A14" s="19"/>
      <c r="B14" s="11" t="s">
        <v>578</v>
      </c>
      <c r="C14" s="12">
        <v>981</v>
      </c>
      <c r="D14" s="12">
        <v>43</v>
      </c>
      <c r="E14" s="12">
        <v>30</v>
      </c>
      <c r="F14" s="12">
        <v>24</v>
      </c>
      <c r="G14" s="12">
        <v>56</v>
      </c>
      <c r="H14" s="12">
        <v>64</v>
      </c>
      <c r="I14" s="12">
        <v>76</v>
      </c>
      <c r="J14" s="12">
        <v>13</v>
      </c>
      <c r="K14" s="12">
        <v>42</v>
      </c>
      <c r="L14" s="12">
        <v>17</v>
      </c>
      <c r="M14" s="12">
        <v>21</v>
      </c>
      <c r="N14" s="12">
        <v>38</v>
      </c>
      <c r="O14" s="12">
        <v>39</v>
      </c>
      <c r="P14" s="12">
        <v>24</v>
      </c>
      <c r="Q14" s="12">
        <v>26</v>
      </c>
      <c r="R14" s="12">
        <v>10</v>
      </c>
      <c r="S14" s="12">
        <v>9</v>
      </c>
      <c r="T14" s="12">
        <v>18</v>
      </c>
      <c r="U14" s="12">
        <v>9</v>
      </c>
      <c r="V14" s="12">
        <v>20</v>
      </c>
      <c r="W14" s="12">
        <v>20</v>
      </c>
      <c r="X14" s="12">
        <v>81</v>
      </c>
      <c r="Y14" s="12">
        <v>27</v>
      </c>
      <c r="Z14" s="12">
        <v>24</v>
      </c>
      <c r="AA14" s="12">
        <v>12</v>
      </c>
      <c r="AB14" s="12">
        <v>38</v>
      </c>
      <c r="AC14" s="12">
        <v>17</v>
      </c>
      <c r="AD14" s="12">
        <v>18</v>
      </c>
      <c r="AE14" s="12">
        <v>33</v>
      </c>
      <c r="AF14" s="12">
        <v>83</v>
      </c>
    </row>
    <row r="15" spans="1:32">
      <c r="A15" s="19"/>
      <c r="B15" s="13" t="s">
        <v>578</v>
      </c>
      <c r="C15" s="14">
        <v>0.04</v>
      </c>
      <c r="D15" s="14">
        <v>0.04</v>
      </c>
      <c r="E15" s="14">
        <v>0.03</v>
      </c>
      <c r="F15" s="14">
        <v>0.02</v>
      </c>
      <c r="G15" s="14">
        <v>0.06</v>
      </c>
      <c r="H15" s="14">
        <v>0.05</v>
      </c>
      <c r="I15" s="14">
        <v>0.05</v>
      </c>
      <c r="J15" s="14">
        <v>0.04</v>
      </c>
      <c r="K15" s="14">
        <v>0.04</v>
      </c>
      <c r="L15" s="14">
        <v>0.02</v>
      </c>
      <c r="M15" s="14">
        <v>0.02</v>
      </c>
      <c r="N15" s="14">
        <v>0.04</v>
      </c>
      <c r="O15" s="14">
        <v>0.04</v>
      </c>
      <c r="P15" s="14">
        <v>0.02</v>
      </c>
      <c r="Q15" s="14">
        <v>0.03</v>
      </c>
      <c r="R15" s="14">
        <v>0.02</v>
      </c>
      <c r="S15" s="14">
        <v>0.01</v>
      </c>
      <c r="T15" s="14">
        <v>0.02</v>
      </c>
      <c r="U15" s="14">
        <v>0.02</v>
      </c>
      <c r="V15" s="14">
        <v>0.02</v>
      </c>
      <c r="W15" s="14">
        <v>0.04</v>
      </c>
      <c r="X15" s="14">
        <v>0.08</v>
      </c>
      <c r="Y15" s="14">
        <v>0.03</v>
      </c>
      <c r="Z15" s="14">
        <v>0.02</v>
      </c>
      <c r="AA15" s="14">
        <v>0.01</v>
      </c>
      <c r="AB15" s="14">
        <v>0.04</v>
      </c>
      <c r="AC15" s="14">
        <v>0.02</v>
      </c>
      <c r="AD15" s="14">
        <v>0.02</v>
      </c>
      <c r="AE15" s="14">
        <v>0.03</v>
      </c>
      <c r="AF15" s="14">
        <v>0.08</v>
      </c>
    </row>
    <row r="16" spans="1:32">
      <c r="A16" s="19"/>
      <c r="B16" s="11" t="s">
        <v>579</v>
      </c>
      <c r="C16" s="12">
        <v>2275</v>
      </c>
      <c r="D16" s="12">
        <v>79</v>
      </c>
      <c r="E16" s="12">
        <v>65</v>
      </c>
      <c r="F16" s="12">
        <v>62</v>
      </c>
      <c r="G16" s="12">
        <v>126</v>
      </c>
      <c r="H16" s="12">
        <v>110</v>
      </c>
      <c r="I16" s="12">
        <v>131</v>
      </c>
      <c r="J16" s="12">
        <v>20</v>
      </c>
      <c r="K16" s="12">
        <v>69</v>
      </c>
      <c r="L16" s="12">
        <v>62</v>
      </c>
      <c r="M16" s="12">
        <v>92</v>
      </c>
      <c r="N16" s="12">
        <v>123</v>
      </c>
      <c r="O16" s="12">
        <v>103</v>
      </c>
      <c r="P16" s="12">
        <v>64</v>
      </c>
      <c r="Q16" s="12">
        <v>65</v>
      </c>
      <c r="R16" s="12">
        <v>15</v>
      </c>
      <c r="S16" s="12">
        <v>33</v>
      </c>
      <c r="T16" s="12">
        <v>51</v>
      </c>
      <c r="U16" s="12">
        <v>35</v>
      </c>
      <c r="V16" s="12">
        <v>64</v>
      </c>
      <c r="W16" s="12">
        <v>22</v>
      </c>
      <c r="X16" s="12">
        <v>158</v>
      </c>
      <c r="Y16" s="12">
        <v>92</v>
      </c>
      <c r="Z16" s="12">
        <v>48</v>
      </c>
      <c r="AA16" s="12">
        <v>65</v>
      </c>
      <c r="AB16" s="12">
        <v>42</v>
      </c>
      <c r="AC16" s="12">
        <v>69</v>
      </c>
      <c r="AD16" s="12">
        <v>87</v>
      </c>
      <c r="AE16" s="12">
        <v>102</v>
      </c>
      <c r="AF16" s="12">
        <v>161</v>
      </c>
    </row>
    <row r="17" spans="1:32">
      <c r="A17" s="19"/>
      <c r="B17" s="13" t="s">
        <v>579</v>
      </c>
      <c r="C17" s="14">
        <v>0.09</v>
      </c>
      <c r="D17" s="14">
        <v>0.08</v>
      </c>
      <c r="E17" s="14">
        <v>0.06</v>
      </c>
      <c r="F17" s="14">
        <v>0.06</v>
      </c>
      <c r="G17" s="14">
        <v>0.12</v>
      </c>
      <c r="H17" s="14">
        <v>0.09</v>
      </c>
      <c r="I17" s="14">
        <v>0.09</v>
      </c>
      <c r="J17" s="14">
        <v>7.0000000000000007E-2</v>
      </c>
      <c r="K17" s="14">
        <v>7.0000000000000007E-2</v>
      </c>
      <c r="L17" s="14">
        <v>0.06</v>
      </c>
      <c r="M17" s="14">
        <v>0.09</v>
      </c>
      <c r="N17" s="14">
        <v>0.12</v>
      </c>
      <c r="O17" s="14">
        <v>0.1</v>
      </c>
      <c r="P17" s="14">
        <v>0.06</v>
      </c>
      <c r="Q17" s="14">
        <v>0.06</v>
      </c>
      <c r="R17" s="14">
        <v>0.03</v>
      </c>
      <c r="S17" s="14">
        <v>0.03</v>
      </c>
      <c r="T17" s="14">
        <v>0.05</v>
      </c>
      <c r="U17" s="14">
        <v>7.0000000000000007E-2</v>
      </c>
      <c r="V17" s="14">
        <v>0.06</v>
      </c>
      <c r="W17" s="14">
        <v>0.04</v>
      </c>
      <c r="X17" s="14">
        <v>0.16</v>
      </c>
      <c r="Y17" s="14">
        <v>0.09</v>
      </c>
      <c r="Z17" s="14">
        <v>0.05</v>
      </c>
      <c r="AA17" s="14">
        <v>0.06</v>
      </c>
      <c r="AB17" s="14">
        <v>0.04</v>
      </c>
      <c r="AC17" s="14">
        <v>7.0000000000000007E-2</v>
      </c>
      <c r="AD17" s="14">
        <v>0.09</v>
      </c>
      <c r="AE17" s="14">
        <v>0.1</v>
      </c>
      <c r="AF17" s="14">
        <v>0.16</v>
      </c>
    </row>
    <row r="18" spans="1:32">
      <c r="A18" s="19"/>
      <c r="B18" s="11" t="s">
        <v>580</v>
      </c>
      <c r="C18" s="12">
        <v>2905</v>
      </c>
      <c r="D18" s="12">
        <v>116</v>
      </c>
      <c r="E18" s="12">
        <v>62</v>
      </c>
      <c r="F18" s="12">
        <v>104</v>
      </c>
      <c r="G18" s="12">
        <v>117</v>
      </c>
      <c r="H18" s="12">
        <v>168</v>
      </c>
      <c r="I18" s="12">
        <v>203</v>
      </c>
      <c r="J18" s="12">
        <v>35</v>
      </c>
      <c r="K18" s="12">
        <v>92</v>
      </c>
      <c r="L18" s="12">
        <v>112</v>
      </c>
      <c r="M18" s="12">
        <v>110</v>
      </c>
      <c r="N18" s="12">
        <v>130</v>
      </c>
      <c r="O18" s="12">
        <v>87</v>
      </c>
      <c r="P18" s="12">
        <v>112</v>
      </c>
      <c r="Q18" s="12">
        <v>110</v>
      </c>
      <c r="R18" s="12">
        <v>16</v>
      </c>
      <c r="S18" s="12">
        <v>44</v>
      </c>
      <c r="T18" s="12">
        <v>63</v>
      </c>
      <c r="U18" s="12">
        <v>37</v>
      </c>
      <c r="V18" s="12">
        <v>107</v>
      </c>
      <c r="W18" s="12">
        <v>27</v>
      </c>
      <c r="X18" s="12">
        <v>133</v>
      </c>
      <c r="Y18" s="12">
        <v>141</v>
      </c>
      <c r="Z18" s="12">
        <v>92</v>
      </c>
      <c r="AA18" s="12">
        <v>100</v>
      </c>
      <c r="AB18" s="12">
        <v>64</v>
      </c>
      <c r="AC18" s="12">
        <v>72</v>
      </c>
      <c r="AD18" s="12">
        <v>110</v>
      </c>
      <c r="AE18" s="12">
        <v>116</v>
      </c>
      <c r="AF18" s="12">
        <v>197</v>
      </c>
    </row>
    <row r="19" spans="1:32">
      <c r="A19" s="19"/>
      <c r="B19" s="13" t="s">
        <v>580</v>
      </c>
      <c r="C19" s="14">
        <v>0.11</v>
      </c>
      <c r="D19" s="14">
        <v>0.11</v>
      </c>
      <c r="E19" s="14">
        <v>0.06</v>
      </c>
      <c r="F19" s="14">
        <v>0.1</v>
      </c>
      <c r="G19" s="14">
        <v>0.12</v>
      </c>
      <c r="H19" s="14">
        <v>0.14000000000000001</v>
      </c>
      <c r="I19" s="14">
        <v>0.13</v>
      </c>
      <c r="J19" s="14">
        <v>0.12</v>
      </c>
      <c r="K19" s="14">
        <v>0.09</v>
      </c>
      <c r="L19" s="14">
        <v>0.11</v>
      </c>
      <c r="M19" s="14">
        <v>0.11</v>
      </c>
      <c r="N19" s="14">
        <v>0.13</v>
      </c>
      <c r="O19" s="14">
        <v>0.09</v>
      </c>
      <c r="P19" s="14">
        <v>0.11</v>
      </c>
      <c r="Q19" s="14">
        <v>0.11</v>
      </c>
      <c r="R19" s="14">
        <v>0.03</v>
      </c>
      <c r="S19" s="14">
        <v>0.04</v>
      </c>
      <c r="T19" s="14">
        <v>0.06</v>
      </c>
      <c r="U19" s="14">
        <v>7.0000000000000007E-2</v>
      </c>
      <c r="V19" s="14">
        <v>0.1</v>
      </c>
      <c r="W19" s="14">
        <v>0.05</v>
      </c>
      <c r="X19" s="14">
        <v>0.13</v>
      </c>
      <c r="Y19" s="14">
        <v>0.14000000000000001</v>
      </c>
      <c r="Z19" s="14">
        <v>0.09</v>
      </c>
      <c r="AA19" s="14">
        <v>0.1</v>
      </c>
      <c r="AB19" s="14">
        <v>0.06</v>
      </c>
      <c r="AC19" s="14">
        <v>7.0000000000000007E-2</v>
      </c>
      <c r="AD19" s="14">
        <v>0.11</v>
      </c>
      <c r="AE19" s="14">
        <v>0.12</v>
      </c>
      <c r="AF19" s="14">
        <v>0.19</v>
      </c>
    </row>
    <row r="20" spans="1:32">
      <c r="A20" s="19"/>
      <c r="B20" s="11" t="s">
        <v>581</v>
      </c>
      <c r="C20" s="12">
        <v>6416</v>
      </c>
      <c r="D20" s="12">
        <v>275</v>
      </c>
      <c r="E20" s="12">
        <v>148</v>
      </c>
      <c r="F20" s="12">
        <v>332</v>
      </c>
      <c r="G20" s="12">
        <v>213</v>
      </c>
      <c r="H20" s="12">
        <v>409</v>
      </c>
      <c r="I20" s="12">
        <v>508</v>
      </c>
      <c r="J20" s="12">
        <v>99</v>
      </c>
      <c r="K20" s="12">
        <v>214</v>
      </c>
      <c r="L20" s="12">
        <v>461</v>
      </c>
      <c r="M20" s="12">
        <v>236</v>
      </c>
      <c r="N20" s="12">
        <v>289</v>
      </c>
      <c r="O20" s="12">
        <v>234</v>
      </c>
      <c r="P20" s="12">
        <v>207</v>
      </c>
      <c r="Q20" s="12">
        <v>187</v>
      </c>
      <c r="R20" s="12">
        <v>89</v>
      </c>
      <c r="S20" s="12">
        <v>220</v>
      </c>
      <c r="T20" s="12">
        <v>265</v>
      </c>
      <c r="U20" s="12">
        <v>212</v>
      </c>
      <c r="V20" s="12">
        <v>226</v>
      </c>
      <c r="W20" s="12">
        <v>117</v>
      </c>
      <c r="X20" s="12">
        <v>167</v>
      </c>
      <c r="Y20" s="12">
        <v>198</v>
      </c>
      <c r="Z20" s="12">
        <v>223</v>
      </c>
      <c r="AA20" s="12">
        <v>221</v>
      </c>
      <c r="AB20" s="12">
        <v>153</v>
      </c>
      <c r="AC20" s="12">
        <v>315</v>
      </c>
      <c r="AD20" s="12">
        <v>225</v>
      </c>
      <c r="AE20" s="12">
        <v>185</v>
      </c>
      <c r="AF20" s="12">
        <v>128</v>
      </c>
    </row>
    <row r="21" spans="1:32">
      <c r="A21" s="19"/>
      <c r="B21" s="13" t="s">
        <v>581</v>
      </c>
      <c r="C21" s="14">
        <v>0.24</v>
      </c>
      <c r="D21" s="14">
        <v>0.27</v>
      </c>
      <c r="E21" s="14">
        <v>0.14000000000000001</v>
      </c>
      <c r="F21" s="14">
        <v>0.31</v>
      </c>
      <c r="G21" s="14">
        <v>0.21</v>
      </c>
      <c r="H21" s="14">
        <v>0.33</v>
      </c>
      <c r="I21" s="14">
        <v>0.33</v>
      </c>
      <c r="J21" s="14">
        <v>0.33</v>
      </c>
      <c r="K21" s="14">
        <v>0.21</v>
      </c>
      <c r="L21" s="14">
        <v>0.46</v>
      </c>
      <c r="M21" s="14">
        <v>0.24</v>
      </c>
      <c r="N21" s="14">
        <v>0.28999999999999998</v>
      </c>
      <c r="O21" s="14">
        <v>0.23</v>
      </c>
      <c r="P21" s="14">
        <v>0.21</v>
      </c>
      <c r="Q21" s="14">
        <v>0.18</v>
      </c>
      <c r="R21" s="14">
        <v>0.18</v>
      </c>
      <c r="S21" s="14">
        <v>0.22</v>
      </c>
      <c r="T21" s="14">
        <v>0.26</v>
      </c>
      <c r="U21" s="14">
        <v>0.42</v>
      </c>
      <c r="V21" s="14">
        <v>0.22</v>
      </c>
      <c r="W21" s="14">
        <v>0.23</v>
      </c>
      <c r="X21" s="14">
        <v>0.16</v>
      </c>
      <c r="Y21" s="14">
        <v>0.2</v>
      </c>
      <c r="Z21" s="14">
        <v>0.22</v>
      </c>
      <c r="AA21" s="14">
        <v>0.21</v>
      </c>
      <c r="AB21" s="14">
        <v>0.15</v>
      </c>
      <c r="AC21" s="14">
        <v>0.31</v>
      </c>
      <c r="AD21" s="14">
        <v>0.22</v>
      </c>
      <c r="AE21" s="14">
        <v>0.18</v>
      </c>
      <c r="AF21" s="14">
        <v>0.12</v>
      </c>
    </row>
    <row r="22" spans="1:32">
      <c r="A22" s="19"/>
      <c r="B22" s="11" t="s">
        <v>582</v>
      </c>
      <c r="C22" s="12">
        <v>3319</v>
      </c>
      <c r="D22" s="12">
        <v>142</v>
      </c>
      <c r="E22" s="12">
        <v>128</v>
      </c>
      <c r="F22" s="12">
        <v>198</v>
      </c>
      <c r="G22" s="12">
        <v>129</v>
      </c>
      <c r="H22" s="12">
        <v>168</v>
      </c>
      <c r="I22" s="12">
        <v>211</v>
      </c>
      <c r="J22" s="12">
        <v>43</v>
      </c>
      <c r="K22" s="12">
        <v>97</v>
      </c>
      <c r="L22" s="12">
        <v>144</v>
      </c>
      <c r="M22" s="12">
        <v>73</v>
      </c>
      <c r="N22" s="12">
        <v>75</v>
      </c>
      <c r="O22" s="12">
        <v>89</v>
      </c>
      <c r="P22" s="12">
        <v>143</v>
      </c>
      <c r="Q22" s="12">
        <v>151</v>
      </c>
      <c r="R22" s="12">
        <v>40</v>
      </c>
      <c r="S22" s="12">
        <v>165</v>
      </c>
      <c r="T22" s="12">
        <v>98</v>
      </c>
      <c r="U22" s="12">
        <v>75</v>
      </c>
      <c r="V22" s="12">
        <v>190</v>
      </c>
      <c r="W22" s="12">
        <v>56</v>
      </c>
      <c r="X22" s="12">
        <v>135</v>
      </c>
      <c r="Y22" s="12">
        <v>164</v>
      </c>
      <c r="Z22" s="12">
        <v>175</v>
      </c>
      <c r="AA22" s="12">
        <v>86</v>
      </c>
      <c r="AB22" s="12">
        <v>140</v>
      </c>
      <c r="AC22" s="12">
        <v>75</v>
      </c>
      <c r="AD22" s="12">
        <v>138</v>
      </c>
      <c r="AE22" s="12">
        <v>154</v>
      </c>
      <c r="AF22" s="12">
        <v>101</v>
      </c>
    </row>
    <row r="23" spans="1:32">
      <c r="A23" s="19"/>
      <c r="B23" s="13" t="s">
        <v>582</v>
      </c>
      <c r="C23" s="14">
        <v>0.12</v>
      </c>
      <c r="D23" s="14">
        <v>0.14000000000000001</v>
      </c>
      <c r="E23" s="14">
        <v>0.12</v>
      </c>
      <c r="F23" s="14">
        <v>0.19</v>
      </c>
      <c r="G23" s="14">
        <v>0.13</v>
      </c>
      <c r="H23" s="14">
        <v>0.14000000000000001</v>
      </c>
      <c r="I23" s="14">
        <v>0.14000000000000001</v>
      </c>
      <c r="J23" s="14">
        <v>0.14000000000000001</v>
      </c>
      <c r="K23" s="14">
        <v>0.1</v>
      </c>
      <c r="L23" s="14">
        <v>0.14000000000000001</v>
      </c>
      <c r="M23" s="14">
        <v>7.0000000000000007E-2</v>
      </c>
      <c r="N23" s="14">
        <v>7.0000000000000007E-2</v>
      </c>
      <c r="O23" s="14">
        <v>0.09</v>
      </c>
      <c r="P23" s="14">
        <v>0.14000000000000001</v>
      </c>
      <c r="Q23" s="14">
        <v>0.15</v>
      </c>
      <c r="R23" s="14">
        <v>0.08</v>
      </c>
      <c r="S23" s="14">
        <v>0.16</v>
      </c>
      <c r="T23" s="14">
        <v>0.1</v>
      </c>
      <c r="U23" s="14">
        <v>0.15</v>
      </c>
      <c r="V23" s="14">
        <v>0.19</v>
      </c>
      <c r="W23" s="14">
        <v>0.11</v>
      </c>
      <c r="X23" s="14">
        <v>0.13</v>
      </c>
      <c r="Y23" s="14">
        <v>0.16</v>
      </c>
      <c r="Z23" s="14">
        <v>0.17</v>
      </c>
      <c r="AA23" s="14">
        <v>0.08</v>
      </c>
      <c r="AB23" s="14">
        <v>0.13</v>
      </c>
      <c r="AC23" s="14">
        <v>7.0000000000000007E-2</v>
      </c>
      <c r="AD23" s="14">
        <v>0.14000000000000001</v>
      </c>
      <c r="AE23" s="14">
        <v>0.15</v>
      </c>
      <c r="AF23" s="14">
        <v>0.1</v>
      </c>
    </row>
    <row r="24" spans="1:32">
      <c r="A24" s="19"/>
      <c r="B24" s="11" t="s">
        <v>583</v>
      </c>
      <c r="C24" s="12">
        <v>3199</v>
      </c>
      <c r="D24" s="12">
        <v>164</v>
      </c>
      <c r="E24" s="12">
        <v>143</v>
      </c>
      <c r="F24" s="12">
        <v>119</v>
      </c>
      <c r="G24" s="12">
        <v>154</v>
      </c>
      <c r="H24" s="12">
        <v>139</v>
      </c>
      <c r="I24" s="12">
        <v>168</v>
      </c>
      <c r="J24" s="12">
        <v>28</v>
      </c>
      <c r="K24" s="12">
        <v>114</v>
      </c>
      <c r="L24" s="12">
        <v>68</v>
      </c>
      <c r="M24" s="12">
        <v>111</v>
      </c>
      <c r="N24" s="12">
        <v>85</v>
      </c>
      <c r="O24" s="12">
        <v>76</v>
      </c>
      <c r="P24" s="12">
        <v>118</v>
      </c>
      <c r="Q24" s="12">
        <v>174</v>
      </c>
      <c r="R24" s="12">
        <v>41</v>
      </c>
      <c r="S24" s="12">
        <v>138</v>
      </c>
      <c r="T24" s="12">
        <v>54</v>
      </c>
      <c r="U24" s="12">
        <v>48</v>
      </c>
      <c r="V24" s="12">
        <v>130</v>
      </c>
      <c r="W24" s="12">
        <v>30</v>
      </c>
      <c r="X24" s="12">
        <v>170</v>
      </c>
      <c r="Y24" s="12">
        <v>118</v>
      </c>
      <c r="Z24" s="12">
        <v>153</v>
      </c>
      <c r="AA24" s="12">
        <v>146</v>
      </c>
      <c r="AB24" s="12">
        <v>153</v>
      </c>
      <c r="AC24" s="12">
        <v>62</v>
      </c>
      <c r="AD24" s="12">
        <v>161</v>
      </c>
      <c r="AE24" s="12">
        <v>147</v>
      </c>
      <c r="AF24" s="12">
        <v>134</v>
      </c>
    </row>
    <row r="25" spans="1:32">
      <c r="A25" s="19"/>
      <c r="B25" s="13" t="s">
        <v>583</v>
      </c>
      <c r="C25" s="14">
        <v>0.12</v>
      </c>
      <c r="D25" s="14">
        <v>0.16</v>
      </c>
      <c r="E25" s="14">
        <v>0.14000000000000001</v>
      </c>
      <c r="F25" s="14">
        <v>0.11</v>
      </c>
      <c r="G25" s="14">
        <v>0.15</v>
      </c>
      <c r="H25" s="14">
        <v>0.11</v>
      </c>
      <c r="I25" s="14">
        <v>0.11</v>
      </c>
      <c r="J25" s="14">
        <v>0.1</v>
      </c>
      <c r="K25" s="14">
        <v>0.11</v>
      </c>
      <c r="L25" s="14">
        <v>7.0000000000000007E-2</v>
      </c>
      <c r="M25" s="14">
        <v>0.11</v>
      </c>
      <c r="N25" s="14">
        <v>0.08</v>
      </c>
      <c r="O25" s="14">
        <v>0.08</v>
      </c>
      <c r="P25" s="14">
        <v>0.12</v>
      </c>
      <c r="Q25" s="14">
        <v>0.17</v>
      </c>
      <c r="R25" s="14">
        <v>0.08</v>
      </c>
      <c r="S25" s="14">
        <v>0.14000000000000001</v>
      </c>
      <c r="T25" s="14">
        <v>0.05</v>
      </c>
      <c r="U25" s="14">
        <v>0.09</v>
      </c>
      <c r="V25" s="14">
        <v>0.13</v>
      </c>
      <c r="W25" s="14">
        <v>0.06</v>
      </c>
      <c r="X25" s="14">
        <v>0.17</v>
      </c>
      <c r="Y25" s="14">
        <v>0.12</v>
      </c>
      <c r="Z25" s="14">
        <v>0.15</v>
      </c>
      <c r="AA25" s="14">
        <v>0.14000000000000001</v>
      </c>
      <c r="AB25" s="14">
        <v>0.15</v>
      </c>
      <c r="AC25" s="14">
        <v>0.06</v>
      </c>
      <c r="AD25" s="14">
        <v>0.16</v>
      </c>
      <c r="AE25" s="14">
        <v>0.15</v>
      </c>
      <c r="AF25" s="14">
        <v>0.13</v>
      </c>
    </row>
    <row r="26" spans="1:32">
      <c r="A26" s="19"/>
      <c r="B26" s="11" t="s">
        <v>584</v>
      </c>
      <c r="C26" s="12">
        <v>2127</v>
      </c>
      <c r="D26" s="12">
        <v>103</v>
      </c>
      <c r="E26" s="12">
        <v>139</v>
      </c>
      <c r="F26" s="12">
        <v>115</v>
      </c>
      <c r="G26" s="12">
        <v>86</v>
      </c>
      <c r="H26" s="12">
        <v>81</v>
      </c>
      <c r="I26" s="12">
        <v>100</v>
      </c>
      <c r="J26" s="12">
        <v>19</v>
      </c>
      <c r="K26" s="12">
        <v>69</v>
      </c>
      <c r="L26" s="12">
        <v>36</v>
      </c>
      <c r="M26" s="12">
        <v>67</v>
      </c>
      <c r="N26" s="12">
        <v>56</v>
      </c>
      <c r="O26" s="12">
        <v>64</v>
      </c>
      <c r="P26" s="12">
        <v>88</v>
      </c>
      <c r="Q26" s="12">
        <v>86</v>
      </c>
      <c r="R26" s="12">
        <v>20</v>
      </c>
      <c r="S26" s="12">
        <v>85</v>
      </c>
      <c r="T26" s="12">
        <v>45</v>
      </c>
      <c r="U26" s="12">
        <v>19</v>
      </c>
      <c r="V26" s="12">
        <v>101</v>
      </c>
      <c r="W26" s="12">
        <v>43</v>
      </c>
      <c r="X26" s="12">
        <v>88</v>
      </c>
      <c r="Y26" s="12">
        <v>112</v>
      </c>
      <c r="Z26" s="12">
        <v>110</v>
      </c>
      <c r="AA26" s="12">
        <v>92</v>
      </c>
      <c r="AB26" s="12">
        <v>132</v>
      </c>
      <c r="AC26" s="12">
        <v>59</v>
      </c>
      <c r="AD26" s="12">
        <v>106</v>
      </c>
      <c r="AE26" s="12">
        <v>117</v>
      </c>
      <c r="AF26" s="12">
        <v>99</v>
      </c>
    </row>
    <row r="27" spans="1:32">
      <c r="A27" s="19"/>
      <c r="B27" s="13" t="s">
        <v>584</v>
      </c>
      <c r="C27" s="14">
        <v>0.08</v>
      </c>
      <c r="D27" s="14">
        <v>0.1</v>
      </c>
      <c r="E27" s="14">
        <v>0.14000000000000001</v>
      </c>
      <c r="F27" s="14">
        <v>0.11</v>
      </c>
      <c r="G27" s="14">
        <v>0.08</v>
      </c>
      <c r="H27" s="14">
        <v>7.0000000000000007E-2</v>
      </c>
      <c r="I27" s="14">
        <v>7.0000000000000007E-2</v>
      </c>
      <c r="J27" s="14">
        <v>0.06</v>
      </c>
      <c r="K27" s="14">
        <v>7.0000000000000007E-2</v>
      </c>
      <c r="L27" s="14">
        <v>0.04</v>
      </c>
      <c r="M27" s="14">
        <v>7.0000000000000007E-2</v>
      </c>
      <c r="N27" s="14">
        <v>0.06</v>
      </c>
      <c r="O27" s="14">
        <v>0.06</v>
      </c>
      <c r="P27" s="14">
        <v>0.09</v>
      </c>
      <c r="Q27" s="14">
        <v>0.08</v>
      </c>
      <c r="R27" s="14">
        <v>0.04</v>
      </c>
      <c r="S27" s="14">
        <v>0.09</v>
      </c>
      <c r="T27" s="14">
        <v>0.04</v>
      </c>
      <c r="U27" s="14">
        <v>0.04</v>
      </c>
      <c r="V27" s="14">
        <v>0.1</v>
      </c>
      <c r="W27" s="14">
        <v>0.09</v>
      </c>
      <c r="X27" s="14">
        <v>0.09</v>
      </c>
      <c r="Y27" s="14">
        <v>0.11</v>
      </c>
      <c r="Z27" s="14">
        <v>0.11</v>
      </c>
      <c r="AA27" s="14">
        <v>0.09</v>
      </c>
      <c r="AB27" s="14">
        <v>0.13</v>
      </c>
      <c r="AC27" s="14">
        <v>0.06</v>
      </c>
      <c r="AD27" s="14">
        <v>0.1</v>
      </c>
      <c r="AE27" s="14">
        <v>0.12</v>
      </c>
      <c r="AF27" s="14">
        <v>0.1</v>
      </c>
    </row>
    <row r="28" spans="1:32">
      <c r="A28" s="19"/>
      <c r="B28" s="11" t="s">
        <v>585</v>
      </c>
      <c r="C28" s="12">
        <v>619</v>
      </c>
      <c r="D28" s="12">
        <v>41</v>
      </c>
      <c r="E28" s="12">
        <v>31</v>
      </c>
      <c r="F28" s="12">
        <v>22</v>
      </c>
      <c r="G28" s="12">
        <v>30</v>
      </c>
      <c r="H28" s="12">
        <v>12</v>
      </c>
      <c r="I28" s="12">
        <v>20</v>
      </c>
      <c r="J28" s="12">
        <v>8</v>
      </c>
      <c r="K28" s="12">
        <v>40</v>
      </c>
      <c r="L28" s="12">
        <v>3</v>
      </c>
      <c r="M28" s="12">
        <v>15</v>
      </c>
      <c r="N28" s="12">
        <v>9</v>
      </c>
      <c r="O28" s="12">
        <v>34</v>
      </c>
      <c r="P28" s="12">
        <v>42</v>
      </c>
      <c r="Q28" s="12">
        <v>20</v>
      </c>
      <c r="R28" s="12">
        <v>6</v>
      </c>
      <c r="S28" s="12">
        <v>20</v>
      </c>
      <c r="T28" s="12">
        <v>23</v>
      </c>
      <c r="U28" s="12">
        <v>2</v>
      </c>
      <c r="V28" s="12">
        <v>42</v>
      </c>
      <c r="W28" s="12">
        <v>22</v>
      </c>
      <c r="X28" s="12">
        <v>17</v>
      </c>
      <c r="Y28" s="12">
        <v>22</v>
      </c>
      <c r="Z28" s="12">
        <v>45</v>
      </c>
      <c r="AA28" s="12">
        <v>10</v>
      </c>
      <c r="AB28" s="12">
        <v>43</v>
      </c>
      <c r="AC28" s="12">
        <v>11</v>
      </c>
      <c r="AD28" s="12">
        <v>37</v>
      </c>
      <c r="AE28" s="12">
        <v>39</v>
      </c>
      <c r="AF28" s="12">
        <v>14</v>
      </c>
    </row>
    <row r="29" spans="1:32">
      <c r="A29" s="19"/>
      <c r="B29" s="13" t="s">
        <v>585</v>
      </c>
      <c r="C29" s="14">
        <v>0.02</v>
      </c>
      <c r="D29" s="14">
        <v>0.04</v>
      </c>
      <c r="E29" s="14">
        <v>0.03</v>
      </c>
      <c r="F29" s="14">
        <v>0.02</v>
      </c>
      <c r="G29" s="14">
        <v>0.03</v>
      </c>
      <c r="H29" s="14">
        <v>0.01</v>
      </c>
      <c r="I29" s="14">
        <v>0.01</v>
      </c>
      <c r="J29" s="14">
        <v>0.02</v>
      </c>
      <c r="K29" s="14">
        <v>0.04</v>
      </c>
      <c r="L29" s="15" t="s">
        <v>375</v>
      </c>
      <c r="M29" s="14">
        <v>0.02</v>
      </c>
      <c r="N29" s="14">
        <v>0.01</v>
      </c>
      <c r="O29" s="14">
        <v>0.03</v>
      </c>
      <c r="P29" s="14">
        <v>0.04</v>
      </c>
      <c r="Q29" s="14">
        <v>0.02</v>
      </c>
      <c r="R29" s="14">
        <v>0.01</v>
      </c>
      <c r="S29" s="14">
        <v>0.02</v>
      </c>
      <c r="T29" s="14">
        <v>0.02</v>
      </c>
      <c r="U29" s="15" t="s">
        <v>375</v>
      </c>
      <c r="V29" s="14">
        <v>0.04</v>
      </c>
      <c r="W29" s="14">
        <v>0.04</v>
      </c>
      <c r="X29" s="14">
        <v>0.02</v>
      </c>
      <c r="Y29" s="14">
        <v>0.02</v>
      </c>
      <c r="Z29" s="14">
        <v>0.05</v>
      </c>
      <c r="AA29" s="14">
        <v>0.01</v>
      </c>
      <c r="AB29" s="14">
        <v>0.04</v>
      </c>
      <c r="AC29" s="14">
        <v>0.01</v>
      </c>
      <c r="AD29" s="14">
        <v>0.04</v>
      </c>
      <c r="AE29" s="14">
        <v>0.04</v>
      </c>
      <c r="AF29" s="14">
        <v>0.01</v>
      </c>
    </row>
    <row r="30" spans="1:32">
      <c r="A30" s="19"/>
      <c r="B30" s="11" t="s">
        <v>1509</v>
      </c>
      <c r="C30" s="12">
        <v>969</v>
      </c>
      <c r="D30" s="12">
        <v>15</v>
      </c>
      <c r="E30" s="12">
        <v>73</v>
      </c>
      <c r="F30" s="12">
        <v>42</v>
      </c>
      <c r="G30" s="12">
        <v>23</v>
      </c>
      <c r="H30" s="12">
        <v>16</v>
      </c>
      <c r="I30" s="12">
        <v>21</v>
      </c>
      <c r="J30" s="12">
        <v>5</v>
      </c>
      <c r="K30" s="12">
        <v>46</v>
      </c>
      <c r="L30" s="12">
        <v>12</v>
      </c>
      <c r="M30" s="12">
        <v>14</v>
      </c>
      <c r="N30" s="12">
        <v>33</v>
      </c>
      <c r="O30" s="12">
        <v>59</v>
      </c>
      <c r="P30" s="12">
        <v>119</v>
      </c>
      <c r="Q30" s="12">
        <v>26</v>
      </c>
      <c r="R30" s="12">
        <v>30</v>
      </c>
      <c r="S30" s="12">
        <v>24</v>
      </c>
      <c r="T30" s="12">
        <v>50</v>
      </c>
      <c r="U30" s="12">
        <v>13</v>
      </c>
      <c r="V30" s="12">
        <v>56</v>
      </c>
      <c r="W30" s="12">
        <v>33</v>
      </c>
      <c r="X30" s="12">
        <v>18</v>
      </c>
      <c r="Y30" s="12">
        <v>24</v>
      </c>
      <c r="Z30" s="12">
        <v>73</v>
      </c>
      <c r="AA30" s="12">
        <v>70</v>
      </c>
      <c r="AB30" s="12">
        <v>52</v>
      </c>
      <c r="AC30" s="12">
        <v>65</v>
      </c>
      <c r="AD30" s="12">
        <v>32</v>
      </c>
      <c r="AE30" s="12">
        <v>26</v>
      </c>
      <c r="AF30" s="12">
        <v>27</v>
      </c>
    </row>
    <row r="31" spans="1:32">
      <c r="A31" s="19"/>
      <c r="B31" s="13" t="s">
        <v>1510</v>
      </c>
      <c r="C31" s="14">
        <v>0.04</v>
      </c>
      <c r="D31" s="14">
        <v>0.02</v>
      </c>
      <c r="E31" s="14">
        <v>7.0000000000000007E-2</v>
      </c>
      <c r="F31" s="14">
        <v>0.04</v>
      </c>
      <c r="G31" s="14">
        <v>0.02</v>
      </c>
      <c r="H31" s="14">
        <v>0.01</v>
      </c>
      <c r="I31" s="14">
        <v>0.01</v>
      </c>
      <c r="J31" s="14">
        <v>0.02</v>
      </c>
      <c r="K31" s="14">
        <v>0.05</v>
      </c>
      <c r="L31" s="14">
        <v>0.01</v>
      </c>
      <c r="M31" s="14">
        <v>0.01</v>
      </c>
      <c r="N31" s="14">
        <v>0.03</v>
      </c>
      <c r="O31" s="14">
        <v>0.06</v>
      </c>
      <c r="P31" s="14">
        <v>0.12</v>
      </c>
      <c r="Q31" s="14">
        <v>0.02</v>
      </c>
      <c r="R31" s="14">
        <v>0.06</v>
      </c>
      <c r="S31" s="14">
        <v>0.02</v>
      </c>
      <c r="T31" s="14">
        <v>0.05</v>
      </c>
      <c r="U31" s="14">
        <v>0.03</v>
      </c>
      <c r="V31" s="14">
        <v>0.05</v>
      </c>
      <c r="W31" s="14">
        <v>7.0000000000000007E-2</v>
      </c>
      <c r="X31" s="14">
        <v>0.02</v>
      </c>
      <c r="Y31" s="14">
        <v>0.02</v>
      </c>
      <c r="Z31" s="14">
        <v>7.0000000000000007E-2</v>
      </c>
      <c r="AA31" s="14">
        <v>7.0000000000000007E-2</v>
      </c>
      <c r="AB31" s="14">
        <v>0.05</v>
      </c>
      <c r="AC31" s="14">
        <v>7.0000000000000007E-2</v>
      </c>
      <c r="AD31" s="14">
        <v>0.03</v>
      </c>
      <c r="AE31" s="14">
        <v>0.03</v>
      </c>
      <c r="AF31" s="14">
        <v>0.03</v>
      </c>
    </row>
    <row r="32" spans="1:32">
      <c r="A32" s="19"/>
      <c r="B32" s="11" t="s">
        <v>1094</v>
      </c>
      <c r="C32" s="12">
        <v>1269</v>
      </c>
      <c r="D32" s="12">
        <v>5</v>
      </c>
      <c r="E32" s="12">
        <v>76</v>
      </c>
      <c r="F32" s="12">
        <v>9</v>
      </c>
      <c r="G32" s="12">
        <v>16</v>
      </c>
      <c r="H32" s="12">
        <v>9</v>
      </c>
      <c r="I32" s="12">
        <v>18</v>
      </c>
      <c r="J32" s="12">
        <v>8</v>
      </c>
      <c r="K32" s="12">
        <v>65</v>
      </c>
      <c r="L32" s="12">
        <v>4</v>
      </c>
      <c r="M32" s="12">
        <v>122</v>
      </c>
      <c r="N32" s="12">
        <v>70</v>
      </c>
      <c r="O32" s="12">
        <v>56</v>
      </c>
      <c r="P32" s="12">
        <v>29</v>
      </c>
      <c r="Q32" s="12">
        <v>111</v>
      </c>
      <c r="R32" s="12">
        <v>128</v>
      </c>
      <c r="S32" s="12">
        <v>21</v>
      </c>
      <c r="T32" s="12">
        <v>79</v>
      </c>
      <c r="U32" s="12">
        <v>15</v>
      </c>
      <c r="V32" s="12">
        <v>52</v>
      </c>
      <c r="W32" s="12">
        <v>6</v>
      </c>
      <c r="X32" s="12">
        <v>0</v>
      </c>
      <c r="Y32" s="12">
        <v>56</v>
      </c>
      <c r="Z32" s="12">
        <v>23</v>
      </c>
      <c r="AA32" s="12">
        <v>82</v>
      </c>
      <c r="AB32" s="12">
        <v>59</v>
      </c>
      <c r="AC32" s="12">
        <v>111</v>
      </c>
      <c r="AD32" s="12">
        <v>11</v>
      </c>
      <c r="AE32" s="12">
        <v>16</v>
      </c>
      <c r="AF32" s="12">
        <v>2</v>
      </c>
    </row>
    <row r="33" spans="1:32">
      <c r="A33" s="19"/>
      <c r="B33" s="13" t="s">
        <v>1095</v>
      </c>
      <c r="C33" s="14">
        <v>0.05</v>
      </c>
      <c r="D33" s="14">
        <v>0.01</v>
      </c>
      <c r="E33" s="14">
        <v>7.0000000000000007E-2</v>
      </c>
      <c r="F33" s="14">
        <v>0.01</v>
      </c>
      <c r="G33" s="14">
        <v>0.02</v>
      </c>
      <c r="H33" s="14">
        <v>0.01</v>
      </c>
      <c r="I33" s="14">
        <v>0.01</v>
      </c>
      <c r="J33" s="14">
        <v>0.03</v>
      </c>
      <c r="K33" s="14">
        <v>0.06</v>
      </c>
      <c r="L33" s="15" t="s">
        <v>375</v>
      </c>
      <c r="M33" s="14">
        <v>0.12</v>
      </c>
      <c r="N33" s="14">
        <v>7.0000000000000007E-2</v>
      </c>
      <c r="O33" s="14">
        <v>0.06</v>
      </c>
      <c r="P33" s="14">
        <v>0.03</v>
      </c>
      <c r="Q33" s="14">
        <v>0.11</v>
      </c>
      <c r="R33" s="14">
        <v>0.26</v>
      </c>
      <c r="S33" s="14">
        <v>0.02</v>
      </c>
      <c r="T33" s="14">
        <v>0.08</v>
      </c>
      <c r="U33" s="14">
        <v>0.03</v>
      </c>
      <c r="V33" s="14">
        <v>0.05</v>
      </c>
      <c r="W33" s="14">
        <v>0.01</v>
      </c>
      <c r="X33" s="15" t="s">
        <v>375</v>
      </c>
      <c r="Y33" s="14">
        <v>0.06</v>
      </c>
      <c r="Z33" s="14">
        <v>0.02</v>
      </c>
      <c r="AA33" s="14">
        <v>0.08</v>
      </c>
      <c r="AB33" s="14">
        <v>0.06</v>
      </c>
      <c r="AC33" s="14">
        <v>0.11</v>
      </c>
      <c r="AD33" s="14">
        <v>0.01</v>
      </c>
      <c r="AE33" s="14">
        <v>0.02</v>
      </c>
      <c r="AF33" s="15" t="s">
        <v>375</v>
      </c>
    </row>
    <row r="34" spans="1:32">
      <c r="A34" s="19"/>
      <c r="B34" s="11" t="s">
        <v>386</v>
      </c>
      <c r="C34" s="12">
        <v>1499</v>
      </c>
      <c r="D34" s="12">
        <v>14</v>
      </c>
      <c r="E34" s="12">
        <v>107</v>
      </c>
      <c r="F34" s="12">
        <v>6</v>
      </c>
      <c r="G34" s="12">
        <v>15</v>
      </c>
      <c r="H34" s="12">
        <v>28</v>
      </c>
      <c r="I34" s="12">
        <v>30</v>
      </c>
      <c r="J34" s="12">
        <v>2</v>
      </c>
      <c r="K34" s="12">
        <v>127</v>
      </c>
      <c r="L34" s="12">
        <v>71</v>
      </c>
      <c r="M34" s="12">
        <v>132</v>
      </c>
      <c r="N34" s="12">
        <v>69</v>
      </c>
      <c r="O34" s="12">
        <v>134</v>
      </c>
      <c r="P34" s="12">
        <v>21</v>
      </c>
      <c r="Q34" s="12">
        <v>43</v>
      </c>
      <c r="R34" s="12">
        <v>78</v>
      </c>
      <c r="S34" s="12">
        <v>230</v>
      </c>
      <c r="T34" s="12">
        <v>241</v>
      </c>
      <c r="U34" s="12">
        <v>33</v>
      </c>
      <c r="V34" s="12">
        <v>9</v>
      </c>
      <c r="W34" s="12">
        <v>108</v>
      </c>
      <c r="X34" s="12">
        <v>6</v>
      </c>
      <c r="Y34" s="12">
        <v>31</v>
      </c>
      <c r="Z34" s="12">
        <v>19</v>
      </c>
      <c r="AA34" s="12">
        <v>93</v>
      </c>
      <c r="AB34" s="12">
        <v>87</v>
      </c>
      <c r="AC34" s="12">
        <v>108</v>
      </c>
      <c r="AD34" s="12">
        <v>47</v>
      </c>
      <c r="AE34" s="12">
        <v>40</v>
      </c>
      <c r="AF34" s="12">
        <v>22</v>
      </c>
    </row>
    <row r="35" spans="1:32">
      <c r="A35" s="19"/>
      <c r="B35" s="13" t="s">
        <v>399</v>
      </c>
      <c r="C35" s="14">
        <v>0.06</v>
      </c>
      <c r="D35" s="14">
        <v>0.01</v>
      </c>
      <c r="E35" s="14">
        <v>0.1</v>
      </c>
      <c r="F35" s="15" t="s">
        <v>375</v>
      </c>
      <c r="G35" s="14">
        <v>0.01</v>
      </c>
      <c r="H35" s="14">
        <v>0.02</v>
      </c>
      <c r="I35" s="14">
        <v>0.02</v>
      </c>
      <c r="J35" s="14">
        <v>0.01</v>
      </c>
      <c r="K35" s="14">
        <v>0.13</v>
      </c>
      <c r="L35" s="14">
        <v>7.0000000000000007E-2</v>
      </c>
      <c r="M35" s="14">
        <v>0.13</v>
      </c>
      <c r="N35" s="14">
        <v>7.0000000000000007E-2</v>
      </c>
      <c r="O35" s="14">
        <v>0.13</v>
      </c>
      <c r="P35" s="14">
        <v>0.02</v>
      </c>
      <c r="Q35" s="14">
        <v>0.04</v>
      </c>
      <c r="R35" s="14">
        <v>0.16</v>
      </c>
      <c r="S35" s="14">
        <v>0.23</v>
      </c>
      <c r="T35" s="14">
        <v>0.24</v>
      </c>
      <c r="U35" s="14">
        <v>0.06</v>
      </c>
      <c r="V35" s="14">
        <v>0.01</v>
      </c>
      <c r="W35" s="14">
        <v>0.22</v>
      </c>
      <c r="X35" s="14">
        <v>0.01</v>
      </c>
      <c r="Y35" s="14">
        <v>0.03</v>
      </c>
      <c r="Z35" s="14">
        <v>0.02</v>
      </c>
      <c r="AA35" s="14">
        <v>0.09</v>
      </c>
      <c r="AB35" s="14">
        <v>0.08</v>
      </c>
      <c r="AC35" s="14">
        <v>0.11</v>
      </c>
      <c r="AD35" s="14">
        <v>0.05</v>
      </c>
      <c r="AE35" s="14">
        <v>0.04</v>
      </c>
      <c r="AF35" s="14">
        <v>0.02</v>
      </c>
    </row>
    <row r="36" spans="1:32">
      <c r="A36" s="19"/>
      <c r="B36" s="11" t="s">
        <v>1254</v>
      </c>
      <c r="C36" s="12">
        <v>5.4</v>
      </c>
      <c r="D36" s="12">
        <v>5.52</v>
      </c>
      <c r="E36" s="12">
        <v>6.01</v>
      </c>
      <c r="F36" s="12">
        <v>5.63</v>
      </c>
      <c r="G36" s="12">
        <v>5.19</v>
      </c>
      <c r="H36" s="12">
        <v>5.1100000000000003</v>
      </c>
      <c r="I36" s="12">
        <v>5.1100000000000003</v>
      </c>
      <c r="J36" s="12">
        <v>5.0999999999999996</v>
      </c>
      <c r="K36" s="12">
        <v>5.53</v>
      </c>
      <c r="L36" s="12">
        <v>5.12</v>
      </c>
      <c r="M36" s="12">
        <v>5.28</v>
      </c>
      <c r="N36" s="12">
        <v>4.9800000000000004</v>
      </c>
      <c r="O36" s="12">
        <v>5.42</v>
      </c>
      <c r="P36" s="12">
        <v>6</v>
      </c>
      <c r="Q36" s="12">
        <v>5.59</v>
      </c>
      <c r="R36" s="12">
        <v>5.6</v>
      </c>
      <c r="S36" s="12">
        <v>5.93</v>
      </c>
      <c r="T36" s="12">
        <v>5.45</v>
      </c>
      <c r="U36" s="12">
        <v>5.27</v>
      </c>
      <c r="V36" s="12">
        <v>5.83</v>
      </c>
      <c r="W36" s="12">
        <v>5.76</v>
      </c>
      <c r="X36" s="12">
        <v>5.0599999999999996</v>
      </c>
      <c r="Y36" s="12">
        <v>5.51</v>
      </c>
      <c r="Z36" s="12">
        <v>6</v>
      </c>
      <c r="AA36" s="12">
        <v>5.63</v>
      </c>
      <c r="AB36" s="12">
        <v>5.79</v>
      </c>
      <c r="AC36" s="12">
        <v>5.42</v>
      </c>
      <c r="AD36" s="12">
        <v>5.64</v>
      </c>
      <c r="AE36" s="12">
        <v>5.6</v>
      </c>
      <c r="AF36" s="12">
        <v>4.84</v>
      </c>
    </row>
    <row r="37" spans="1:32">
      <c r="A37" s="19"/>
      <c r="B37" s="13" t="s">
        <v>1255</v>
      </c>
      <c r="C37" s="15" t="s">
        <v>375</v>
      </c>
      <c r="D37" s="15" t="s">
        <v>375</v>
      </c>
      <c r="E37" s="15" t="s">
        <v>375</v>
      </c>
      <c r="F37" s="15" t="s">
        <v>375</v>
      </c>
      <c r="G37" s="15" t="s">
        <v>375</v>
      </c>
      <c r="H37" s="15" t="s">
        <v>375</v>
      </c>
      <c r="I37" s="15" t="s">
        <v>375</v>
      </c>
      <c r="J37" s="15" t="s">
        <v>375</v>
      </c>
      <c r="K37" s="15" t="s">
        <v>375</v>
      </c>
      <c r="L37" s="15" t="s">
        <v>375</v>
      </c>
      <c r="M37" s="15" t="s">
        <v>375</v>
      </c>
      <c r="N37" s="15" t="s">
        <v>375</v>
      </c>
      <c r="O37" s="15" t="s">
        <v>375</v>
      </c>
      <c r="P37" s="15" t="s">
        <v>375</v>
      </c>
      <c r="Q37" s="15" t="s">
        <v>375</v>
      </c>
      <c r="R37" s="15" t="s">
        <v>375</v>
      </c>
      <c r="S37" s="15" t="s">
        <v>375</v>
      </c>
      <c r="T37" s="15" t="s">
        <v>375</v>
      </c>
      <c r="U37" s="15" t="s">
        <v>375</v>
      </c>
      <c r="V37" s="15" t="s">
        <v>375</v>
      </c>
      <c r="W37" s="15" t="s">
        <v>375</v>
      </c>
      <c r="X37" s="15" t="s">
        <v>375</v>
      </c>
      <c r="Y37" s="15" t="s">
        <v>375</v>
      </c>
      <c r="Z37" s="15" t="s">
        <v>375</v>
      </c>
      <c r="AA37" s="15" t="s">
        <v>375</v>
      </c>
      <c r="AB37" s="15" t="s">
        <v>375</v>
      </c>
      <c r="AC37" s="15" t="s">
        <v>375</v>
      </c>
      <c r="AD37" s="15" t="s">
        <v>375</v>
      </c>
      <c r="AE37" s="15" t="s">
        <v>375</v>
      </c>
      <c r="AF37" s="15" t="s">
        <v>375</v>
      </c>
    </row>
  </sheetData>
  <mergeCells count="9">
    <mergeCell ref="H3:L3"/>
    <mergeCell ref="C8:AF8"/>
    <mergeCell ref="B3:F3"/>
    <mergeCell ref="B5:F5"/>
    <mergeCell ref="A10:A37"/>
    <mergeCell ref="H5:L5"/>
    <mergeCell ref="B10:B11"/>
    <mergeCell ref="H4:L4"/>
    <mergeCell ref="B4:F4"/>
  </mergeCells>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F23"/>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335</v>
      </c>
      <c r="C3" s="17"/>
      <c r="D3" s="17"/>
      <c r="E3" s="17"/>
      <c r="F3" s="17"/>
      <c r="H3" s="17" t="s">
        <v>336</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HYPERLINK("#Content!A169","&lt;&lt;Back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1511</v>
      </c>
      <c r="C12" s="12">
        <v>7036</v>
      </c>
      <c r="D12" s="12">
        <v>262</v>
      </c>
      <c r="E12" s="12">
        <v>200</v>
      </c>
      <c r="F12" s="12">
        <v>220</v>
      </c>
      <c r="G12" s="12">
        <v>349</v>
      </c>
      <c r="H12" s="12">
        <v>367</v>
      </c>
      <c r="I12" s="12">
        <v>452</v>
      </c>
      <c r="J12" s="12">
        <v>85</v>
      </c>
      <c r="K12" s="12">
        <v>236</v>
      </c>
      <c r="L12" s="12">
        <v>207</v>
      </c>
      <c r="M12" s="12">
        <v>237</v>
      </c>
      <c r="N12" s="12">
        <v>326</v>
      </c>
      <c r="O12" s="12">
        <v>258</v>
      </c>
      <c r="P12" s="12">
        <v>236</v>
      </c>
      <c r="Q12" s="12">
        <v>234</v>
      </c>
      <c r="R12" s="12">
        <v>68</v>
      </c>
      <c r="S12" s="12">
        <v>101</v>
      </c>
      <c r="T12" s="12">
        <v>168</v>
      </c>
      <c r="U12" s="12">
        <v>92</v>
      </c>
      <c r="V12" s="12">
        <v>219</v>
      </c>
      <c r="W12" s="12">
        <v>87</v>
      </c>
      <c r="X12" s="12">
        <v>409</v>
      </c>
      <c r="Y12" s="12">
        <v>278</v>
      </c>
      <c r="Z12" s="12">
        <v>195</v>
      </c>
      <c r="AA12" s="12">
        <v>236</v>
      </c>
      <c r="AB12" s="12">
        <v>221</v>
      </c>
      <c r="AC12" s="12">
        <v>198</v>
      </c>
      <c r="AD12" s="12">
        <v>248</v>
      </c>
      <c r="AE12" s="12">
        <v>277</v>
      </c>
      <c r="AF12" s="12">
        <v>504</v>
      </c>
    </row>
    <row r="13" spans="1:32">
      <c r="A13" s="19"/>
      <c r="B13" s="13" t="s">
        <v>1512</v>
      </c>
      <c r="C13" s="14">
        <v>0.26</v>
      </c>
      <c r="D13" s="14">
        <v>0.26</v>
      </c>
      <c r="E13" s="14">
        <v>0.19</v>
      </c>
      <c r="F13" s="14">
        <v>0.21</v>
      </c>
      <c r="G13" s="14">
        <v>0.34</v>
      </c>
      <c r="H13" s="14">
        <v>0.3</v>
      </c>
      <c r="I13" s="14">
        <v>0.3</v>
      </c>
      <c r="J13" s="14">
        <v>0.28000000000000003</v>
      </c>
      <c r="K13" s="14">
        <v>0.23</v>
      </c>
      <c r="L13" s="14">
        <v>0.21</v>
      </c>
      <c r="M13" s="14">
        <v>0.23</v>
      </c>
      <c r="N13" s="14">
        <v>0.32</v>
      </c>
      <c r="O13" s="14">
        <v>0.26</v>
      </c>
      <c r="P13" s="14">
        <v>0.23</v>
      </c>
      <c r="Q13" s="14">
        <v>0.23</v>
      </c>
      <c r="R13" s="14">
        <v>0.14000000000000001</v>
      </c>
      <c r="S13" s="14">
        <v>0.1</v>
      </c>
      <c r="T13" s="14">
        <v>0.16</v>
      </c>
      <c r="U13" s="14">
        <v>0.18</v>
      </c>
      <c r="V13" s="14">
        <v>0.21</v>
      </c>
      <c r="W13" s="14">
        <v>0.17</v>
      </c>
      <c r="X13" s="14">
        <v>0.4</v>
      </c>
      <c r="Y13" s="14">
        <v>0.28000000000000003</v>
      </c>
      <c r="Z13" s="14">
        <v>0.19</v>
      </c>
      <c r="AA13" s="14">
        <v>0.23</v>
      </c>
      <c r="AB13" s="14">
        <v>0.21</v>
      </c>
      <c r="AC13" s="14">
        <v>0.19</v>
      </c>
      <c r="AD13" s="14">
        <v>0.25</v>
      </c>
      <c r="AE13" s="14">
        <v>0.28000000000000003</v>
      </c>
      <c r="AF13" s="14">
        <v>0.49</v>
      </c>
    </row>
    <row r="14" spans="1:32">
      <c r="A14" s="19"/>
      <c r="B14" s="11" t="s">
        <v>1513</v>
      </c>
      <c r="C14" s="12">
        <v>9734</v>
      </c>
      <c r="D14" s="12">
        <v>417</v>
      </c>
      <c r="E14" s="12">
        <v>276</v>
      </c>
      <c r="F14" s="12">
        <v>530</v>
      </c>
      <c r="G14" s="12">
        <v>343</v>
      </c>
      <c r="H14" s="12">
        <v>578</v>
      </c>
      <c r="I14" s="12">
        <v>719</v>
      </c>
      <c r="J14" s="12">
        <v>142</v>
      </c>
      <c r="K14" s="12">
        <v>310</v>
      </c>
      <c r="L14" s="12">
        <v>605</v>
      </c>
      <c r="M14" s="12">
        <v>310</v>
      </c>
      <c r="N14" s="12">
        <v>363</v>
      </c>
      <c r="O14" s="12">
        <v>323</v>
      </c>
      <c r="P14" s="12">
        <v>350</v>
      </c>
      <c r="Q14" s="12">
        <v>337</v>
      </c>
      <c r="R14" s="12">
        <v>129</v>
      </c>
      <c r="S14" s="12">
        <v>385</v>
      </c>
      <c r="T14" s="12">
        <v>363</v>
      </c>
      <c r="U14" s="12">
        <v>286</v>
      </c>
      <c r="V14" s="12">
        <v>417</v>
      </c>
      <c r="W14" s="12">
        <v>173</v>
      </c>
      <c r="X14" s="12">
        <v>302</v>
      </c>
      <c r="Y14" s="12">
        <v>362</v>
      </c>
      <c r="Z14" s="12">
        <v>398</v>
      </c>
      <c r="AA14" s="12">
        <v>308</v>
      </c>
      <c r="AB14" s="12">
        <v>293</v>
      </c>
      <c r="AC14" s="12">
        <v>390</v>
      </c>
      <c r="AD14" s="12">
        <v>363</v>
      </c>
      <c r="AE14" s="12">
        <v>339</v>
      </c>
      <c r="AF14" s="12">
        <v>229</v>
      </c>
    </row>
    <row r="15" spans="1:32">
      <c r="A15" s="19"/>
      <c r="B15" s="13" t="s">
        <v>1513</v>
      </c>
      <c r="C15" s="14">
        <v>0.37</v>
      </c>
      <c r="D15" s="14">
        <v>0.41</v>
      </c>
      <c r="E15" s="14">
        <v>0.27</v>
      </c>
      <c r="F15" s="14">
        <v>0.5</v>
      </c>
      <c r="G15" s="14">
        <v>0.34</v>
      </c>
      <c r="H15" s="14">
        <v>0.47</v>
      </c>
      <c r="I15" s="14">
        <v>0.47</v>
      </c>
      <c r="J15" s="14">
        <v>0.48</v>
      </c>
      <c r="K15" s="14">
        <v>0.31</v>
      </c>
      <c r="L15" s="14">
        <v>0.6</v>
      </c>
      <c r="M15" s="14">
        <v>0.31</v>
      </c>
      <c r="N15" s="14">
        <v>0.36</v>
      </c>
      <c r="O15" s="14">
        <v>0.32</v>
      </c>
      <c r="P15" s="14">
        <v>0.35</v>
      </c>
      <c r="Q15" s="14">
        <v>0.33</v>
      </c>
      <c r="R15" s="14">
        <v>0.26</v>
      </c>
      <c r="S15" s="14">
        <v>0.38</v>
      </c>
      <c r="T15" s="14">
        <v>0.35</v>
      </c>
      <c r="U15" s="14">
        <v>0.56000000000000005</v>
      </c>
      <c r="V15" s="14">
        <v>0.41</v>
      </c>
      <c r="W15" s="14">
        <v>0.35</v>
      </c>
      <c r="X15" s="14">
        <v>0.3</v>
      </c>
      <c r="Y15" s="14">
        <v>0.36</v>
      </c>
      <c r="Z15" s="14">
        <v>0.39</v>
      </c>
      <c r="AA15" s="14">
        <v>0.28999999999999998</v>
      </c>
      <c r="AB15" s="14">
        <v>0.28000000000000003</v>
      </c>
      <c r="AC15" s="14">
        <v>0.39</v>
      </c>
      <c r="AD15" s="14">
        <v>0.36</v>
      </c>
      <c r="AE15" s="14">
        <v>0.34</v>
      </c>
      <c r="AF15" s="14">
        <v>0.22</v>
      </c>
    </row>
    <row r="16" spans="1:32">
      <c r="A16" s="19"/>
      <c r="B16" s="11" t="s">
        <v>1514</v>
      </c>
      <c r="C16" s="12">
        <v>6915</v>
      </c>
      <c r="D16" s="12">
        <v>323</v>
      </c>
      <c r="E16" s="12">
        <v>387</v>
      </c>
      <c r="F16" s="12">
        <v>298</v>
      </c>
      <c r="G16" s="12">
        <v>293</v>
      </c>
      <c r="H16" s="12">
        <v>248</v>
      </c>
      <c r="I16" s="12">
        <v>308</v>
      </c>
      <c r="J16" s="12">
        <v>60</v>
      </c>
      <c r="K16" s="12">
        <v>268</v>
      </c>
      <c r="L16" s="12">
        <v>119</v>
      </c>
      <c r="M16" s="12">
        <v>207</v>
      </c>
      <c r="N16" s="12">
        <v>182</v>
      </c>
      <c r="O16" s="12">
        <v>233</v>
      </c>
      <c r="P16" s="12">
        <v>367</v>
      </c>
      <c r="Q16" s="12">
        <v>306</v>
      </c>
      <c r="R16" s="12">
        <v>98</v>
      </c>
      <c r="S16" s="12">
        <v>267</v>
      </c>
      <c r="T16" s="12">
        <v>172</v>
      </c>
      <c r="U16" s="12">
        <v>82</v>
      </c>
      <c r="V16" s="12">
        <v>329</v>
      </c>
      <c r="W16" s="12">
        <v>128</v>
      </c>
      <c r="X16" s="12">
        <v>293</v>
      </c>
      <c r="Y16" s="12">
        <v>277</v>
      </c>
      <c r="Z16" s="12">
        <v>381</v>
      </c>
      <c r="AA16" s="12">
        <v>318</v>
      </c>
      <c r="AB16" s="12">
        <v>380</v>
      </c>
      <c r="AC16" s="12">
        <v>198</v>
      </c>
      <c r="AD16" s="12">
        <v>335</v>
      </c>
      <c r="AE16" s="12">
        <v>330</v>
      </c>
      <c r="AF16" s="12">
        <v>274</v>
      </c>
    </row>
    <row r="17" spans="1:32">
      <c r="A17" s="19"/>
      <c r="B17" s="13" t="s">
        <v>1515</v>
      </c>
      <c r="C17" s="14">
        <v>0.26</v>
      </c>
      <c r="D17" s="14">
        <v>0.32</v>
      </c>
      <c r="E17" s="14">
        <v>0.37</v>
      </c>
      <c r="F17" s="14">
        <v>0.28000000000000003</v>
      </c>
      <c r="G17" s="14">
        <v>0.28999999999999998</v>
      </c>
      <c r="H17" s="14">
        <v>0.2</v>
      </c>
      <c r="I17" s="14">
        <v>0.2</v>
      </c>
      <c r="J17" s="14">
        <v>0.2</v>
      </c>
      <c r="K17" s="14">
        <v>0.27</v>
      </c>
      <c r="L17" s="14">
        <v>0.12</v>
      </c>
      <c r="M17" s="14">
        <v>0.21</v>
      </c>
      <c r="N17" s="14">
        <v>0.18</v>
      </c>
      <c r="O17" s="14">
        <v>0.23</v>
      </c>
      <c r="P17" s="14">
        <v>0.37</v>
      </c>
      <c r="Q17" s="14">
        <v>0.28999999999999998</v>
      </c>
      <c r="R17" s="14">
        <v>0.19</v>
      </c>
      <c r="S17" s="14">
        <v>0.27</v>
      </c>
      <c r="T17" s="14">
        <v>0.17</v>
      </c>
      <c r="U17" s="14">
        <v>0.16</v>
      </c>
      <c r="V17" s="14">
        <v>0.32</v>
      </c>
      <c r="W17" s="14">
        <v>0.26</v>
      </c>
      <c r="X17" s="14">
        <v>0.28999999999999998</v>
      </c>
      <c r="Y17" s="14">
        <v>0.28000000000000003</v>
      </c>
      <c r="Z17" s="14">
        <v>0.38</v>
      </c>
      <c r="AA17" s="14">
        <v>0.31</v>
      </c>
      <c r="AB17" s="14">
        <v>0.37</v>
      </c>
      <c r="AC17" s="14">
        <v>0.2</v>
      </c>
      <c r="AD17" s="14">
        <v>0.33</v>
      </c>
      <c r="AE17" s="14">
        <v>0.33</v>
      </c>
      <c r="AF17" s="14">
        <v>0.27</v>
      </c>
    </row>
    <row r="18" spans="1:32">
      <c r="A18" s="19"/>
      <c r="B18" s="11" t="s">
        <v>1094</v>
      </c>
      <c r="C18" s="12">
        <v>1269</v>
      </c>
      <c r="D18" s="12">
        <v>5</v>
      </c>
      <c r="E18" s="12">
        <v>76</v>
      </c>
      <c r="F18" s="12">
        <v>9</v>
      </c>
      <c r="G18" s="12">
        <v>16</v>
      </c>
      <c r="H18" s="12">
        <v>9</v>
      </c>
      <c r="I18" s="12">
        <v>18</v>
      </c>
      <c r="J18" s="12">
        <v>8</v>
      </c>
      <c r="K18" s="12">
        <v>65</v>
      </c>
      <c r="L18" s="12">
        <v>4</v>
      </c>
      <c r="M18" s="12">
        <v>122</v>
      </c>
      <c r="N18" s="12">
        <v>70</v>
      </c>
      <c r="O18" s="12">
        <v>56</v>
      </c>
      <c r="P18" s="12">
        <v>29</v>
      </c>
      <c r="Q18" s="12">
        <v>111</v>
      </c>
      <c r="R18" s="12">
        <v>128</v>
      </c>
      <c r="S18" s="12">
        <v>21</v>
      </c>
      <c r="T18" s="12">
        <v>79</v>
      </c>
      <c r="U18" s="12">
        <v>15</v>
      </c>
      <c r="V18" s="12">
        <v>52</v>
      </c>
      <c r="W18" s="12">
        <v>6</v>
      </c>
      <c r="X18" s="12">
        <v>0</v>
      </c>
      <c r="Y18" s="12">
        <v>56</v>
      </c>
      <c r="Z18" s="12">
        <v>23</v>
      </c>
      <c r="AA18" s="12">
        <v>82</v>
      </c>
      <c r="AB18" s="12">
        <v>59</v>
      </c>
      <c r="AC18" s="12">
        <v>111</v>
      </c>
      <c r="AD18" s="12">
        <v>11</v>
      </c>
      <c r="AE18" s="12">
        <v>16</v>
      </c>
      <c r="AF18" s="12">
        <v>2</v>
      </c>
    </row>
    <row r="19" spans="1:32">
      <c r="A19" s="19"/>
      <c r="B19" s="13" t="s">
        <v>1095</v>
      </c>
      <c r="C19" s="14">
        <v>0.05</v>
      </c>
      <c r="D19" s="15" t="s">
        <v>375</v>
      </c>
      <c r="E19" s="14">
        <v>7.0000000000000007E-2</v>
      </c>
      <c r="F19" s="14">
        <v>0.01</v>
      </c>
      <c r="G19" s="14">
        <v>0.02</v>
      </c>
      <c r="H19" s="14">
        <v>0.01</v>
      </c>
      <c r="I19" s="14">
        <v>0.01</v>
      </c>
      <c r="J19" s="14">
        <v>0.03</v>
      </c>
      <c r="K19" s="14">
        <v>0.06</v>
      </c>
      <c r="L19" s="15" t="s">
        <v>375</v>
      </c>
      <c r="M19" s="14">
        <v>0.12</v>
      </c>
      <c r="N19" s="14">
        <v>7.0000000000000007E-2</v>
      </c>
      <c r="O19" s="14">
        <v>0.06</v>
      </c>
      <c r="P19" s="14">
        <v>0.03</v>
      </c>
      <c r="Q19" s="14">
        <v>0.11</v>
      </c>
      <c r="R19" s="14">
        <v>0.25</v>
      </c>
      <c r="S19" s="14">
        <v>0.02</v>
      </c>
      <c r="T19" s="14">
        <v>0.08</v>
      </c>
      <c r="U19" s="14">
        <v>0.03</v>
      </c>
      <c r="V19" s="14">
        <v>0.05</v>
      </c>
      <c r="W19" s="14">
        <v>0.01</v>
      </c>
      <c r="X19" s="15" t="s">
        <v>375</v>
      </c>
      <c r="Y19" s="14">
        <v>0.05</v>
      </c>
      <c r="Z19" s="14">
        <v>0.02</v>
      </c>
      <c r="AA19" s="14">
        <v>0.08</v>
      </c>
      <c r="AB19" s="14">
        <v>0.06</v>
      </c>
      <c r="AC19" s="14">
        <v>0.11</v>
      </c>
      <c r="AD19" s="14">
        <v>0.01</v>
      </c>
      <c r="AE19" s="14">
        <v>0.01</v>
      </c>
      <c r="AF19" s="15" t="s">
        <v>375</v>
      </c>
    </row>
    <row r="20" spans="1:32">
      <c r="A20" s="19"/>
      <c r="B20" s="11" t="s">
        <v>386</v>
      </c>
      <c r="C20" s="12">
        <v>1499</v>
      </c>
      <c r="D20" s="12">
        <v>14</v>
      </c>
      <c r="E20" s="12">
        <v>107</v>
      </c>
      <c r="F20" s="12">
        <v>6</v>
      </c>
      <c r="G20" s="12">
        <v>15</v>
      </c>
      <c r="H20" s="12">
        <v>28</v>
      </c>
      <c r="I20" s="12">
        <v>30</v>
      </c>
      <c r="J20" s="12">
        <v>2</v>
      </c>
      <c r="K20" s="12">
        <v>127</v>
      </c>
      <c r="L20" s="12">
        <v>71</v>
      </c>
      <c r="M20" s="12">
        <v>132</v>
      </c>
      <c r="N20" s="12">
        <v>69</v>
      </c>
      <c r="O20" s="12">
        <v>134</v>
      </c>
      <c r="P20" s="12">
        <v>21</v>
      </c>
      <c r="Q20" s="12">
        <v>43</v>
      </c>
      <c r="R20" s="12">
        <v>78</v>
      </c>
      <c r="S20" s="12">
        <v>230</v>
      </c>
      <c r="T20" s="12">
        <v>241</v>
      </c>
      <c r="U20" s="12">
        <v>33</v>
      </c>
      <c r="V20" s="12">
        <v>9</v>
      </c>
      <c r="W20" s="12">
        <v>108</v>
      </c>
      <c r="X20" s="12">
        <v>6</v>
      </c>
      <c r="Y20" s="12">
        <v>31</v>
      </c>
      <c r="Z20" s="12">
        <v>19</v>
      </c>
      <c r="AA20" s="12">
        <v>93</v>
      </c>
      <c r="AB20" s="12">
        <v>87</v>
      </c>
      <c r="AC20" s="12">
        <v>108</v>
      </c>
      <c r="AD20" s="12">
        <v>47</v>
      </c>
      <c r="AE20" s="12">
        <v>40</v>
      </c>
      <c r="AF20" s="12">
        <v>22</v>
      </c>
    </row>
    <row r="21" spans="1:32">
      <c r="A21" s="19"/>
      <c r="B21" s="13" t="s">
        <v>399</v>
      </c>
      <c r="C21" s="14">
        <v>0.06</v>
      </c>
      <c r="D21" s="14">
        <v>0.01</v>
      </c>
      <c r="E21" s="14">
        <v>0.1</v>
      </c>
      <c r="F21" s="15" t="s">
        <v>375</v>
      </c>
      <c r="G21" s="14">
        <v>0.01</v>
      </c>
      <c r="H21" s="14">
        <v>0.02</v>
      </c>
      <c r="I21" s="14">
        <v>0.02</v>
      </c>
      <c r="J21" s="14">
        <v>0.01</v>
      </c>
      <c r="K21" s="14">
        <v>0.13</v>
      </c>
      <c r="L21" s="14">
        <v>7.0000000000000007E-2</v>
      </c>
      <c r="M21" s="14">
        <v>0.13</v>
      </c>
      <c r="N21" s="14">
        <v>7.0000000000000007E-2</v>
      </c>
      <c r="O21" s="14">
        <v>0.13</v>
      </c>
      <c r="P21" s="14">
        <v>0.02</v>
      </c>
      <c r="Q21" s="14">
        <v>0.04</v>
      </c>
      <c r="R21" s="14">
        <v>0.16</v>
      </c>
      <c r="S21" s="14">
        <v>0.23</v>
      </c>
      <c r="T21" s="14">
        <v>0.24</v>
      </c>
      <c r="U21" s="14">
        <v>7.0000000000000007E-2</v>
      </c>
      <c r="V21" s="14">
        <v>0.01</v>
      </c>
      <c r="W21" s="14">
        <v>0.21</v>
      </c>
      <c r="X21" s="14">
        <v>0.01</v>
      </c>
      <c r="Y21" s="14">
        <v>0.03</v>
      </c>
      <c r="Z21" s="14">
        <v>0.02</v>
      </c>
      <c r="AA21" s="14">
        <v>0.09</v>
      </c>
      <c r="AB21" s="14">
        <v>0.08</v>
      </c>
      <c r="AC21" s="14">
        <v>0.11</v>
      </c>
      <c r="AD21" s="14">
        <v>0.05</v>
      </c>
      <c r="AE21" s="14">
        <v>0.04</v>
      </c>
      <c r="AF21" s="14">
        <v>0.02</v>
      </c>
    </row>
    <row r="22" spans="1:32">
      <c r="A22" s="19"/>
      <c r="B22" s="11" t="s">
        <v>1254</v>
      </c>
      <c r="C22" s="12">
        <v>5.4</v>
      </c>
      <c r="D22" s="12">
        <v>5.52</v>
      </c>
      <c r="E22" s="12">
        <v>6.01</v>
      </c>
      <c r="F22" s="12">
        <v>5.63</v>
      </c>
      <c r="G22" s="12">
        <v>5.19</v>
      </c>
      <c r="H22" s="12">
        <v>5.1100000000000003</v>
      </c>
      <c r="I22" s="12">
        <v>5.1100000000000003</v>
      </c>
      <c r="J22" s="12">
        <v>5.0999999999999996</v>
      </c>
      <c r="K22" s="12">
        <v>5.53</v>
      </c>
      <c r="L22" s="12">
        <v>5.12</v>
      </c>
      <c r="M22" s="12">
        <v>5.28</v>
      </c>
      <c r="N22" s="12">
        <v>4.9800000000000004</v>
      </c>
      <c r="O22" s="12">
        <v>5.42</v>
      </c>
      <c r="P22" s="12">
        <v>6</v>
      </c>
      <c r="Q22" s="12">
        <v>5.59</v>
      </c>
      <c r="R22" s="12">
        <v>5.6</v>
      </c>
      <c r="S22" s="12">
        <v>5.93</v>
      </c>
      <c r="T22" s="12">
        <v>5.45</v>
      </c>
      <c r="U22" s="12">
        <v>5.27</v>
      </c>
      <c r="V22" s="12">
        <v>5.83</v>
      </c>
      <c r="W22" s="12">
        <v>5.76</v>
      </c>
      <c r="X22" s="12">
        <v>5.0599999999999996</v>
      </c>
      <c r="Y22" s="12">
        <v>5.51</v>
      </c>
      <c r="Z22" s="12">
        <v>6</v>
      </c>
      <c r="AA22" s="12">
        <v>5.63</v>
      </c>
      <c r="AB22" s="12">
        <v>5.79</v>
      </c>
      <c r="AC22" s="12">
        <v>5.42</v>
      </c>
      <c r="AD22" s="12">
        <v>5.64</v>
      </c>
      <c r="AE22" s="12">
        <v>5.6</v>
      </c>
      <c r="AF22" s="12">
        <v>4.84</v>
      </c>
    </row>
    <row r="23" spans="1:32">
      <c r="A23" s="19"/>
      <c r="B23" s="13" t="s">
        <v>1255</v>
      </c>
      <c r="C23" s="15" t="s">
        <v>375</v>
      </c>
      <c r="D23" s="15" t="s">
        <v>375</v>
      </c>
      <c r="E23" s="15" t="s">
        <v>375</v>
      </c>
      <c r="F23" s="15" t="s">
        <v>375</v>
      </c>
      <c r="G23" s="15" t="s">
        <v>375</v>
      </c>
      <c r="H23" s="15" t="s">
        <v>375</v>
      </c>
      <c r="I23" s="15" t="s">
        <v>375</v>
      </c>
      <c r="J23" s="15" t="s">
        <v>375</v>
      </c>
      <c r="K23" s="15" t="s">
        <v>375</v>
      </c>
      <c r="L23" s="15" t="s">
        <v>375</v>
      </c>
      <c r="M23" s="15" t="s">
        <v>375</v>
      </c>
      <c r="N23" s="15" t="s">
        <v>375</v>
      </c>
      <c r="O23" s="15" t="s">
        <v>375</v>
      </c>
      <c r="P23" s="15" t="s">
        <v>375</v>
      </c>
      <c r="Q23" s="15" t="s">
        <v>375</v>
      </c>
      <c r="R23" s="15" t="s">
        <v>375</v>
      </c>
      <c r="S23" s="15" t="s">
        <v>375</v>
      </c>
      <c r="T23" s="15" t="s">
        <v>375</v>
      </c>
      <c r="U23" s="15" t="s">
        <v>375</v>
      </c>
      <c r="V23" s="15" t="s">
        <v>375</v>
      </c>
      <c r="W23" s="15" t="s">
        <v>375</v>
      </c>
      <c r="X23" s="15" t="s">
        <v>375</v>
      </c>
      <c r="Y23" s="15" t="s">
        <v>375</v>
      </c>
      <c r="Z23" s="15" t="s">
        <v>375</v>
      </c>
      <c r="AA23" s="15" t="s">
        <v>375</v>
      </c>
      <c r="AB23" s="15" t="s">
        <v>375</v>
      </c>
      <c r="AC23" s="15" t="s">
        <v>375</v>
      </c>
      <c r="AD23" s="15" t="s">
        <v>375</v>
      </c>
      <c r="AE23" s="15" t="s">
        <v>375</v>
      </c>
      <c r="AF23" s="15" t="s">
        <v>375</v>
      </c>
    </row>
  </sheetData>
  <mergeCells count="9">
    <mergeCell ref="B10:B11"/>
    <mergeCell ref="H4:L4"/>
    <mergeCell ref="A10:A23"/>
    <mergeCell ref="B4:F4"/>
    <mergeCell ref="H3:L3"/>
    <mergeCell ref="C8:AF8"/>
    <mergeCell ref="B3:F3"/>
    <mergeCell ref="B5:F5"/>
    <mergeCell ref="H5:L5"/>
  </mergeCells>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F27"/>
  <sheetViews>
    <sheetView workbookViewId="0">
      <pane xSplit="3" ySplit="9" topLeftCell="D10" activePane="bottomRight" state="frozen"/>
      <selection pane="bottomRight"/>
      <selection pane="bottomLeft"/>
      <selection pane="topRight"/>
    </sheetView>
  </sheetViews>
  <sheetFormatPr defaultRowHeight="15"/>
  <cols>
    <col min="1" max="1" width="8.42578125" customWidth="1"/>
    <col min="2" max="2" width="19.28515625" customWidth="1"/>
    <col min="3" max="32" width="12.42578125" customWidth="1"/>
  </cols>
  <sheetData>
    <row r="1" spans="1:32">
      <c r="I1" s="7" t="s">
        <v>339</v>
      </c>
    </row>
    <row r="2" spans="1:32">
      <c r="C2" s="7" t="s">
        <v>340</v>
      </c>
      <c r="H2" s="7" t="s">
        <v>341</v>
      </c>
    </row>
    <row r="3" spans="1:32" ht="12" customHeight="1">
      <c r="B3" s="17" t="s">
        <v>337</v>
      </c>
      <c r="C3" s="17"/>
      <c r="D3" s="17"/>
      <c r="E3" s="17"/>
      <c r="F3" s="17"/>
      <c r="H3" s="17" t="s">
        <v>338</v>
      </c>
      <c r="I3" s="17"/>
      <c r="J3" s="17"/>
      <c r="K3" s="17"/>
      <c r="L3" s="17"/>
    </row>
    <row r="4" spans="1:32" ht="27" customHeight="1">
      <c r="B4" s="17"/>
      <c r="C4" s="17"/>
      <c r="D4" s="17"/>
      <c r="E4" s="17"/>
      <c r="F4" s="17"/>
      <c r="H4" s="17"/>
      <c r="I4" s="17"/>
      <c r="J4" s="17"/>
      <c r="K4" s="17"/>
      <c r="L4" s="17"/>
    </row>
    <row r="5" spans="1:32" ht="12" customHeight="1">
      <c r="B5" s="17" t="s">
        <v>342</v>
      </c>
      <c r="C5" s="17"/>
      <c r="D5" s="17"/>
      <c r="E5" s="17"/>
      <c r="F5" s="17"/>
      <c r="H5" s="17" t="s">
        <v>343</v>
      </c>
      <c r="I5" s="17"/>
      <c r="J5" s="17"/>
      <c r="K5" s="17"/>
      <c r="L5" s="17"/>
    </row>
    <row r="6" spans="1:32" ht="0.95" customHeight="1"/>
    <row r="7" spans="1:32" ht="0.95" customHeight="1"/>
    <row r="8" spans="1:32">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row>
    <row r="9" spans="1:32">
      <c r="A9" s="5" t="str">
        <f>HYPERLINK("#Content!A170","&lt;&lt;Back to content")</f>
        <v>&lt;&lt;Back to content</v>
      </c>
      <c r="C9" s="8" t="s">
        <v>344</v>
      </c>
      <c r="D9" s="8" t="s">
        <v>345</v>
      </c>
      <c r="E9" s="8" t="s">
        <v>346</v>
      </c>
      <c r="F9" s="8" t="s">
        <v>347</v>
      </c>
      <c r="G9" s="8" t="s">
        <v>348</v>
      </c>
      <c r="H9" s="8" t="s">
        <v>349</v>
      </c>
      <c r="I9" s="8" t="s">
        <v>350</v>
      </c>
      <c r="J9" s="8" t="s">
        <v>351</v>
      </c>
      <c r="K9" s="8" t="s">
        <v>352</v>
      </c>
      <c r="L9" s="8" t="s">
        <v>353</v>
      </c>
      <c r="M9" s="8" t="s">
        <v>354</v>
      </c>
      <c r="N9" s="8" t="s">
        <v>355</v>
      </c>
      <c r="O9" s="8" t="s">
        <v>356</v>
      </c>
      <c r="P9" s="8" t="s">
        <v>357</v>
      </c>
      <c r="Q9" s="8" t="s">
        <v>358</v>
      </c>
      <c r="R9" s="8" t="s">
        <v>359</v>
      </c>
      <c r="S9" s="8" t="s">
        <v>360</v>
      </c>
      <c r="T9" s="8" t="s">
        <v>361</v>
      </c>
      <c r="U9" s="8" t="s">
        <v>362</v>
      </c>
      <c r="V9" s="8" t="s">
        <v>363</v>
      </c>
      <c r="W9" s="8" t="s">
        <v>364</v>
      </c>
      <c r="X9" s="8" t="s">
        <v>365</v>
      </c>
      <c r="Y9" s="8" t="s">
        <v>366</v>
      </c>
      <c r="Z9" s="8" t="s">
        <v>367</v>
      </c>
      <c r="AA9" s="8" t="s">
        <v>368</v>
      </c>
      <c r="AB9" s="8" t="s">
        <v>369</v>
      </c>
      <c r="AC9" s="8" t="s">
        <v>370</v>
      </c>
      <c r="AD9" s="8" t="s">
        <v>371</v>
      </c>
      <c r="AE9" s="8" t="s">
        <v>372</v>
      </c>
      <c r="AF9" s="8" t="s">
        <v>373</v>
      </c>
    </row>
    <row r="10" spans="1:32">
      <c r="A10" s="19"/>
      <c r="B10" s="16" t="s">
        <v>374</v>
      </c>
      <c r="C10" s="10">
        <v>26453</v>
      </c>
      <c r="D10" s="10">
        <v>1021</v>
      </c>
      <c r="E10" s="10">
        <v>1046</v>
      </c>
      <c r="F10" s="10">
        <v>1064</v>
      </c>
      <c r="G10" s="10">
        <v>1016</v>
      </c>
      <c r="H10" s="10">
        <v>1230</v>
      </c>
      <c r="I10" s="10">
        <v>1527</v>
      </c>
      <c r="J10" s="10">
        <v>297</v>
      </c>
      <c r="K10" s="10">
        <v>1006</v>
      </c>
      <c r="L10" s="10">
        <v>1006</v>
      </c>
      <c r="M10" s="10">
        <v>1007</v>
      </c>
      <c r="N10" s="10">
        <v>1011</v>
      </c>
      <c r="O10" s="10">
        <v>1004</v>
      </c>
      <c r="P10" s="10">
        <v>1003</v>
      </c>
      <c r="Q10" s="10">
        <v>1031</v>
      </c>
      <c r="R10" s="10">
        <v>501</v>
      </c>
      <c r="S10" s="10">
        <v>1004</v>
      </c>
      <c r="T10" s="10">
        <v>1023</v>
      </c>
      <c r="U10" s="10">
        <v>508</v>
      </c>
      <c r="V10" s="10">
        <v>1026</v>
      </c>
      <c r="W10" s="10">
        <v>502</v>
      </c>
      <c r="X10" s="10">
        <v>1010</v>
      </c>
      <c r="Y10" s="10">
        <v>1003</v>
      </c>
      <c r="Z10" s="10">
        <v>1016</v>
      </c>
      <c r="AA10" s="10">
        <v>1037</v>
      </c>
      <c r="AB10" s="10">
        <v>1041</v>
      </c>
      <c r="AC10" s="10">
        <v>1005</v>
      </c>
      <c r="AD10" s="10">
        <v>1003</v>
      </c>
      <c r="AE10" s="10">
        <v>1001</v>
      </c>
      <c r="AF10" s="10">
        <v>1031</v>
      </c>
    </row>
    <row r="11" spans="1:32">
      <c r="A11" s="18"/>
      <c r="B11" s="20"/>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row>
    <row r="12" spans="1:32">
      <c r="A12" s="19"/>
      <c r="B12" s="11" t="s">
        <v>1516</v>
      </c>
      <c r="C12" s="12">
        <v>1856</v>
      </c>
      <c r="D12" s="12">
        <v>67</v>
      </c>
      <c r="E12" s="12">
        <v>73</v>
      </c>
      <c r="F12" s="12">
        <v>54</v>
      </c>
      <c r="G12" s="12">
        <v>107</v>
      </c>
      <c r="H12" s="12">
        <v>89</v>
      </c>
      <c r="I12" s="12">
        <v>119</v>
      </c>
      <c r="J12" s="12">
        <v>30</v>
      </c>
      <c r="K12" s="12">
        <v>75</v>
      </c>
      <c r="L12" s="12">
        <v>32</v>
      </c>
      <c r="M12" s="12">
        <v>35</v>
      </c>
      <c r="N12" s="12">
        <v>72</v>
      </c>
      <c r="O12" s="12">
        <v>68</v>
      </c>
      <c r="P12" s="12">
        <v>60</v>
      </c>
      <c r="Q12" s="12">
        <v>59</v>
      </c>
      <c r="R12" s="12">
        <v>36</v>
      </c>
      <c r="S12" s="12">
        <v>24</v>
      </c>
      <c r="T12" s="12">
        <v>54</v>
      </c>
      <c r="U12" s="12">
        <v>20</v>
      </c>
      <c r="V12" s="12">
        <v>47</v>
      </c>
      <c r="W12" s="12">
        <v>38</v>
      </c>
      <c r="X12" s="12">
        <v>117</v>
      </c>
      <c r="Y12" s="12">
        <v>45</v>
      </c>
      <c r="Z12" s="12">
        <v>54</v>
      </c>
      <c r="AA12" s="12">
        <v>71</v>
      </c>
      <c r="AB12" s="12">
        <v>115</v>
      </c>
      <c r="AC12" s="12">
        <v>57</v>
      </c>
      <c r="AD12" s="12">
        <v>52</v>
      </c>
      <c r="AE12" s="12">
        <v>59</v>
      </c>
      <c r="AF12" s="12">
        <v>146</v>
      </c>
    </row>
    <row r="13" spans="1:32">
      <c r="A13" s="19"/>
      <c r="B13" s="13" t="s">
        <v>1517</v>
      </c>
      <c r="C13" s="14">
        <v>7.0000000000000007E-2</v>
      </c>
      <c r="D13" s="14">
        <v>7.0000000000000007E-2</v>
      </c>
      <c r="E13" s="14">
        <v>7.0000000000000007E-2</v>
      </c>
      <c r="F13" s="14">
        <v>0.05</v>
      </c>
      <c r="G13" s="14">
        <v>0.1</v>
      </c>
      <c r="H13" s="14">
        <v>7.0000000000000007E-2</v>
      </c>
      <c r="I13" s="14">
        <v>0.08</v>
      </c>
      <c r="J13" s="14">
        <v>0.1</v>
      </c>
      <c r="K13" s="14">
        <v>7.0000000000000007E-2</v>
      </c>
      <c r="L13" s="14">
        <v>0.03</v>
      </c>
      <c r="M13" s="14">
        <v>0.03</v>
      </c>
      <c r="N13" s="14">
        <v>7.0000000000000007E-2</v>
      </c>
      <c r="O13" s="14">
        <v>7.0000000000000007E-2</v>
      </c>
      <c r="P13" s="14">
        <v>0.06</v>
      </c>
      <c r="Q13" s="14">
        <v>0.06</v>
      </c>
      <c r="R13" s="14">
        <v>7.0000000000000007E-2</v>
      </c>
      <c r="S13" s="14">
        <v>0.03</v>
      </c>
      <c r="T13" s="14">
        <v>0.05</v>
      </c>
      <c r="U13" s="14">
        <v>0.04</v>
      </c>
      <c r="V13" s="14">
        <v>0.05</v>
      </c>
      <c r="W13" s="14">
        <v>0.08</v>
      </c>
      <c r="X13" s="14">
        <v>0.12</v>
      </c>
      <c r="Y13" s="14">
        <v>0.04</v>
      </c>
      <c r="Z13" s="14">
        <v>0.05</v>
      </c>
      <c r="AA13" s="14">
        <v>7.0000000000000007E-2</v>
      </c>
      <c r="AB13" s="14">
        <v>0.11</v>
      </c>
      <c r="AC13" s="14">
        <v>0.06</v>
      </c>
      <c r="AD13" s="14">
        <v>0.05</v>
      </c>
      <c r="AE13" s="14">
        <v>0.06</v>
      </c>
      <c r="AF13" s="14">
        <v>0.14000000000000001</v>
      </c>
    </row>
    <row r="14" spans="1:32">
      <c r="A14" s="19"/>
      <c r="B14" s="11" t="s">
        <v>1518</v>
      </c>
      <c r="C14" s="12">
        <v>5180</v>
      </c>
      <c r="D14" s="12">
        <v>195</v>
      </c>
      <c r="E14" s="12">
        <v>127</v>
      </c>
      <c r="F14" s="12">
        <v>166</v>
      </c>
      <c r="G14" s="12">
        <v>243</v>
      </c>
      <c r="H14" s="12">
        <v>278</v>
      </c>
      <c r="I14" s="12">
        <v>333</v>
      </c>
      <c r="J14" s="12">
        <v>55</v>
      </c>
      <c r="K14" s="12">
        <v>161</v>
      </c>
      <c r="L14" s="12">
        <v>174</v>
      </c>
      <c r="M14" s="12">
        <v>202</v>
      </c>
      <c r="N14" s="12">
        <v>253</v>
      </c>
      <c r="O14" s="12">
        <v>190</v>
      </c>
      <c r="P14" s="12">
        <v>176</v>
      </c>
      <c r="Q14" s="12">
        <v>175</v>
      </c>
      <c r="R14" s="12">
        <v>32</v>
      </c>
      <c r="S14" s="12">
        <v>77</v>
      </c>
      <c r="T14" s="12">
        <v>114</v>
      </c>
      <c r="U14" s="12">
        <v>72</v>
      </c>
      <c r="V14" s="12">
        <v>172</v>
      </c>
      <c r="W14" s="12">
        <v>49</v>
      </c>
      <c r="X14" s="12">
        <v>292</v>
      </c>
      <c r="Y14" s="12">
        <v>232</v>
      </c>
      <c r="Z14" s="12">
        <v>140</v>
      </c>
      <c r="AA14" s="12">
        <v>165</v>
      </c>
      <c r="AB14" s="12">
        <v>106</v>
      </c>
      <c r="AC14" s="12">
        <v>141</v>
      </c>
      <c r="AD14" s="12">
        <v>196</v>
      </c>
      <c r="AE14" s="12">
        <v>218</v>
      </c>
      <c r="AF14" s="12">
        <v>358</v>
      </c>
    </row>
    <row r="15" spans="1:32">
      <c r="A15" s="19"/>
      <c r="B15" s="13" t="s">
        <v>1518</v>
      </c>
      <c r="C15" s="14">
        <v>0.19</v>
      </c>
      <c r="D15" s="14">
        <v>0.19</v>
      </c>
      <c r="E15" s="14">
        <v>0.12</v>
      </c>
      <c r="F15" s="14">
        <v>0.16</v>
      </c>
      <c r="G15" s="14">
        <v>0.24</v>
      </c>
      <c r="H15" s="14">
        <v>0.23</v>
      </c>
      <c r="I15" s="14">
        <v>0.22</v>
      </c>
      <c r="J15" s="14">
        <v>0.18</v>
      </c>
      <c r="K15" s="14">
        <v>0.16</v>
      </c>
      <c r="L15" s="14">
        <v>0.17</v>
      </c>
      <c r="M15" s="14">
        <v>0.2</v>
      </c>
      <c r="N15" s="14">
        <v>0.25</v>
      </c>
      <c r="O15" s="14">
        <v>0.19</v>
      </c>
      <c r="P15" s="14">
        <v>0.17</v>
      </c>
      <c r="Q15" s="14">
        <v>0.17</v>
      </c>
      <c r="R15" s="14">
        <v>0.06</v>
      </c>
      <c r="S15" s="14">
        <v>0.08</v>
      </c>
      <c r="T15" s="14">
        <v>0.11</v>
      </c>
      <c r="U15" s="14">
        <v>0.14000000000000001</v>
      </c>
      <c r="V15" s="14">
        <v>0.17</v>
      </c>
      <c r="W15" s="14">
        <v>0.1</v>
      </c>
      <c r="X15" s="14">
        <v>0.28999999999999998</v>
      </c>
      <c r="Y15" s="14">
        <v>0.23</v>
      </c>
      <c r="Z15" s="14">
        <v>0.14000000000000001</v>
      </c>
      <c r="AA15" s="14">
        <v>0.16</v>
      </c>
      <c r="AB15" s="14">
        <v>0.1</v>
      </c>
      <c r="AC15" s="14">
        <v>0.14000000000000001</v>
      </c>
      <c r="AD15" s="14">
        <v>0.2</v>
      </c>
      <c r="AE15" s="14">
        <v>0.22</v>
      </c>
      <c r="AF15" s="14">
        <v>0.35</v>
      </c>
    </row>
    <row r="16" spans="1:32">
      <c r="A16" s="19"/>
      <c r="B16" s="11" t="s">
        <v>1519</v>
      </c>
      <c r="C16" s="12">
        <v>9734</v>
      </c>
      <c r="D16" s="12">
        <v>417</v>
      </c>
      <c r="E16" s="12">
        <v>276</v>
      </c>
      <c r="F16" s="12">
        <v>530</v>
      </c>
      <c r="G16" s="12">
        <v>343</v>
      </c>
      <c r="H16" s="12">
        <v>578</v>
      </c>
      <c r="I16" s="12">
        <v>719</v>
      </c>
      <c r="J16" s="12">
        <v>142</v>
      </c>
      <c r="K16" s="12">
        <v>310</v>
      </c>
      <c r="L16" s="12">
        <v>605</v>
      </c>
      <c r="M16" s="12">
        <v>310</v>
      </c>
      <c r="N16" s="12">
        <v>363</v>
      </c>
      <c r="O16" s="12">
        <v>323</v>
      </c>
      <c r="P16" s="12">
        <v>350</v>
      </c>
      <c r="Q16" s="12">
        <v>337</v>
      </c>
      <c r="R16" s="12">
        <v>129</v>
      </c>
      <c r="S16" s="12">
        <v>385</v>
      </c>
      <c r="T16" s="12">
        <v>363</v>
      </c>
      <c r="U16" s="12">
        <v>286</v>
      </c>
      <c r="V16" s="12">
        <v>417</v>
      </c>
      <c r="W16" s="12">
        <v>173</v>
      </c>
      <c r="X16" s="12">
        <v>302</v>
      </c>
      <c r="Y16" s="12">
        <v>362</v>
      </c>
      <c r="Z16" s="12">
        <v>398</v>
      </c>
      <c r="AA16" s="12">
        <v>308</v>
      </c>
      <c r="AB16" s="12">
        <v>293</v>
      </c>
      <c r="AC16" s="12">
        <v>390</v>
      </c>
      <c r="AD16" s="12">
        <v>363</v>
      </c>
      <c r="AE16" s="12">
        <v>339</v>
      </c>
      <c r="AF16" s="12">
        <v>229</v>
      </c>
    </row>
    <row r="17" spans="1:32">
      <c r="A17" s="19"/>
      <c r="B17" s="13" t="s">
        <v>1519</v>
      </c>
      <c r="C17" s="14">
        <v>0.37</v>
      </c>
      <c r="D17" s="14">
        <v>0.41</v>
      </c>
      <c r="E17" s="14">
        <v>0.27</v>
      </c>
      <c r="F17" s="14">
        <v>0.5</v>
      </c>
      <c r="G17" s="14">
        <v>0.34</v>
      </c>
      <c r="H17" s="14">
        <v>0.47</v>
      </c>
      <c r="I17" s="14">
        <v>0.47</v>
      </c>
      <c r="J17" s="14">
        <v>0.48</v>
      </c>
      <c r="K17" s="14">
        <v>0.31</v>
      </c>
      <c r="L17" s="14">
        <v>0.6</v>
      </c>
      <c r="M17" s="14">
        <v>0.31</v>
      </c>
      <c r="N17" s="14">
        <v>0.36</v>
      </c>
      <c r="O17" s="14">
        <v>0.32</v>
      </c>
      <c r="P17" s="14">
        <v>0.35</v>
      </c>
      <c r="Q17" s="14">
        <v>0.33</v>
      </c>
      <c r="R17" s="14">
        <v>0.26</v>
      </c>
      <c r="S17" s="14">
        <v>0.38</v>
      </c>
      <c r="T17" s="14">
        <v>0.35</v>
      </c>
      <c r="U17" s="14">
        <v>0.56000000000000005</v>
      </c>
      <c r="V17" s="14">
        <v>0.41</v>
      </c>
      <c r="W17" s="14">
        <v>0.35</v>
      </c>
      <c r="X17" s="14">
        <v>0.3</v>
      </c>
      <c r="Y17" s="14">
        <v>0.36</v>
      </c>
      <c r="Z17" s="14">
        <v>0.39</v>
      </c>
      <c r="AA17" s="14">
        <v>0.28999999999999998</v>
      </c>
      <c r="AB17" s="14">
        <v>0.28000000000000003</v>
      </c>
      <c r="AC17" s="14">
        <v>0.39</v>
      </c>
      <c r="AD17" s="14">
        <v>0.36</v>
      </c>
      <c r="AE17" s="14">
        <v>0.34</v>
      </c>
      <c r="AF17" s="14">
        <v>0.22</v>
      </c>
    </row>
    <row r="18" spans="1:32">
      <c r="A18" s="19"/>
      <c r="B18" s="11" t="s">
        <v>1520</v>
      </c>
      <c r="C18" s="12">
        <v>5327</v>
      </c>
      <c r="D18" s="12">
        <v>267</v>
      </c>
      <c r="E18" s="12">
        <v>282</v>
      </c>
      <c r="F18" s="12">
        <v>234</v>
      </c>
      <c r="G18" s="12">
        <v>240</v>
      </c>
      <c r="H18" s="12">
        <v>220</v>
      </c>
      <c r="I18" s="12">
        <v>268</v>
      </c>
      <c r="J18" s="12">
        <v>47</v>
      </c>
      <c r="K18" s="12">
        <v>183</v>
      </c>
      <c r="L18" s="12">
        <v>104</v>
      </c>
      <c r="M18" s="12">
        <v>178</v>
      </c>
      <c r="N18" s="12">
        <v>141</v>
      </c>
      <c r="O18" s="12">
        <v>140</v>
      </c>
      <c r="P18" s="12">
        <v>206</v>
      </c>
      <c r="Q18" s="12">
        <v>260</v>
      </c>
      <c r="R18" s="12">
        <v>62</v>
      </c>
      <c r="S18" s="12">
        <v>223</v>
      </c>
      <c r="T18" s="12">
        <v>98</v>
      </c>
      <c r="U18" s="12">
        <v>67</v>
      </c>
      <c r="V18" s="12">
        <v>231</v>
      </c>
      <c r="W18" s="12">
        <v>72</v>
      </c>
      <c r="X18" s="12">
        <v>258</v>
      </c>
      <c r="Y18" s="12">
        <v>231</v>
      </c>
      <c r="Z18" s="12">
        <v>263</v>
      </c>
      <c r="AA18" s="12">
        <v>238</v>
      </c>
      <c r="AB18" s="12">
        <v>286</v>
      </c>
      <c r="AC18" s="12">
        <v>122</v>
      </c>
      <c r="AD18" s="12">
        <v>266</v>
      </c>
      <c r="AE18" s="12">
        <v>264</v>
      </c>
      <c r="AF18" s="12">
        <v>232</v>
      </c>
    </row>
    <row r="19" spans="1:32">
      <c r="A19" s="19"/>
      <c r="B19" s="13" t="s">
        <v>1520</v>
      </c>
      <c r="C19" s="14">
        <v>0.2</v>
      </c>
      <c r="D19" s="14">
        <v>0.26</v>
      </c>
      <c r="E19" s="14">
        <v>0.27</v>
      </c>
      <c r="F19" s="14">
        <v>0.22</v>
      </c>
      <c r="G19" s="14">
        <v>0.24</v>
      </c>
      <c r="H19" s="14">
        <v>0.18</v>
      </c>
      <c r="I19" s="14">
        <v>0.17</v>
      </c>
      <c r="J19" s="14">
        <v>0.16</v>
      </c>
      <c r="K19" s="14">
        <v>0.18</v>
      </c>
      <c r="L19" s="14">
        <v>0.1</v>
      </c>
      <c r="M19" s="14">
        <v>0.18</v>
      </c>
      <c r="N19" s="14">
        <v>0.14000000000000001</v>
      </c>
      <c r="O19" s="14">
        <v>0.14000000000000001</v>
      </c>
      <c r="P19" s="14">
        <v>0.21</v>
      </c>
      <c r="Q19" s="14">
        <v>0.25</v>
      </c>
      <c r="R19" s="14">
        <v>0.12</v>
      </c>
      <c r="S19" s="14">
        <v>0.22</v>
      </c>
      <c r="T19" s="14">
        <v>0.1</v>
      </c>
      <c r="U19" s="14">
        <v>0.13</v>
      </c>
      <c r="V19" s="14">
        <v>0.22</v>
      </c>
      <c r="W19" s="14">
        <v>0.14000000000000001</v>
      </c>
      <c r="X19" s="14">
        <v>0.25</v>
      </c>
      <c r="Y19" s="14">
        <v>0.23</v>
      </c>
      <c r="Z19" s="14">
        <v>0.26</v>
      </c>
      <c r="AA19" s="14">
        <v>0.23</v>
      </c>
      <c r="AB19" s="14">
        <v>0.28000000000000003</v>
      </c>
      <c r="AC19" s="14">
        <v>0.12</v>
      </c>
      <c r="AD19" s="14">
        <v>0.26</v>
      </c>
      <c r="AE19" s="14">
        <v>0.26</v>
      </c>
      <c r="AF19" s="14">
        <v>0.23</v>
      </c>
    </row>
    <row r="20" spans="1:32">
      <c r="A20" s="19"/>
      <c r="B20" s="11" t="s">
        <v>1521</v>
      </c>
      <c r="C20" s="12">
        <v>1588</v>
      </c>
      <c r="D20" s="12">
        <v>56</v>
      </c>
      <c r="E20" s="12">
        <v>104</v>
      </c>
      <c r="F20" s="12">
        <v>64</v>
      </c>
      <c r="G20" s="12">
        <v>53</v>
      </c>
      <c r="H20" s="12">
        <v>28</v>
      </c>
      <c r="I20" s="12">
        <v>40</v>
      </c>
      <c r="J20" s="12">
        <v>13</v>
      </c>
      <c r="K20" s="12">
        <v>86</v>
      </c>
      <c r="L20" s="12">
        <v>15</v>
      </c>
      <c r="M20" s="12">
        <v>29</v>
      </c>
      <c r="N20" s="12">
        <v>42</v>
      </c>
      <c r="O20" s="12">
        <v>93</v>
      </c>
      <c r="P20" s="12">
        <v>161</v>
      </c>
      <c r="Q20" s="12">
        <v>46</v>
      </c>
      <c r="R20" s="12">
        <v>36</v>
      </c>
      <c r="S20" s="12">
        <v>44</v>
      </c>
      <c r="T20" s="12">
        <v>73</v>
      </c>
      <c r="U20" s="12">
        <v>15</v>
      </c>
      <c r="V20" s="12">
        <v>98</v>
      </c>
      <c r="W20" s="12">
        <v>56</v>
      </c>
      <c r="X20" s="12">
        <v>35</v>
      </c>
      <c r="Y20" s="12">
        <v>46</v>
      </c>
      <c r="Z20" s="12">
        <v>118</v>
      </c>
      <c r="AA20" s="12">
        <v>80</v>
      </c>
      <c r="AB20" s="12">
        <v>94</v>
      </c>
      <c r="AC20" s="12">
        <v>77</v>
      </c>
      <c r="AD20" s="12">
        <v>68</v>
      </c>
      <c r="AE20" s="12">
        <v>65</v>
      </c>
      <c r="AF20" s="12">
        <v>41</v>
      </c>
    </row>
    <row r="21" spans="1:32">
      <c r="A21" s="19"/>
      <c r="B21" s="13" t="s">
        <v>1522</v>
      </c>
      <c r="C21" s="14">
        <v>0.06</v>
      </c>
      <c r="D21" s="14">
        <v>0.06</v>
      </c>
      <c r="E21" s="14">
        <v>0.1</v>
      </c>
      <c r="F21" s="14">
        <v>0.06</v>
      </c>
      <c r="G21" s="14">
        <v>0.05</v>
      </c>
      <c r="H21" s="14">
        <v>0.02</v>
      </c>
      <c r="I21" s="14">
        <v>0.03</v>
      </c>
      <c r="J21" s="14">
        <v>0.04</v>
      </c>
      <c r="K21" s="14">
        <v>0.09</v>
      </c>
      <c r="L21" s="14">
        <v>0.02</v>
      </c>
      <c r="M21" s="14">
        <v>0.03</v>
      </c>
      <c r="N21" s="14">
        <v>0.04</v>
      </c>
      <c r="O21" s="14">
        <v>0.09</v>
      </c>
      <c r="P21" s="14">
        <v>0.16</v>
      </c>
      <c r="Q21" s="14">
        <v>0.04</v>
      </c>
      <c r="R21" s="14">
        <v>7.0000000000000007E-2</v>
      </c>
      <c r="S21" s="14">
        <v>0.04</v>
      </c>
      <c r="T21" s="14">
        <v>7.0000000000000007E-2</v>
      </c>
      <c r="U21" s="14">
        <v>0.03</v>
      </c>
      <c r="V21" s="14">
        <v>0.09</v>
      </c>
      <c r="W21" s="14">
        <v>0.11</v>
      </c>
      <c r="X21" s="14">
        <v>0.03</v>
      </c>
      <c r="Y21" s="14">
        <v>0.05</v>
      </c>
      <c r="Z21" s="14">
        <v>0.12</v>
      </c>
      <c r="AA21" s="14">
        <v>0.08</v>
      </c>
      <c r="AB21" s="14">
        <v>0.09</v>
      </c>
      <c r="AC21" s="14">
        <v>7.0000000000000007E-2</v>
      </c>
      <c r="AD21" s="14">
        <v>7.0000000000000007E-2</v>
      </c>
      <c r="AE21" s="14">
        <v>0.06</v>
      </c>
      <c r="AF21" s="14">
        <v>0.04</v>
      </c>
    </row>
    <row r="22" spans="1:32">
      <c r="A22" s="19"/>
      <c r="B22" s="11" t="s">
        <v>1523</v>
      </c>
      <c r="C22" s="12">
        <v>1269</v>
      </c>
      <c r="D22" s="12">
        <v>5</v>
      </c>
      <c r="E22" s="12">
        <v>76</v>
      </c>
      <c r="F22" s="12">
        <v>9</v>
      </c>
      <c r="G22" s="12">
        <v>16</v>
      </c>
      <c r="H22" s="12">
        <v>9</v>
      </c>
      <c r="I22" s="12">
        <v>18</v>
      </c>
      <c r="J22" s="12">
        <v>8</v>
      </c>
      <c r="K22" s="12">
        <v>65</v>
      </c>
      <c r="L22" s="12">
        <v>4</v>
      </c>
      <c r="M22" s="12">
        <v>122</v>
      </c>
      <c r="N22" s="12">
        <v>70</v>
      </c>
      <c r="O22" s="12">
        <v>56</v>
      </c>
      <c r="P22" s="12">
        <v>29</v>
      </c>
      <c r="Q22" s="12">
        <v>111</v>
      </c>
      <c r="R22" s="12">
        <v>128</v>
      </c>
      <c r="S22" s="12">
        <v>21</v>
      </c>
      <c r="T22" s="12">
        <v>79</v>
      </c>
      <c r="U22" s="12">
        <v>15</v>
      </c>
      <c r="V22" s="12">
        <v>52</v>
      </c>
      <c r="W22" s="12">
        <v>6</v>
      </c>
      <c r="X22" s="12">
        <v>0</v>
      </c>
      <c r="Y22" s="12">
        <v>56</v>
      </c>
      <c r="Z22" s="12">
        <v>23</v>
      </c>
      <c r="AA22" s="12">
        <v>82</v>
      </c>
      <c r="AB22" s="12">
        <v>59</v>
      </c>
      <c r="AC22" s="12">
        <v>111</v>
      </c>
      <c r="AD22" s="12">
        <v>11</v>
      </c>
      <c r="AE22" s="12">
        <v>16</v>
      </c>
      <c r="AF22" s="12">
        <v>2</v>
      </c>
    </row>
    <row r="23" spans="1:32">
      <c r="A23" s="19"/>
      <c r="B23" s="13" t="s">
        <v>1524</v>
      </c>
      <c r="C23" s="14">
        <v>0.05</v>
      </c>
      <c r="D23" s="15" t="s">
        <v>375</v>
      </c>
      <c r="E23" s="14">
        <v>7.0000000000000007E-2</v>
      </c>
      <c r="F23" s="14">
        <v>0.01</v>
      </c>
      <c r="G23" s="14">
        <v>0.02</v>
      </c>
      <c r="H23" s="14">
        <v>0.01</v>
      </c>
      <c r="I23" s="14">
        <v>0.01</v>
      </c>
      <c r="J23" s="14">
        <v>0.03</v>
      </c>
      <c r="K23" s="14">
        <v>0.06</v>
      </c>
      <c r="L23" s="14">
        <v>0.01</v>
      </c>
      <c r="M23" s="14">
        <v>0.12</v>
      </c>
      <c r="N23" s="14">
        <v>7.0000000000000007E-2</v>
      </c>
      <c r="O23" s="14">
        <v>0.06</v>
      </c>
      <c r="P23" s="14">
        <v>0.03</v>
      </c>
      <c r="Q23" s="14">
        <v>0.11</v>
      </c>
      <c r="R23" s="14">
        <v>0.26</v>
      </c>
      <c r="S23" s="14">
        <v>0.02</v>
      </c>
      <c r="T23" s="14">
        <v>0.08</v>
      </c>
      <c r="U23" s="14">
        <v>0.03</v>
      </c>
      <c r="V23" s="14">
        <v>0.05</v>
      </c>
      <c r="W23" s="14">
        <v>0.01</v>
      </c>
      <c r="X23" s="15" t="s">
        <v>375</v>
      </c>
      <c r="Y23" s="14">
        <v>0.06</v>
      </c>
      <c r="Z23" s="14">
        <v>0.02</v>
      </c>
      <c r="AA23" s="14">
        <v>0.08</v>
      </c>
      <c r="AB23" s="14">
        <v>0.06</v>
      </c>
      <c r="AC23" s="14">
        <v>0.11</v>
      </c>
      <c r="AD23" s="14">
        <v>0.01</v>
      </c>
      <c r="AE23" s="14">
        <v>0.02</v>
      </c>
      <c r="AF23" s="15" t="s">
        <v>375</v>
      </c>
    </row>
    <row r="24" spans="1:32">
      <c r="A24" s="19"/>
      <c r="B24" s="11" t="s">
        <v>386</v>
      </c>
      <c r="C24" s="12">
        <v>1499</v>
      </c>
      <c r="D24" s="12">
        <v>14</v>
      </c>
      <c r="E24" s="12">
        <v>107</v>
      </c>
      <c r="F24" s="12">
        <v>6</v>
      </c>
      <c r="G24" s="12">
        <v>15</v>
      </c>
      <c r="H24" s="12">
        <v>28</v>
      </c>
      <c r="I24" s="12">
        <v>30</v>
      </c>
      <c r="J24" s="12">
        <v>2</v>
      </c>
      <c r="K24" s="12">
        <v>127</v>
      </c>
      <c r="L24" s="12">
        <v>71</v>
      </c>
      <c r="M24" s="12">
        <v>132</v>
      </c>
      <c r="N24" s="12">
        <v>69</v>
      </c>
      <c r="O24" s="12">
        <v>134</v>
      </c>
      <c r="P24" s="12">
        <v>21</v>
      </c>
      <c r="Q24" s="12">
        <v>43</v>
      </c>
      <c r="R24" s="12">
        <v>78</v>
      </c>
      <c r="S24" s="12">
        <v>230</v>
      </c>
      <c r="T24" s="12">
        <v>241</v>
      </c>
      <c r="U24" s="12">
        <v>33</v>
      </c>
      <c r="V24" s="12">
        <v>9</v>
      </c>
      <c r="W24" s="12">
        <v>108</v>
      </c>
      <c r="X24" s="12">
        <v>6</v>
      </c>
      <c r="Y24" s="12">
        <v>31</v>
      </c>
      <c r="Z24" s="12">
        <v>19</v>
      </c>
      <c r="AA24" s="12">
        <v>93</v>
      </c>
      <c r="AB24" s="12">
        <v>87</v>
      </c>
      <c r="AC24" s="12">
        <v>108</v>
      </c>
      <c r="AD24" s="12">
        <v>47</v>
      </c>
      <c r="AE24" s="12">
        <v>40</v>
      </c>
      <c r="AF24" s="12">
        <v>22</v>
      </c>
    </row>
    <row r="25" spans="1:32">
      <c r="A25" s="19"/>
      <c r="B25" s="13" t="s">
        <v>399</v>
      </c>
      <c r="C25" s="14">
        <v>0.06</v>
      </c>
      <c r="D25" s="14">
        <v>0.01</v>
      </c>
      <c r="E25" s="14">
        <v>0.1</v>
      </c>
      <c r="F25" s="15" t="s">
        <v>375</v>
      </c>
      <c r="G25" s="14">
        <v>0.01</v>
      </c>
      <c r="H25" s="14">
        <v>0.02</v>
      </c>
      <c r="I25" s="14">
        <v>0.02</v>
      </c>
      <c r="J25" s="14">
        <v>0.01</v>
      </c>
      <c r="K25" s="14">
        <v>0.13</v>
      </c>
      <c r="L25" s="14">
        <v>7.0000000000000007E-2</v>
      </c>
      <c r="M25" s="14">
        <v>0.13</v>
      </c>
      <c r="N25" s="14">
        <v>7.0000000000000007E-2</v>
      </c>
      <c r="O25" s="14">
        <v>0.13</v>
      </c>
      <c r="P25" s="14">
        <v>0.02</v>
      </c>
      <c r="Q25" s="14">
        <v>0.04</v>
      </c>
      <c r="R25" s="14">
        <v>0.16</v>
      </c>
      <c r="S25" s="14">
        <v>0.23</v>
      </c>
      <c r="T25" s="14">
        <v>0.24</v>
      </c>
      <c r="U25" s="14">
        <v>7.0000000000000007E-2</v>
      </c>
      <c r="V25" s="14">
        <v>0.01</v>
      </c>
      <c r="W25" s="14">
        <v>0.21</v>
      </c>
      <c r="X25" s="14">
        <v>0.01</v>
      </c>
      <c r="Y25" s="14">
        <v>0.03</v>
      </c>
      <c r="Z25" s="14">
        <v>0.02</v>
      </c>
      <c r="AA25" s="14">
        <v>0.09</v>
      </c>
      <c r="AB25" s="14">
        <v>0.08</v>
      </c>
      <c r="AC25" s="14">
        <v>0.11</v>
      </c>
      <c r="AD25" s="14">
        <v>0.05</v>
      </c>
      <c r="AE25" s="14">
        <v>0.04</v>
      </c>
      <c r="AF25" s="14">
        <v>0.02</v>
      </c>
    </row>
    <row r="26" spans="1:32">
      <c r="A26" s="19"/>
      <c r="B26" s="11" t="s">
        <v>1254</v>
      </c>
      <c r="C26" s="12">
        <v>5.4</v>
      </c>
      <c r="D26" s="12">
        <v>5.52</v>
      </c>
      <c r="E26" s="12">
        <v>6.01</v>
      </c>
      <c r="F26" s="12">
        <v>5.63</v>
      </c>
      <c r="G26" s="12">
        <v>5.19</v>
      </c>
      <c r="H26" s="12">
        <v>5.1100000000000003</v>
      </c>
      <c r="I26" s="12">
        <v>5.1100000000000003</v>
      </c>
      <c r="J26" s="12">
        <v>5.0999999999999996</v>
      </c>
      <c r="K26" s="12">
        <v>5.53</v>
      </c>
      <c r="L26" s="12">
        <v>5.12</v>
      </c>
      <c r="M26" s="12">
        <v>5.28</v>
      </c>
      <c r="N26" s="12">
        <v>4.9800000000000004</v>
      </c>
      <c r="O26" s="12">
        <v>5.42</v>
      </c>
      <c r="P26" s="12">
        <v>6</v>
      </c>
      <c r="Q26" s="12">
        <v>5.59</v>
      </c>
      <c r="R26" s="12">
        <v>5.6</v>
      </c>
      <c r="S26" s="12">
        <v>5.93</v>
      </c>
      <c r="T26" s="12">
        <v>5.45</v>
      </c>
      <c r="U26" s="12">
        <v>5.27</v>
      </c>
      <c r="V26" s="12">
        <v>5.83</v>
      </c>
      <c r="W26" s="12">
        <v>5.76</v>
      </c>
      <c r="X26" s="12">
        <v>5.0599999999999996</v>
      </c>
      <c r="Y26" s="12">
        <v>5.51</v>
      </c>
      <c r="Z26" s="12">
        <v>6</v>
      </c>
      <c r="AA26" s="12">
        <v>5.63</v>
      </c>
      <c r="AB26" s="12">
        <v>5.79</v>
      </c>
      <c r="AC26" s="12">
        <v>5.42</v>
      </c>
      <c r="AD26" s="12">
        <v>5.64</v>
      </c>
      <c r="AE26" s="12">
        <v>5.6</v>
      </c>
      <c r="AF26" s="12">
        <v>4.84</v>
      </c>
    </row>
    <row r="27" spans="1:32">
      <c r="A27" s="19"/>
      <c r="B27" s="13" t="s">
        <v>1255</v>
      </c>
      <c r="C27" s="15" t="s">
        <v>375</v>
      </c>
      <c r="D27" s="15" t="s">
        <v>375</v>
      </c>
      <c r="E27" s="15" t="s">
        <v>375</v>
      </c>
      <c r="F27" s="15" t="s">
        <v>375</v>
      </c>
      <c r="G27" s="15" t="s">
        <v>375</v>
      </c>
      <c r="H27" s="15" t="s">
        <v>375</v>
      </c>
      <c r="I27" s="15" t="s">
        <v>375</v>
      </c>
      <c r="J27" s="15" t="s">
        <v>375</v>
      </c>
      <c r="K27" s="15" t="s">
        <v>375</v>
      </c>
      <c r="L27" s="15" t="s">
        <v>375</v>
      </c>
      <c r="M27" s="15" t="s">
        <v>375</v>
      </c>
      <c r="N27" s="15" t="s">
        <v>375</v>
      </c>
      <c r="O27" s="15" t="s">
        <v>375</v>
      </c>
      <c r="P27" s="15" t="s">
        <v>375</v>
      </c>
      <c r="Q27" s="15" t="s">
        <v>375</v>
      </c>
      <c r="R27" s="15" t="s">
        <v>375</v>
      </c>
      <c r="S27" s="15" t="s">
        <v>375</v>
      </c>
      <c r="T27" s="15" t="s">
        <v>375</v>
      </c>
      <c r="U27" s="15" t="s">
        <v>375</v>
      </c>
      <c r="V27" s="15" t="s">
        <v>375</v>
      </c>
      <c r="W27" s="15" t="s">
        <v>375</v>
      </c>
      <c r="X27" s="15" t="s">
        <v>375</v>
      </c>
      <c r="Y27" s="15" t="s">
        <v>375</v>
      </c>
      <c r="Z27" s="15" t="s">
        <v>375</v>
      </c>
      <c r="AA27" s="15" t="s">
        <v>375</v>
      </c>
      <c r="AB27" s="15" t="s">
        <v>375</v>
      </c>
      <c r="AC27" s="15" t="s">
        <v>375</v>
      </c>
      <c r="AD27" s="15" t="s">
        <v>375</v>
      </c>
      <c r="AE27" s="15" t="s">
        <v>375</v>
      </c>
      <c r="AF27" s="15" t="s">
        <v>375</v>
      </c>
    </row>
  </sheetData>
  <mergeCells count="9">
    <mergeCell ref="H3:L3"/>
    <mergeCell ref="C8:AF8"/>
    <mergeCell ref="B3:F3"/>
    <mergeCell ref="B5:F5"/>
    <mergeCell ref="A10:A27"/>
    <mergeCell ref="B10:B11"/>
    <mergeCell ref="H4:L4"/>
    <mergeCell ref="B4:F4"/>
    <mergeCell ref="H5:L5"/>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bb0ed68957ae212b7423277ec7b70443">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038dcd2fd09b763bb7d4644801ca706b"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3976C7-E92A-49C6-B048-D887CCE4FB59}"/>
</file>

<file path=customXml/itemProps2.xml><?xml version="1.0" encoding="utf-8"?>
<ds:datastoreItem xmlns:ds="http://schemas.openxmlformats.org/officeDocument/2006/customXml" ds:itemID="{E8F5AFA0-2685-4788-AB13-EBBEB50CF897}"/>
</file>

<file path=customXml/itemProps3.xml><?xml version="1.0" encoding="utf-8"?>
<ds:datastoreItem xmlns:ds="http://schemas.openxmlformats.org/officeDocument/2006/customXml" ds:itemID="{6F303133-0772-4C5C-A52E-B88B9CBF19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Enes Hol</cp:lastModifiedBy>
  <cp:revision/>
  <dcterms:created xsi:type="dcterms:W3CDTF">2025-12-18T17:18:52Z</dcterms:created>
  <dcterms:modified xsi:type="dcterms:W3CDTF">2026-01-08T12:00:10Z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1663800</vt:r8>
  </property>
  <property fmtid="{D5CDD505-2E9C-101B-9397-08002B2CF9AE}" pid="3" name="ContentTypeId">
    <vt:lpwstr>0x010100123C2954C70395469213D10ED2DE8CAC</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